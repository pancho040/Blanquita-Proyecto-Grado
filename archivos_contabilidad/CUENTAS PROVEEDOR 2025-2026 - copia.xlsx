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ema Asociados SRL\1_GESTION 09-2023\CUENTAS POR PAGAR - PROVEEDORES\"/>
    </mc:Choice>
  </mc:AlternateContent>
  <xr:revisionPtr revIDLastSave="0" documentId="13_ncr:1_{7C4E37DC-933C-418E-A963-8EDF22C9647B}" xr6:coauthVersionLast="47" xr6:coauthVersionMax="47" xr10:uidLastSave="{00000000-0000-0000-0000-000000000000}"/>
  <bookViews>
    <workbookView xWindow="-120" yWindow="-120" windowWidth="20730" windowHeight="11160" tabRatio="928" activeTab="3" xr2:uid="{887A18E9-C4B9-4EDF-B204-A219D5666E6C}"/>
  </bookViews>
  <sheets>
    <sheet name="VINTO" sheetId="1" r:id="rId1"/>
    <sheet name="DERQUI" sheetId="2" state="hidden" r:id="rId2"/>
    <sheet name="Hoja1" sheetId="14" state="hidden" r:id="rId3"/>
    <sheet name="MULTIFLEX" sheetId="3" r:id="rId4"/>
    <sheet name="COLMAFLEX" sheetId="4" r:id="rId5"/>
    <sheet name="D ARTEPLAST" sheetId="12" r:id="rId6"/>
    <sheet name="DISPROQUIMICOS" sheetId="5" r:id="rId7"/>
    <sheet name="WILED PAPER" sheetId="6" r:id="rId8"/>
    <sheet name="MONOPOL" sheetId="7" r:id="rId9"/>
  </sheets>
  <definedNames>
    <definedName name="_xlnm.Print_Area" localSheetId="2">Hoja1!$A$38:$E$60</definedName>
    <definedName name="_xlnm.Print_Area" localSheetId="0">VINTO!$A$35:$J$104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1" l="1"/>
  <c r="K32" i="1"/>
  <c r="L32" i="1"/>
  <c r="N32" i="1"/>
  <c r="J32" i="1"/>
  <c r="N24" i="1" l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L16" i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8" i="1"/>
  <c r="P8" i="1" s="1"/>
  <c r="L8" i="1"/>
  <c r="N9" i="4" l="1"/>
  <c r="F92" i="1" l="1"/>
  <c r="H92" i="1" s="1"/>
  <c r="F95" i="1"/>
  <c r="H95" i="1" s="1"/>
  <c r="F94" i="1"/>
  <c r="H94" i="1" s="1"/>
  <c r="F93" i="1"/>
  <c r="H93" i="1" s="1"/>
  <c r="P91" i="1"/>
  <c r="P93" i="1"/>
  <c r="P94" i="1"/>
  <c r="P95" i="1"/>
  <c r="P96" i="1"/>
  <c r="P97" i="1"/>
  <c r="P98" i="1"/>
  <c r="P99" i="1"/>
  <c r="P100" i="1"/>
  <c r="P101" i="1"/>
  <c r="J104" i="1" l="1"/>
  <c r="L104" i="1" s="1"/>
  <c r="F91" i="1"/>
  <c r="H91" i="1" s="1"/>
  <c r="M13" i="3"/>
  <c r="J9" i="7"/>
  <c r="M12" i="3"/>
  <c r="M14" i="3"/>
  <c r="M15" i="3"/>
  <c r="M16" i="3"/>
  <c r="M17" i="3"/>
  <c r="M18" i="3"/>
  <c r="M19" i="3"/>
  <c r="M20" i="3"/>
  <c r="M21" i="3"/>
  <c r="M11" i="3"/>
  <c r="F90" i="1"/>
  <c r="H90" i="1" s="1"/>
  <c r="H8" i="7"/>
  <c r="K8" i="7" s="1"/>
  <c r="H9" i="7"/>
  <c r="H10" i="7"/>
  <c r="K10" i="7" s="1"/>
  <c r="K27" i="4"/>
  <c r="L27" i="4"/>
  <c r="E89" i="1" l="1"/>
  <c r="F89" i="1" l="1"/>
  <c r="H89" i="1" s="1"/>
  <c r="J137" i="1"/>
  <c r="L137" i="1"/>
  <c r="M137" i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15" i="1"/>
  <c r="O115" i="1" s="1"/>
  <c r="I137" i="1"/>
  <c r="E86" i="1"/>
  <c r="F86" i="1" s="1"/>
  <c r="H86" i="1" s="1"/>
  <c r="E88" i="1"/>
  <c r="F88" i="1" s="1"/>
  <c r="H88" i="1" s="1"/>
  <c r="F87" i="1"/>
  <c r="H87" i="1" s="1"/>
  <c r="N137" i="1" l="1"/>
  <c r="N139" i="1" s="1"/>
  <c r="E85" i="1"/>
  <c r="F85" i="1" s="1"/>
  <c r="H85" i="1" s="1"/>
  <c r="P79" i="1"/>
  <c r="P80" i="1"/>
  <c r="P81" i="1"/>
  <c r="P82" i="1"/>
  <c r="P83" i="1"/>
  <c r="P84" i="1"/>
  <c r="P85" i="1"/>
  <c r="P86" i="1"/>
  <c r="P87" i="1"/>
  <c r="P88" i="1"/>
  <c r="P89" i="1"/>
  <c r="P90" i="1"/>
  <c r="E81" i="1"/>
  <c r="F81" i="1" s="1"/>
  <c r="H81" i="1" s="1"/>
  <c r="F80" i="1"/>
  <c r="H80" i="1" s="1"/>
  <c r="I21" i="14" l="1"/>
  <c r="D51" i="14"/>
  <c r="D20" i="14"/>
  <c r="D28" i="14" l="1"/>
  <c r="E79" i="1" l="1"/>
  <c r="F79" i="1" s="1"/>
  <c r="H79" i="1" s="1"/>
  <c r="I77" i="1"/>
  <c r="E78" i="1"/>
  <c r="F78" i="1" s="1"/>
  <c r="H78" i="1" s="1"/>
  <c r="G29" i="6" l="1"/>
  <c r="H13" i="6" l="1"/>
  <c r="I13" i="6"/>
  <c r="I56" i="1" l="1"/>
  <c r="I55" i="1"/>
  <c r="G13" i="6"/>
  <c r="G9" i="6"/>
  <c r="G8" i="6"/>
  <c r="G25" i="6"/>
  <c r="I14" i="5"/>
  <c r="I11" i="5"/>
  <c r="I10" i="5"/>
  <c r="I8" i="5"/>
  <c r="G11" i="5"/>
  <c r="G12" i="5"/>
  <c r="I12" i="5" s="1"/>
  <c r="G13" i="5"/>
  <c r="I13" i="5" s="1"/>
  <c r="G14" i="5"/>
  <c r="O31" i="12"/>
  <c r="F76" i="1" l="1"/>
  <c r="H76" i="1" s="1"/>
  <c r="P76" i="1"/>
  <c r="P77" i="1"/>
  <c r="P78" i="1"/>
  <c r="E75" i="1"/>
  <c r="F75" i="1" s="1"/>
  <c r="H75" i="1" s="1"/>
  <c r="E74" i="1"/>
  <c r="F74" i="1" s="1"/>
  <c r="H74" i="1" s="1"/>
  <c r="E73" i="1"/>
  <c r="F73" i="1" s="1"/>
  <c r="H73" i="1" s="1"/>
  <c r="E72" i="1"/>
  <c r="F72" i="1" s="1"/>
  <c r="H72" i="1" s="1"/>
  <c r="P72" i="1"/>
  <c r="P73" i="1"/>
  <c r="P74" i="1"/>
  <c r="P75" i="1"/>
  <c r="I63" i="1"/>
  <c r="E68" i="1" l="1"/>
  <c r="F68" i="1" s="1"/>
  <c r="H68" i="1" s="1"/>
  <c r="F27" i="12" l="1"/>
  <c r="K27" i="12"/>
  <c r="J27" i="12"/>
  <c r="I27" i="12"/>
  <c r="H27" i="12"/>
  <c r="G27" i="12"/>
  <c r="E27" i="12"/>
  <c r="L26" i="12"/>
  <c r="N26" i="12" s="1"/>
  <c r="L25" i="12"/>
  <c r="N25" i="12" s="1"/>
  <c r="L24" i="12"/>
  <c r="N24" i="12" s="1"/>
  <c r="L23" i="12"/>
  <c r="N23" i="12" s="1"/>
  <c r="L22" i="12"/>
  <c r="N22" i="12" s="1"/>
  <c r="L21" i="12"/>
  <c r="N21" i="12" s="1"/>
  <c r="L20" i="12"/>
  <c r="N20" i="12" s="1"/>
  <c r="L19" i="12"/>
  <c r="N19" i="12" s="1"/>
  <c r="L18" i="12"/>
  <c r="N18" i="12" s="1"/>
  <c r="L17" i="12"/>
  <c r="N17" i="12" s="1"/>
  <c r="L16" i="12"/>
  <c r="N16" i="12" s="1"/>
  <c r="L15" i="12"/>
  <c r="N15" i="12" s="1"/>
  <c r="L14" i="12"/>
  <c r="N14" i="12" s="1"/>
  <c r="L13" i="12"/>
  <c r="N13" i="12" s="1"/>
  <c r="L12" i="12"/>
  <c r="N12" i="12" s="1"/>
  <c r="L11" i="12"/>
  <c r="N11" i="12" s="1"/>
  <c r="L10" i="12"/>
  <c r="N10" i="12" s="1"/>
  <c r="B10" i="12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U9" i="12"/>
  <c r="L9" i="12"/>
  <c r="B9" i="12"/>
  <c r="L8" i="12"/>
  <c r="N8" i="12" s="1"/>
  <c r="L27" i="12" l="1"/>
  <c r="N9" i="12"/>
  <c r="N27" i="12" s="1"/>
  <c r="F65" i="1" l="1"/>
  <c r="H65" i="1" s="1"/>
  <c r="P65" i="1"/>
  <c r="P66" i="1"/>
  <c r="P67" i="1"/>
  <c r="P68" i="1"/>
  <c r="P69" i="1"/>
  <c r="P70" i="1"/>
  <c r="P71" i="1"/>
  <c r="F62" i="1"/>
  <c r="H62" i="1" s="1"/>
  <c r="P63" i="1" l="1"/>
  <c r="P64" i="1"/>
  <c r="I61" i="1" l="1"/>
  <c r="I102" i="1" s="1"/>
  <c r="F60" i="1"/>
  <c r="H60" i="1" s="1"/>
  <c r="E59" i="1" l="1"/>
  <c r="F59" i="1" s="1"/>
  <c r="H59" i="1" s="1"/>
  <c r="P57" i="1" l="1"/>
  <c r="P58" i="1"/>
  <c r="P59" i="1"/>
  <c r="P60" i="1"/>
  <c r="F57" i="1"/>
  <c r="H57" i="1" s="1"/>
  <c r="J26" i="6" l="1"/>
  <c r="G10" i="5"/>
  <c r="J45" i="1"/>
  <c r="J46" i="1" s="1"/>
  <c r="P61" i="1"/>
  <c r="P55" i="1"/>
  <c r="F55" i="1"/>
  <c r="H55" i="1" s="1"/>
  <c r="E49" i="1" l="1"/>
  <c r="F49" i="1" s="1"/>
  <c r="H49" i="1" s="1"/>
  <c r="F47" i="1"/>
  <c r="H47" i="1" s="1"/>
  <c r="J47" i="1" l="1"/>
  <c r="J48" i="1" s="1"/>
  <c r="J49" i="1" s="1"/>
  <c r="J50" i="1" s="1"/>
  <c r="J51" i="1" s="1"/>
  <c r="J52" i="1" s="1"/>
  <c r="P53" i="1"/>
  <c r="P54" i="1"/>
  <c r="P56" i="1"/>
  <c r="P50" i="1"/>
  <c r="P51" i="1"/>
  <c r="P52" i="1"/>
  <c r="E53" i="1"/>
  <c r="P45" i="1"/>
  <c r="K22" i="3"/>
  <c r="L22" i="3"/>
  <c r="M9" i="3"/>
  <c r="O9" i="3" s="1"/>
  <c r="M10" i="3"/>
  <c r="O10" i="3" s="1"/>
  <c r="O11" i="3"/>
  <c r="O12" i="3"/>
  <c r="M8" i="3"/>
  <c r="O8" i="3" s="1"/>
  <c r="B9" i="5"/>
  <c r="B10" i="5" s="1"/>
  <c r="B11" i="5" s="1"/>
  <c r="B12" i="5" s="1"/>
  <c r="B13" i="5" s="1"/>
  <c r="B14" i="5" s="1"/>
  <c r="J15" i="2"/>
  <c r="J8" i="2"/>
  <c r="L8" i="2" s="1"/>
  <c r="F12" i="7"/>
  <c r="E12" i="7"/>
  <c r="F26" i="6"/>
  <c r="E26" i="6"/>
  <c r="I9" i="6"/>
  <c r="I26" i="6" s="1"/>
  <c r="F15" i="5"/>
  <c r="E15" i="5"/>
  <c r="G9" i="5"/>
  <c r="I9" i="5" s="1"/>
  <c r="G8" i="5"/>
  <c r="M27" i="4"/>
  <c r="J27" i="4"/>
  <c r="I27" i="4"/>
  <c r="H27" i="4"/>
  <c r="G27" i="4"/>
  <c r="E27" i="4"/>
  <c r="N26" i="4"/>
  <c r="P26" i="4" s="1"/>
  <c r="N25" i="4"/>
  <c r="P25" i="4" s="1"/>
  <c r="N24" i="4"/>
  <c r="P24" i="4" s="1"/>
  <c r="N23" i="4"/>
  <c r="P23" i="4" s="1"/>
  <c r="N22" i="4"/>
  <c r="P22" i="4" s="1"/>
  <c r="N21" i="4"/>
  <c r="P21" i="4" s="1"/>
  <c r="N20" i="4"/>
  <c r="P20" i="4" s="1"/>
  <c r="N19" i="4"/>
  <c r="P19" i="4" s="1"/>
  <c r="N18" i="4"/>
  <c r="P18" i="4" s="1"/>
  <c r="N17" i="4"/>
  <c r="P17" i="4" s="1"/>
  <c r="N16" i="4"/>
  <c r="P16" i="4" s="1"/>
  <c r="N15" i="4"/>
  <c r="P15" i="4" s="1"/>
  <c r="N14" i="4"/>
  <c r="P14" i="4" s="1"/>
  <c r="N13" i="4"/>
  <c r="P13" i="4" s="1"/>
  <c r="N12" i="4"/>
  <c r="P12" i="4" s="1"/>
  <c r="N11" i="4"/>
  <c r="P11" i="4" s="1"/>
  <c r="N10" i="4"/>
  <c r="P10" i="4" s="1"/>
  <c r="B10" i="4"/>
  <c r="B11" i="4" s="1"/>
  <c r="B12" i="4" s="1"/>
  <c r="B13" i="4" s="1"/>
  <c r="B14" i="4" s="1"/>
  <c r="B15" i="4" s="1"/>
  <c r="B16" i="4" s="1"/>
  <c r="B17" i="4" s="1"/>
  <c r="U9" i="4"/>
  <c r="V9" i="4" s="1"/>
  <c r="W9" i="4" s="1"/>
  <c r="B9" i="4"/>
  <c r="N8" i="4"/>
  <c r="P8" i="4" s="1"/>
  <c r="J22" i="3"/>
  <c r="I22" i="3"/>
  <c r="H22" i="3"/>
  <c r="G22" i="3"/>
  <c r="F22" i="3"/>
  <c r="E22" i="3"/>
  <c r="D22" i="3"/>
  <c r="O20" i="3"/>
  <c r="O19" i="3"/>
  <c r="O18" i="3"/>
  <c r="O17" i="3"/>
  <c r="O16" i="3"/>
  <c r="O15" i="3"/>
  <c r="O14" i="3"/>
  <c r="O13" i="3"/>
  <c r="X11" i="3"/>
  <c r="B9" i="3"/>
  <c r="B10" i="3" s="1"/>
  <c r="B11" i="3" s="1"/>
  <c r="B12" i="3" s="1"/>
  <c r="B13" i="3" s="1"/>
  <c r="I15" i="2"/>
  <c r="H15" i="2"/>
  <c r="G15" i="2"/>
  <c r="F15" i="2"/>
  <c r="E15" i="2"/>
  <c r="D15" i="2"/>
  <c r="J10" i="2"/>
  <c r="L10" i="2" s="1"/>
  <c r="J9" i="2"/>
  <c r="L9" i="2" s="1"/>
  <c r="B9" i="7" l="1"/>
  <c r="B10" i="7" s="1"/>
  <c r="F53" i="1"/>
  <c r="H53" i="1" s="1"/>
  <c r="J53" i="1" s="1"/>
  <c r="J54" i="1" s="1"/>
  <c r="K26" i="6"/>
  <c r="M22" i="3"/>
  <c r="B18" i="4"/>
  <c r="B19" i="4" s="1"/>
  <c r="B20" i="4" s="1"/>
  <c r="B21" i="4" s="1"/>
  <c r="B22" i="4" s="1"/>
  <c r="B23" i="4" s="1"/>
  <c r="B24" i="4" s="1"/>
  <c r="B25" i="4" s="1"/>
  <c r="B26" i="4" s="1"/>
  <c r="N27" i="4"/>
  <c r="P9" i="4"/>
  <c r="P27" i="4" s="1"/>
  <c r="B14" i="3"/>
  <c r="B15" i="3" s="1"/>
  <c r="B16" i="3" s="1"/>
  <c r="B17" i="3" s="1"/>
  <c r="B18" i="3" s="1"/>
  <c r="B19" i="3" s="1"/>
  <c r="B20" i="3" s="1"/>
  <c r="B21" i="3" s="1"/>
  <c r="I15" i="5"/>
  <c r="N15" i="2"/>
  <c r="K12" i="7"/>
  <c r="M12" i="7"/>
  <c r="L15" i="2"/>
  <c r="K15" i="5"/>
  <c r="Q22" i="3"/>
  <c r="O22" i="3"/>
  <c r="J55" i="1" l="1"/>
  <c r="J56" i="1" s="1"/>
  <c r="J57" i="1" s="1"/>
  <c r="J58" i="1" s="1"/>
  <c r="J59" i="1" s="1"/>
  <c r="J60" i="1" s="1"/>
  <c r="J61" i="1" s="1"/>
  <c r="J62" i="1" s="1"/>
  <c r="J63" i="1" s="1"/>
  <c r="J64" i="1" s="1"/>
  <c r="Q23" i="3"/>
  <c r="O15" i="2"/>
  <c r="M13" i="7"/>
  <c r="K16" i="5"/>
  <c r="J65" i="1" l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l="1"/>
  <c r="J77" i="1" s="1"/>
  <c r="J78" i="1" s="1"/>
  <c r="J79" i="1" s="1"/>
  <c r="J80" i="1" s="1"/>
  <c r="J81" i="1" s="1"/>
  <c r="J82" i="1" s="1"/>
  <c r="P46" i="1"/>
  <c r="P43" i="1"/>
  <c r="J83" i="1" l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I112" i="1"/>
  <c r="H111" i="1"/>
  <c r="I110" i="1"/>
  <c r="G111" i="1"/>
  <c r="E45" i="1"/>
  <c r="F45" i="1" s="1"/>
  <c r="P49" i="1"/>
  <c r="P48" i="1"/>
  <c r="P47" i="1"/>
  <c r="F44" i="1"/>
  <c r="H44" i="1" s="1"/>
  <c r="H102" i="1" s="1"/>
  <c r="E43" i="1"/>
  <c r="F43" i="1" s="1"/>
  <c r="H43" i="1" s="1"/>
  <c r="P42" i="1"/>
  <c r="F42" i="1"/>
  <c r="H42" i="1" s="1"/>
  <c r="P41" i="1"/>
  <c r="E41" i="1"/>
  <c r="F41" i="1" s="1"/>
  <c r="H41" i="1" s="1"/>
  <c r="J99" i="1" l="1"/>
  <c r="J100" i="1" s="1"/>
  <c r="J101" i="1" s="1"/>
  <c r="P102" i="1"/>
  <c r="Q102" i="1" s="1"/>
  <c r="I111" i="1"/>
  <c r="J103" i="1" l="1"/>
  <c r="Y32" i="1"/>
  <c r="M10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 TECHNOLOGY</author>
  </authors>
  <commentList>
    <comment ref="H43" authorId="0" shapeId="0" xr:uid="{422D47D0-AF56-4057-AAA7-1824A6C59ABE}">
      <text>
        <r>
          <rPr>
            <b/>
            <sz val="9"/>
            <color indexed="10"/>
            <rFont val="Tahoma"/>
            <family val="2"/>
          </rPr>
          <t>Para la cancelacion de este camión se quedo al tipo de cambio 11,30 pero no facturaron, motivo por lo cual tendria que cancelarce en dolares.</t>
        </r>
      </text>
    </comment>
    <comment ref="M45" authorId="0" shapeId="0" xr:uid="{FE6A02DE-F441-41DF-B4DC-0193512F3758}">
      <text>
        <r>
          <rPr>
            <b/>
            <sz val="9"/>
            <color indexed="81"/>
            <rFont val="Tahoma"/>
            <family val="2"/>
          </rPr>
          <t>Giro realizado por Jenrry a ALBANI</t>
        </r>
      </text>
    </comment>
    <comment ref="M46" authorId="0" shapeId="0" xr:uid="{DAF5B1F2-37CC-48B9-8FA8-3FA478BFDF51}">
      <text>
        <r>
          <rPr>
            <b/>
            <sz val="9"/>
            <color indexed="81"/>
            <rFont val="Tahoma"/>
            <family val="2"/>
          </rPr>
          <t>Comision sin respaldo del Giro realizado por Jenrry a ALBANI</t>
        </r>
      </text>
    </comment>
    <comment ref="M47" authorId="0" shapeId="0" xr:uid="{C60331FA-36EA-482B-91A9-BD165CF455A4}">
      <text>
        <r>
          <rPr>
            <b/>
            <sz val="9"/>
            <color indexed="81"/>
            <rFont val="Tahoma"/>
            <family val="2"/>
          </rPr>
          <t>Giro a ALBANY - de Vinto
por la Sr. Sandra.
06/05/25</t>
        </r>
      </text>
    </comment>
    <comment ref="M48" authorId="0" shapeId="0" xr:uid="{EB3715D9-B954-4A06-8C06-F435567F0F5E}">
      <text>
        <r>
          <rPr>
            <b/>
            <sz val="9"/>
            <color indexed="81"/>
            <rFont val="Tahoma"/>
            <family val="2"/>
          </rPr>
          <t>Giro a ALBANY - de Vinto
por la Sr Alejandro.
07/05/25</t>
        </r>
      </text>
    </comment>
    <comment ref="M49" authorId="0" shapeId="0" xr:uid="{4EC60F72-D8C3-4547-BF50-463B4AC3033E}">
      <text>
        <r>
          <rPr>
            <b/>
            <sz val="9"/>
            <color indexed="81"/>
            <rFont val="Tahoma"/>
            <family val="2"/>
          </rPr>
          <t>Compra de dólar de don Pedro T/C 15.-</t>
        </r>
      </text>
    </comment>
    <comment ref="N49" authorId="0" shapeId="0" xr:uid="{F3890E32-D0D7-4132-8626-27DEB457B91C}">
      <text>
        <r>
          <rPr>
            <b/>
            <sz val="9"/>
            <color indexed="81"/>
            <rFont val="Tahoma"/>
            <family val="2"/>
          </rPr>
          <t>Compra de dólar de don Pedro T/C x.-</t>
        </r>
      </text>
    </comment>
    <comment ref="M50" authorId="0" shapeId="0" xr:uid="{70306538-CFE1-4DEC-B9DA-21934A3D4B5F}">
      <text>
        <r>
          <rPr>
            <b/>
            <sz val="9"/>
            <color indexed="81"/>
            <rFont val="Tahoma"/>
            <family val="2"/>
          </rPr>
          <t>Compra de dólar de don Pedro T/C 17,25.-</t>
        </r>
      </text>
    </comment>
    <comment ref="M51" authorId="0" shapeId="0" xr:uid="{7383B76B-6399-40AA-BC81-230AF08071EF}">
      <text>
        <r>
          <rPr>
            <b/>
            <sz val="9"/>
            <color indexed="81"/>
            <rFont val="Tahoma"/>
            <family val="2"/>
          </rPr>
          <t>Giro a ALBANY - de Vinto
por la Sr. Sandra.
26/05/25</t>
        </r>
      </text>
    </comment>
    <comment ref="M52" authorId="0" shapeId="0" xr:uid="{8B8AE044-527B-4045-88FF-64FF0A9DE2A5}">
      <text>
        <r>
          <rPr>
            <b/>
            <sz val="9"/>
            <color indexed="81"/>
            <rFont val="Tahoma"/>
            <family val="2"/>
          </rPr>
          <t>doble Giro a ALBANY - de Vinto por la Sr. Sandra.
26/05/25</t>
        </r>
      </text>
    </comment>
    <comment ref="M53" authorId="0" shapeId="0" xr:uid="{BC18D437-356A-4EC0-8C74-82C6C0AFC540}">
      <text>
        <r>
          <rPr>
            <b/>
            <sz val="9"/>
            <color indexed="81"/>
            <rFont val="Tahoma"/>
            <family val="2"/>
          </rPr>
          <t>Giro realizado por Jenrry a ALBANI</t>
        </r>
      </text>
    </comment>
    <comment ref="M54" authorId="0" shapeId="0" xr:uid="{F7A6D263-68EA-4C34-A0B1-B8FC3BF1941A}">
      <text>
        <r>
          <rPr>
            <b/>
            <sz val="9"/>
            <color indexed="81"/>
            <rFont val="Tahoma"/>
            <family val="2"/>
          </rPr>
          <t>Comision sin respaldo del Giro realizado por Jenrry a ALBANI</t>
        </r>
      </text>
    </comment>
    <comment ref="M55" authorId="0" shapeId="0" xr:uid="{9321923E-D2D0-464D-A7A5-A2039FD9DE57}">
      <text>
        <r>
          <rPr>
            <b/>
            <sz val="9"/>
            <color indexed="81"/>
            <rFont val="Tahoma"/>
            <family val="2"/>
          </rPr>
          <t>Giro por EDDY C. 
ALBANY - VINTO
18/06/25
T/C 14.5</t>
        </r>
      </text>
    </comment>
    <comment ref="N55" authorId="0" shapeId="0" xr:uid="{A3729D53-F760-47C7-BE73-1B75AA7325E2}">
      <text>
        <r>
          <rPr>
            <b/>
            <sz val="9"/>
            <color indexed="81"/>
            <rFont val="Tahoma"/>
            <family val="2"/>
          </rPr>
          <t>COMISION DE TRANSFERENCIA POR EDDY C.
VINTO TOMO $91.71</t>
        </r>
      </text>
    </comment>
    <comment ref="M56" authorId="0" shapeId="0" xr:uid="{77ED60F1-A227-446F-8254-86BE6B26DBE0}">
      <text>
        <r>
          <rPr>
            <b/>
            <sz val="9"/>
            <color indexed="81"/>
            <rFont val="Tahoma"/>
            <family val="2"/>
          </rPr>
          <t>Giro por EDDY C. 
BLADES - VINTO
18/06/25
T/C 14.5</t>
        </r>
      </text>
    </comment>
    <comment ref="N56" authorId="0" shapeId="0" xr:uid="{70E6F91D-5EBF-4ACE-A114-FE2411A374CE}">
      <text>
        <r>
          <rPr>
            <b/>
            <sz val="9"/>
            <color indexed="81"/>
            <rFont val="Tahoma"/>
            <family val="2"/>
          </rPr>
          <t>COMISION DE TRANSFERENCIA POR EDDY C.
VINTO TOMO $91.71</t>
        </r>
      </text>
    </comment>
    <comment ref="M57" authorId="0" shapeId="0" xr:uid="{5E31ED9D-B063-453F-B2EB-98295509F036}">
      <text>
        <r>
          <rPr>
            <b/>
            <sz val="9"/>
            <color indexed="81"/>
            <rFont val="Tahoma"/>
            <family val="2"/>
          </rPr>
          <t xml:space="preserve">GIRO POR OSVALDO TELLEZ
25/06/25
CONSTRUCCIONES PAPELERAS SL. - COPASA
A FAVOR DE VINTO
</t>
        </r>
        <r>
          <rPr>
            <b/>
            <i/>
            <sz val="9"/>
            <color indexed="81"/>
            <rFont val="Tahoma"/>
            <family val="2"/>
          </rPr>
          <t>COMO APORTE DE CAPITAL</t>
        </r>
      </text>
    </comment>
    <comment ref="N57" authorId="0" shapeId="0" xr:uid="{5BC6DFFA-6367-4DCB-86AB-B13FD1372091}">
      <text>
        <r>
          <rPr>
            <b/>
            <sz val="9"/>
            <color indexed="81"/>
            <rFont val="Tahoma"/>
            <family val="2"/>
          </rPr>
          <t>COMISION</t>
        </r>
      </text>
    </comment>
    <comment ref="M58" authorId="0" shapeId="0" xr:uid="{4F0785CB-8C20-4500-B702-00D5EE1DDA28}">
      <text>
        <r>
          <rPr>
            <b/>
            <sz val="9"/>
            <color indexed="81"/>
            <rFont val="Tahoma"/>
            <family val="2"/>
          </rPr>
          <t xml:space="preserve">GIRO POR OSVALDO TELLEZ
25/06/25
ALBANY
A FAVOR DE VINTO
</t>
        </r>
        <r>
          <rPr>
            <b/>
            <i/>
            <sz val="9"/>
            <color indexed="81"/>
            <rFont val="Tahoma"/>
            <family val="2"/>
          </rPr>
          <t>COMO APORTE DE CAPITAL</t>
        </r>
      </text>
    </comment>
    <comment ref="M59" authorId="0" shapeId="0" xr:uid="{0A84950C-A9C0-4C0D-8E76-9FAAB3E35126}">
      <text>
        <r>
          <rPr>
            <b/>
            <sz val="9"/>
            <color indexed="81"/>
            <rFont val="Tahoma"/>
            <family val="2"/>
          </rPr>
          <t xml:space="preserve">GIRO POR OSVALDO TELLEZ
11/07/25
ALBANY
A FAVOR DE VINTO
</t>
        </r>
        <r>
          <rPr>
            <b/>
            <i/>
            <sz val="9"/>
            <color indexed="81"/>
            <rFont val="Tahoma"/>
            <family val="2"/>
          </rPr>
          <t>COMO APORTE DE CAPITAL</t>
        </r>
      </text>
    </comment>
    <comment ref="M60" authorId="0" shapeId="0" xr:uid="{09E9320A-3322-4D2F-87DA-1BFD93393759}">
      <text>
        <r>
          <rPr>
            <b/>
            <sz val="9"/>
            <color indexed="81"/>
            <rFont val="Tahoma"/>
            <family val="2"/>
          </rPr>
          <t>Compra de dólar del Sr. Pedro t/c 15,40</t>
        </r>
      </text>
    </comment>
    <comment ref="N60" authorId="0" shapeId="0" xr:uid="{D1E8DAE3-D39C-4861-B5DA-8056305EB8C2}">
      <text>
        <r>
          <rPr>
            <b/>
            <sz val="9"/>
            <color indexed="81"/>
            <rFont val="Tahoma"/>
            <family val="2"/>
          </rPr>
          <t>Compra de dólar del Sr. Pedro t/c 15,40</t>
        </r>
      </text>
    </comment>
    <comment ref="O60" authorId="0" shapeId="0" xr:uid="{E4977BB9-6716-4D6B-B49A-CF2389E55DC2}">
      <text>
        <r>
          <rPr>
            <b/>
            <sz val="9"/>
            <color indexed="81"/>
            <rFont val="Tahoma"/>
            <family val="2"/>
          </rPr>
          <t>Compra de dólar del Sr. Pedro t/c 15,35</t>
        </r>
      </text>
    </comment>
    <comment ref="M61" authorId="0" shapeId="0" xr:uid="{2FD950ED-33E5-4D5C-ABBB-0E8C1B155515}">
      <text>
        <r>
          <rPr>
            <b/>
            <sz val="9"/>
            <color indexed="81"/>
            <rFont val="Tahoma"/>
            <family val="2"/>
          </rPr>
          <t>Giro realizado por Jenrry a ALBANI</t>
        </r>
      </text>
    </comment>
    <comment ref="N61" authorId="0" shapeId="0" xr:uid="{D305A7F4-993C-40C5-A4E0-0299C8046D55}">
      <text>
        <r>
          <rPr>
            <b/>
            <sz val="9"/>
            <color indexed="81"/>
            <rFont val="Tahoma"/>
            <family val="2"/>
          </rPr>
          <t>Comision por el giro a ALBANY, por JENRRY</t>
        </r>
      </text>
    </comment>
    <comment ref="I62" authorId="0" shapeId="0" xr:uid="{E9737EE2-F3C1-497A-9338-F6AA79250042}">
      <text>
        <r>
          <rPr>
            <b/>
            <sz val="9"/>
            <color indexed="81"/>
            <rFont val="Tahoma"/>
            <family val="2"/>
          </rPr>
          <t>3691.53 DESCONTADO POR REVOTE EN TRANSFERENCIA</t>
        </r>
      </text>
    </comment>
    <comment ref="M62" authorId="0" shapeId="0" xr:uid="{B2E2AC82-B437-4194-A86B-4EC53C854848}">
      <text>
        <r>
          <rPr>
            <b/>
            <sz val="9"/>
            <color indexed="81"/>
            <rFont val="Tahoma"/>
            <family val="2"/>
          </rPr>
          <t>Giro por EDDY C. 
VM MANUTENCAO - VINTO
18/07/25
T/C 14,25</t>
        </r>
      </text>
    </comment>
    <comment ref="N62" authorId="0" shapeId="0" xr:uid="{586C4EBF-E280-4EC2-BDE4-68CE5F5F3AF5}">
      <text>
        <r>
          <rPr>
            <b/>
            <sz val="9"/>
            <color indexed="81"/>
            <rFont val="Tahoma"/>
            <family val="2"/>
          </rPr>
          <t>COMISION DE TRANSFERENCIA POR EDDY C.
VINTO TOMO $.....</t>
        </r>
      </text>
    </comment>
    <comment ref="M63" authorId="0" shapeId="0" xr:uid="{C27BA36C-F651-447C-8B1E-D581FF206628}">
      <text>
        <r>
          <rPr>
            <b/>
            <sz val="9"/>
            <color indexed="81"/>
            <rFont val="Tahoma"/>
            <family val="2"/>
          </rPr>
          <t>Giro por EDDY C. 
VM MANUTENCAO - VINTO
18/07/25
T/C 14,25</t>
        </r>
      </text>
    </comment>
    <comment ref="M64" authorId="0" shapeId="0" xr:uid="{77325D4D-C164-43FA-AB05-814250C60899}">
      <text>
        <r>
          <rPr>
            <b/>
            <sz val="9"/>
            <color indexed="81"/>
            <rFont val="Tahoma"/>
            <family val="2"/>
          </rPr>
          <t>Giro por EDDY C. 
VM MANUTENCAO - VINTO
18/07/25
T/C 14,25</t>
        </r>
      </text>
    </comment>
    <comment ref="M65" authorId="0" shapeId="0" xr:uid="{3FA4A3D1-79D8-4483-B70D-39538304B8B9}">
      <text>
        <r>
          <rPr>
            <b/>
            <sz val="9"/>
            <color indexed="81"/>
            <rFont val="Tahoma"/>
            <family val="2"/>
          </rPr>
          <t>Giro por Osvaldo Tellez de Eur 850.-
Como aporte de capital
31/07/25</t>
        </r>
      </text>
    </comment>
    <comment ref="M66" authorId="0" shapeId="0" xr:uid="{1C3E9B38-D707-460B-9583-390E50AA7FCA}">
      <text>
        <r>
          <rPr>
            <b/>
            <sz val="9"/>
            <color indexed="81"/>
            <rFont val="Tahoma"/>
            <family val="2"/>
          </rPr>
          <t>Compra de dólar del Sr. Pedro t/c14,65
19/07/25</t>
        </r>
      </text>
    </comment>
    <comment ref="N66" authorId="0" shapeId="0" xr:uid="{A27ADF64-A299-4B3E-A515-6B9EE3A52216}">
      <text>
        <r>
          <rPr>
            <b/>
            <sz val="9"/>
            <color indexed="81"/>
            <rFont val="Tahoma"/>
            <family val="2"/>
          </rPr>
          <t>Compra de dólar del Sr. Pedro t/c14,40
23/07/25</t>
        </r>
      </text>
    </comment>
    <comment ref="O66" authorId="0" shapeId="0" xr:uid="{692F3EB0-5573-47F8-8CB2-ED6167EAE077}">
      <text>
        <r>
          <rPr>
            <b/>
            <sz val="9"/>
            <color indexed="81"/>
            <rFont val="Tahoma"/>
            <family val="2"/>
          </rPr>
          <t>Compra de dólar en Quillacollo.
01/08/25</t>
        </r>
      </text>
    </comment>
    <comment ref="M67" authorId="0" shapeId="0" xr:uid="{8F03A0B0-AEC1-4137-89CA-039025F6804F}">
      <text>
        <r>
          <rPr>
            <b/>
            <sz val="9"/>
            <color indexed="81"/>
            <rFont val="Tahoma"/>
            <family val="2"/>
          </rPr>
          <t xml:space="preserve">GIRO POR OSVALDO TELLEZ
05/08/25
CONDOR INTERNATIONAL INC
A FAVOR DE VINTO
</t>
        </r>
        <r>
          <rPr>
            <b/>
            <i/>
            <sz val="9"/>
            <color indexed="81"/>
            <rFont val="Tahoma"/>
            <family val="2"/>
          </rPr>
          <t>COMO APORTE DE CAPITAL</t>
        </r>
      </text>
    </comment>
    <comment ref="M68" authorId="0" shapeId="0" xr:uid="{A9B786EE-EA64-4FC0-BB3D-11CAB8DDFA19}">
      <text>
        <r>
          <rPr>
            <b/>
            <sz val="9"/>
            <color indexed="81"/>
            <rFont val="Tahoma"/>
            <family val="2"/>
          </rPr>
          <t xml:space="preserve">GIRO POR OSVALDO TELLEZ
07/08/25
CONDOR INTERNATIONAL INC
A FAVOR DE VINTO
</t>
        </r>
        <r>
          <rPr>
            <b/>
            <i/>
            <sz val="9"/>
            <color indexed="81"/>
            <rFont val="Tahoma"/>
            <family val="2"/>
          </rPr>
          <t>COMO APORTE DE CAPITAL</t>
        </r>
      </text>
    </comment>
    <comment ref="M69" authorId="0" shapeId="0" xr:uid="{AEA06912-57BA-4DC7-BF12-F9EFD450AB45}">
      <text>
        <r>
          <rPr>
            <b/>
            <sz val="9"/>
            <color indexed="81"/>
            <rFont val="Tahoma"/>
            <family val="2"/>
          </rPr>
          <t xml:space="preserve">GIRO POR OSVALDO TELLEZ
xx/08/25
CONDOR INTERNATIONAL INC
A FAVOR DE VINTO
</t>
        </r>
        <r>
          <rPr>
            <b/>
            <i/>
            <sz val="9"/>
            <color indexed="81"/>
            <rFont val="Tahoma"/>
            <family val="2"/>
          </rPr>
          <t>COMO APORTE DE CAPITAL</t>
        </r>
      </text>
    </comment>
    <comment ref="M70" authorId="0" shapeId="0" xr:uid="{5C343A3D-7668-406D-BCB7-BB4FA95A8D52}">
      <text>
        <r>
          <rPr>
            <b/>
            <sz val="9"/>
            <color indexed="81"/>
            <rFont val="Tahoma"/>
            <family val="2"/>
          </rPr>
          <t xml:space="preserve">GIRO POR OSVALDO TELLEZ
xx/08/25
CONDOR INTERNATIONAL INC
A FAVOR DE VINTO
</t>
        </r>
        <r>
          <rPr>
            <b/>
            <i/>
            <sz val="9"/>
            <color indexed="81"/>
            <rFont val="Tahoma"/>
            <family val="2"/>
          </rPr>
          <t>COMO APORTE DE CAPITAL</t>
        </r>
      </text>
    </comment>
    <comment ref="M71" authorId="0" shapeId="0" xr:uid="{2A020FED-6DE2-4804-9432-C8B0C0233AAF}">
      <text>
        <r>
          <rPr>
            <b/>
            <sz val="9"/>
            <color indexed="81"/>
            <rFont val="Tahoma"/>
            <family val="2"/>
          </rPr>
          <t>Compra de dólar del Sr. Pedro t/c13,80
11/08/25</t>
        </r>
      </text>
    </comment>
    <comment ref="N71" authorId="0" shapeId="0" xr:uid="{68EE38CE-6A26-4142-9CD7-BFA2875DB097}">
      <text>
        <r>
          <rPr>
            <b/>
            <sz val="9"/>
            <color indexed="81"/>
            <rFont val="Tahoma"/>
            <family val="2"/>
          </rPr>
          <t>Compra de dólar en Quillacollo.
02/08/25</t>
        </r>
      </text>
    </comment>
    <comment ref="M77" authorId="0" shapeId="0" xr:uid="{901171B9-FAA2-41D2-9E84-A2A66FBEA986}">
      <text>
        <r>
          <rPr>
            <b/>
            <sz val="9"/>
            <color indexed="81"/>
            <rFont val="Tahoma"/>
            <family val="2"/>
          </rPr>
          <t>Giro por EDDY C. 
AKBANY - VINTO
10/09/25
T/C variable</t>
        </r>
      </text>
    </comment>
    <comment ref="M78" authorId="0" shapeId="0" xr:uid="{546D9D32-D4C1-405D-8558-444DC90A2437}">
      <text>
        <r>
          <rPr>
            <b/>
            <sz val="9"/>
            <color indexed="81"/>
            <rFont val="Tahoma"/>
            <family val="2"/>
          </rPr>
          <t>Compra de dólar del Sr. Pedro t/c12,60
11/09/25</t>
        </r>
      </text>
    </comment>
    <comment ref="N78" authorId="0" shapeId="0" xr:uid="{AD957264-5662-4334-B3D0-64CA97997878}">
      <text>
        <r>
          <rPr>
            <b/>
            <sz val="9"/>
            <color indexed="81"/>
            <rFont val="Tahoma"/>
            <family val="2"/>
          </rPr>
          <t>Compra de dólar del Sr. Pedro t/c12,90
17/09/25</t>
        </r>
      </text>
    </comment>
    <comment ref="M82" authorId="0" shapeId="0" xr:uid="{EEB8C0D1-A19F-45CF-9DC7-E7307B83E311}">
      <text>
        <r>
          <rPr>
            <b/>
            <sz val="9"/>
            <color indexed="81"/>
            <rFont val="Tahoma"/>
            <family val="2"/>
          </rPr>
          <t>GIRO A REALIZAR POR EDDY</t>
        </r>
      </text>
    </comment>
    <comment ref="M83" authorId="0" shapeId="0" xr:uid="{70D70FB8-1F44-4D70-84B8-B536668C4E5A}">
      <text>
        <r>
          <rPr>
            <b/>
            <sz val="9"/>
            <color indexed="81"/>
            <rFont val="Tahoma"/>
            <family val="2"/>
          </rPr>
          <t>Giro realizado por Osvaldo Tellez, como aporte de capital</t>
        </r>
      </text>
    </comment>
    <comment ref="M84" authorId="0" shapeId="0" xr:uid="{93A267BA-4BA4-4ADA-A66B-476C2672D558}">
      <text>
        <r>
          <rPr>
            <b/>
            <sz val="9"/>
            <color indexed="81"/>
            <rFont val="Tahoma"/>
            <family val="2"/>
          </rPr>
          <t>Prestamo de familiares de don Osvaldo</t>
        </r>
      </text>
    </comment>
    <comment ref="N84" authorId="0" shapeId="0" xr:uid="{B9138378-4B95-4E39-B1AC-C4A4CDC8293F}">
      <text>
        <r>
          <rPr>
            <b/>
            <sz val="9"/>
            <color indexed="81"/>
            <rFont val="Tahoma"/>
            <family val="2"/>
          </rPr>
          <t>Compra de dolares Sr Pedro</t>
        </r>
      </text>
    </comment>
    <comment ref="O84" authorId="0" shapeId="0" xr:uid="{F500EC8F-76DD-490C-8861-2702833AE965}">
      <text>
        <r>
          <rPr>
            <b/>
            <sz val="9"/>
            <color indexed="81"/>
            <rFont val="Tahoma"/>
            <family val="2"/>
          </rPr>
          <t>Compra de dolares en Sucre</t>
        </r>
      </text>
    </comment>
    <comment ref="M85" authorId="0" shapeId="0" xr:uid="{8B4F75E5-6617-45F6-9A29-8035EB3AC5DE}">
      <text>
        <r>
          <rPr>
            <b/>
            <sz val="9"/>
            <color indexed="81"/>
            <rFont val="Tahoma"/>
            <family val="2"/>
          </rPr>
          <t>Comision de EDDY</t>
        </r>
      </text>
    </comment>
    <comment ref="M88" authorId="0" shapeId="0" xr:uid="{E2E8FE49-7B8E-4AA9-8F31-5CCCC97A5AE9}">
      <text>
        <r>
          <rPr>
            <b/>
            <sz val="9"/>
            <color indexed="81"/>
            <rFont val="Tahoma"/>
            <family val="2"/>
          </rPr>
          <t>Giro en chile por Jenrry</t>
        </r>
      </text>
    </comment>
    <comment ref="E89" authorId="0" shapeId="0" xr:uid="{562D2984-C18B-48B7-BB0E-967A75FBD75F}">
      <text>
        <r>
          <rPr>
            <b/>
            <sz val="9"/>
            <color indexed="81"/>
            <rFont val="Tahoma"/>
            <family val="2"/>
          </rPr>
          <t xml:space="preserve">total despacho                 kg17.422.-
</t>
        </r>
        <r>
          <rPr>
            <b/>
            <u/>
            <sz val="9"/>
            <color indexed="81"/>
            <rFont val="Tahoma"/>
            <family val="2"/>
          </rPr>
          <t xml:space="preserve">devolucion de mermas  kg8.990.-
</t>
        </r>
        <r>
          <rPr>
            <b/>
            <sz val="9"/>
            <color indexed="81"/>
            <rFont val="Tahoma"/>
            <family val="2"/>
          </rPr>
          <t xml:space="preserve">     </t>
        </r>
        <r>
          <rPr>
            <b/>
            <i/>
            <sz val="9"/>
            <color indexed="14"/>
            <rFont val="Tahoma"/>
            <family val="2"/>
          </rPr>
          <t>total kg a cancelar     kg8.432.-</t>
        </r>
      </text>
    </comment>
    <comment ref="M89" authorId="0" shapeId="0" xr:uid="{E80A492B-C317-4B71-8E59-80E842EB8E5A}">
      <text>
        <r>
          <rPr>
            <b/>
            <sz val="9"/>
            <color indexed="81"/>
            <rFont val="Tahoma"/>
            <family val="2"/>
          </rPr>
          <t>Giro en chile por Jenrry</t>
        </r>
      </text>
    </comment>
    <comment ref="M91" authorId="0" shapeId="0" xr:uid="{4CE93CEF-C1B9-43C8-A235-C237025E8549}">
      <text>
        <r>
          <rPr>
            <b/>
            <sz val="9"/>
            <color indexed="81"/>
            <rFont val="Tahoma"/>
            <family val="2"/>
          </rPr>
          <t>Compra de CBBA del Sr. Fausto C.</t>
        </r>
      </text>
    </comment>
    <comment ref="M93" authorId="0" shapeId="0" xr:uid="{AAFFCD3D-F905-4369-8C60-93479135ED0F}">
      <text>
        <r>
          <rPr>
            <b/>
            <sz val="9"/>
            <color indexed="81"/>
            <rFont val="Tahoma"/>
            <family val="2"/>
          </rPr>
          <t>Compra del Sr. Pedro Sucre</t>
        </r>
      </text>
    </comment>
    <comment ref="M94" authorId="0" shapeId="0" xr:uid="{9F5B4E38-7C4D-4DE4-AE69-BA48FEEC6ECD}">
      <text>
        <r>
          <rPr>
            <b/>
            <sz val="9"/>
            <color indexed="81"/>
            <rFont val="Tahoma"/>
            <family val="2"/>
          </rPr>
          <t>Compra de CBBA, EL 29/01/26 T/C 9.18</t>
        </r>
      </text>
    </comment>
  </commentList>
</comments>
</file>

<file path=xl/sharedStrings.xml><?xml version="1.0" encoding="utf-8"?>
<sst xmlns="http://schemas.openxmlformats.org/spreadsheetml/2006/main" count="375" uniqueCount="164">
  <si>
    <t>CONTROL DE RECEPCION</t>
  </si>
  <si>
    <t>VINTO S.R.L.</t>
  </si>
  <si>
    <t>BOBINA</t>
  </si>
  <si>
    <t>Nº</t>
  </si>
  <si>
    <t xml:space="preserve">FECHA DE ENVIO </t>
  </si>
  <si>
    <t>FECHA DE FACTURACION</t>
  </si>
  <si>
    <t>FECHA DE RECEPCION</t>
  </si>
  <si>
    <t>CAMION</t>
  </si>
  <si>
    <t>PAPEL HIGIENICO</t>
  </si>
  <si>
    <t>PAPEL SERVILLETA</t>
  </si>
  <si>
    <t>PAPEL TOALLA</t>
  </si>
  <si>
    <t>PESO NETO
Kgr.</t>
  </si>
  <si>
    <t xml:space="preserve">PRECIO UNITARIO </t>
  </si>
  <si>
    <t>PRECIO TOTAL FACTURADO</t>
  </si>
  <si>
    <t>Nº FACT</t>
  </si>
  <si>
    <t>ESTADO</t>
  </si>
  <si>
    <t>PAGADO</t>
  </si>
  <si>
    <t>PH GR-14 CR-17%</t>
  </si>
  <si>
    <t>PS GR-18 CR-14%</t>
  </si>
  <si>
    <t>PH GR-13 CR-17%</t>
  </si>
  <si>
    <t>PENDIENTE</t>
  </si>
  <si>
    <t>TOTALES</t>
  </si>
  <si>
    <t>DETALLE DE PAGO A PAPELERA VINTO SRL.</t>
  </si>
  <si>
    <t>N°</t>
  </si>
  <si>
    <t>FECHA</t>
  </si>
  <si>
    <t>N° DE FACTURA</t>
  </si>
  <si>
    <t>KILOS</t>
  </si>
  <si>
    <t>TONELADAS</t>
  </si>
  <si>
    <t>$us / tn</t>
  </si>
  <si>
    <t>TOTAL COMPRA
$us</t>
  </si>
  <si>
    <t>Fecha de cancelación</t>
  </si>
  <si>
    <t>OBTENCIÓN DE DOLARES</t>
  </si>
  <si>
    <t>TOTAL INGRESO
$us.</t>
  </si>
  <si>
    <t>a facturar</t>
  </si>
  <si>
    <t>DÓLAR</t>
  </si>
  <si>
    <t>Pagado en:</t>
  </si>
  <si>
    <t>SALDO AL 31/03/25</t>
  </si>
  <si>
    <t>Facturado</t>
  </si>
  <si>
    <t>PARCIAL</t>
  </si>
  <si>
    <t>BOLIVIANOS</t>
  </si>
  <si>
    <t>BANCO UNION</t>
  </si>
  <si>
    <t>BANCO NACIONAL</t>
  </si>
  <si>
    <t>Fecha de Pago</t>
  </si>
  <si>
    <t>FORMA DE PAGO</t>
  </si>
  <si>
    <t>DÓLAR
$us
1</t>
  </si>
  <si>
    <t>DÓLAR
$us
2</t>
  </si>
  <si>
    <t>PRECIO TOTAL FACTURADO
Bs.-</t>
  </si>
  <si>
    <t>PRECIO TOTAL FACTURADO
$us</t>
  </si>
  <si>
    <t>GESTION 2025 - 2026</t>
  </si>
  <si>
    <t>CUENTAS POR PAGAR</t>
  </si>
  <si>
    <t>DERQUI S.R.L.</t>
  </si>
  <si>
    <t>PRODUCTO MATERIAL BOLSAS</t>
  </si>
  <si>
    <t>PESO TOTAL
Kgr.</t>
  </si>
  <si>
    <t>PRECIO FACTURADO</t>
  </si>
  <si>
    <t>MEGARROLLO</t>
  </si>
  <si>
    <t>ECONOMICO</t>
  </si>
  <si>
    <t>LUXZURY 6R</t>
  </si>
  <si>
    <t>BOBINA TRANSPARENTE</t>
  </si>
  <si>
    <t>TOTAL PAGADO POR FACTURA</t>
  </si>
  <si>
    <t xml:space="preserve">FECHA DE PAGO </t>
  </si>
  <si>
    <t>MONTO DEPOSITADO</t>
  </si>
  <si>
    <t>BU</t>
  </si>
  <si>
    <t>BNB</t>
  </si>
  <si>
    <t>MULTIFLEX</t>
  </si>
  <si>
    <t>PRODUCTO MATERIAL BOLSAS EN KILO</t>
  </si>
  <si>
    <t>LUXZURY 12R</t>
  </si>
  <si>
    <t>LUXZURY 24R</t>
  </si>
  <si>
    <t>SERVILLETA MALETA</t>
  </si>
  <si>
    <t>SERVILLETA CHORIZO</t>
  </si>
  <si>
    <t>SERVILLETA BANDEO</t>
  </si>
  <si>
    <t>AGARRADOR
LECHOSO</t>
  </si>
  <si>
    <t>PASACALLES</t>
  </si>
  <si>
    <t>SERVILLETA 200u X 12</t>
  </si>
  <si>
    <t>MEGAROLLO</t>
  </si>
  <si>
    <t>TOTAL DEPOSITO</t>
  </si>
  <si>
    <t>SALDO A CANCELAR</t>
  </si>
  <si>
    <t>COLMAFLEX</t>
  </si>
  <si>
    <t>N° DE NOTA</t>
  </si>
  <si>
    <t>73 x 78 /40 - Bandeo, Lux 6R, Mega. 3ª</t>
  </si>
  <si>
    <t>73 -47 x 77 /40</t>
  </si>
  <si>
    <t>73 x 82 /40 - Lux 24R, Lux 6R</t>
  </si>
  <si>
    <t>64 x 91 /40 - Lux 12R, Serv. 500x8</t>
  </si>
  <si>
    <t>48 x 64 /40 - Mega. 2ª</t>
  </si>
  <si>
    <t>71 x 63 /40 - Serv. 500x6</t>
  </si>
  <si>
    <t>TOTAL A PAGAR</t>
  </si>
  <si>
    <t>DISPROQUIMICOS (CODELSA SRL.)</t>
  </si>
  <si>
    <t>PEGAMENTO</t>
  </si>
  <si>
    <t>NOTA DE ENTREGA</t>
  </si>
  <si>
    <t>LAMINADO
LAM - 950</t>
  </si>
  <si>
    <t>PEGAMENTO
COLILLA
R200</t>
  </si>
  <si>
    <t>WILED PAPER</t>
  </si>
  <si>
    <t>PRODUCTO</t>
  </si>
  <si>
    <t>RODELLAS</t>
  </si>
  <si>
    <t>TOTAL DEPOSITADO</t>
  </si>
  <si>
    <t>MONOPOL</t>
  </si>
  <si>
    <t>PEGAMENTO COLILLA</t>
  </si>
  <si>
    <t>CANTIDAD
TURRIL</t>
  </si>
  <si>
    <t>DESCUENTO</t>
  </si>
  <si>
    <t xml:space="preserve">FECHA DE RECEPCION </t>
  </si>
  <si>
    <t>BOLSAS SIN IMPRESION</t>
  </si>
  <si>
    <t>TOTAL PAGO</t>
  </si>
  <si>
    <t>varios</t>
  </si>
  <si>
    <t>Diferencia</t>
  </si>
  <si>
    <t>Compensado con la venta de rodelas antiguas</t>
  </si>
  <si>
    <t>Deposito</t>
  </si>
  <si>
    <t>-</t>
  </si>
  <si>
    <t>D, ARTEPLAST</t>
  </si>
  <si>
    <t>TOTAL</t>
  </si>
  <si>
    <t>SALDO A CANCELAR $us</t>
  </si>
  <si>
    <t>47x77cm</t>
  </si>
  <si>
    <t>38x64cm</t>
  </si>
  <si>
    <t>40 x 61cm</t>
  </si>
  <si>
    <t>49 x 63cm</t>
  </si>
  <si>
    <t>HASAN</t>
  </si>
  <si>
    <t>GUALBERTO QUISPE</t>
  </si>
  <si>
    <t>FREDDY QUISPE</t>
  </si>
  <si>
    <t>PETRONIA HURTADO</t>
  </si>
  <si>
    <t>SALDO A FAVOR DE SHEMA $us</t>
  </si>
  <si>
    <t>MULTIFLEX Ltda.</t>
  </si>
  <si>
    <t xml:space="preserve">Producto: </t>
  </si>
  <si>
    <t xml:space="preserve">Fecha: </t>
  </si>
  <si>
    <t xml:space="preserve">Peso </t>
  </si>
  <si>
    <t>Paquete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</si>
  <si>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</si>
  <si>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</si>
  <si>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</si>
  <si>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</si>
  <si>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</si>
  <si>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</si>
  <si>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</si>
  <si>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</si>
  <si>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</si>
  <si>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Bolsas Transparentes</t>
  </si>
  <si>
    <t>Empresa:</t>
  </si>
  <si>
    <t>Encargada de Almacen</t>
  </si>
  <si>
    <t>Bolsas de Megarollo - Defectuoso</t>
  </si>
  <si>
    <t>Bolsas de Servilletas de 50uds. - Defectuoso</t>
  </si>
  <si>
    <t>10</t>
  </si>
  <si>
    <t>DEVOLUCION</t>
  </si>
  <si>
    <t>NOTA DE SALIDA</t>
  </si>
  <si>
    <t>71 x 75 x 40</t>
  </si>
  <si>
    <t>Medida</t>
  </si>
  <si>
    <t>D´ ARTEPLAST</t>
  </si>
  <si>
    <t>Transportista</t>
  </si>
  <si>
    <t>FLEXIPLAS</t>
  </si>
  <si>
    <t>Bobinas Plasticas EcoPack 6 rollos</t>
  </si>
  <si>
    <t>POLIEP6R-02-13</t>
  </si>
  <si>
    <t>POLIEP6R-02-12</t>
  </si>
  <si>
    <t>POLIEP6R-02-11</t>
  </si>
  <si>
    <t>POLIEP6R-02-10</t>
  </si>
  <si>
    <t>Peso Kilo</t>
  </si>
  <si>
    <t>MERMAS PENDIENTES A DEVOLVER Kg.</t>
  </si>
  <si>
    <t xml:space="preserve">49 x 63 /40 </t>
  </si>
  <si>
    <t>PEG. PAPEL - SS (TUBO)
200KG</t>
  </si>
  <si>
    <t xml:space="preserve">Devolucion </t>
  </si>
  <si>
    <t>PEGAMON LAMINADO
200kg</t>
  </si>
  <si>
    <t>4121 CNL</t>
  </si>
  <si>
    <t>67-45 x 75 /40</t>
  </si>
  <si>
    <t>40-62 x 61 /40 - Serv. 200uds</t>
  </si>
  <si>
    <t>2449 NFG</t>
  </si>
  <si>
    <t>3016 PLB</t>
  </si>
  <si>
    <t>CANTIDAD BOVINAS</t>
  </si>
  <si>
    <t>TOTAL PESO NETO
Kgr.</t>
  </si>
  <si>
    <t>PESO Kgr.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</si>
</sst>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dd/mm/yyyy;@"/>
    <numFmt numFmtId="167" formatCode="#,##0.00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rgb="FF002060"/>
      <name val="Cambria"/>
      <family val="1"/>
    </font>
    <font>
      <b/>
      <sz val="11"/>
      <color rgb="FFFFFF00"/>
      <name val="Cambria"/>
      <family val="1"/>
    </font>
    <font>
      <b/>
      <sz val="9"/>
      <color rgb="FF003300"/>
      <name val="Cambria"/>
      <family val="1"/>
    </font>
    <font>
      <b/>
      <sz val="11"/>
      <color rgb="FF003300"/>
      <name val="Cambria"/>
      <family val="1"/>
    </font>
    <font>
      <b/>
      <sz val="11"/>
      <name val="Cambria"/>
      <family val="1"/>
    </font>
    <font>
      <b/>
      <sz val="11"/>
      <color rgb="FFFF0000"/>
      <name val="Cambria"/>
      <family val="1"/>
    </font>
    <font>
      <b/>
      <i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theme="1"/>
      <name val="Cambria"/>
      <family val="1"/>
    </font>
    <font>
      <b/>
      <sz val="11"/>
      <color theme="0"/>
      <name val="Cambria"/>
      <family val="1"/>
    </font>
    <font>
      <sz val="11"/>
      <name val="Cambria"/>
      <family val="1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  <font>
      <b/>
      <sz val="14"/>
      <color rgb="FFFFFF00"/>
      <name val="Cambria"/>
      <family val="1"/>
    </font>
    <font>
      <b/>
      <i/>
      <sz val="14"/>
      <color rgb="FFFFFF00"/>
      <name val="Cambria"/>
      <family val="1"/>
    </font>
    <font>
      <b/>
      <sz val="9"/>
      <name val="Cambria"/>
      <family val="1"/>
    </font>
    <font>
      <b/>
      <sz val="11"/>
      <name val="Perpetua"/>
      <family val="1"/>
    </font>
    <font>
      <b/>
      <sz val="10"/>
      <name val="Perpetua"/>
      <family val="1"/>
    </font>
    <font>
      <b/>
      <sz val="11"/>
      <color theme="1"/>
      <name val="Calibri"/>
      <family val="2"/>
      <scheme val="minor"/>
    </font>
    <font>
      <b/>
      <sz val="10"/>
      <color theme="7" tint="0.39997558519241921"/>
      <name val="Cambria"/>
      <family val="1"/>
    </font>
    <font>
      <sz val="11"/>
      <color rgb="FFFF0000"/>
      <name val="Cambria"/>
      <family val="1"/>
    </font>
    <font>
      <b/>
      <i/>
      <sz val="14"/>
      <color theme="0"/>
      <name val="Cambria"/>
      <family val="1"/>
    </font>
    <font>
      <sz val="8"/>
      <name val="Calibri"/>
      <family val="2"/>
      <scheme val="minor"/>
    </font>
    <font>
      <b/>
      <i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Berlin Sans FB Demi"/>
      <family val="2"/>
    </font>
    <font>
      <b/>
      <u/>
      <sz val="9"/>
      <color indexed="81"/>
      <name val="Tahoma"/>
      <family val="2"/>
    </font>
    <font>
      <b/>
      <i/>
      <sz val="9"/>
      <color indexed="14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 wrapText="1"/>
    </xf>
    <xf numFmtId="164" fontId="5" fillId="3" borderId="2" xfId="1" applyFont="1" applyFill="1" applyBorder="1" applyAlignment="1">
      <alignment horizontal="center" vertical="center" wrapText="1"/>
    </xf>
    <xf numFmtId="164" fontId="7" fillId="2" borderId="2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3" fillId="0" borderId="4" xfId="0" applyNumberFormat="1" applyFont="1" applyBorder="1" applyAlignment="1">
      <alignment horizontal="right" vertical="center"/>
    </xf>
    <xf numFmtId="4" fontId="3" fillId="0" borderId="4" xfId="1" applyNumberFormat="1" applyFont="1" applyFill="1" applyBorder="1" applyAlignment="1">
      <alignment horizontal="center" vertical="center"/>
    </xf>
    <xf numFmtId="4" fontId="3" fillId="0" borderId="4" xfId="0" applyNumberFormat="1" applyFont="1" applyBorder="1" applyAlignment="1">
      <alignment horizontal="left" vertical="center" wrapText="1"/>
    </xf>
    <xf numFmtId="4" fontId="3" fillId="0" borderId="4" xfId="1" applyNumberFormat="1" applyFont="1" applyFill="1" applyBorder="1" applyAlignment="1">
      <alignment horizontal="right" vertical="center"/>
    </xf>
    <xf numFmtId="4" fontId="3" fillId="0" borderId="4" xfId="1" applyNumberFormat="1" applyFont="1" applyFill="1" applyBorder="1" applyAlignment="1">
      <alignment vertical="center"/>
    </xf>
    <xf numFmtId="165" fontId="3" fillId="0" borderId="5" xfId="0" applyNumberFormat="1" applyFont="1" applyBorder="1" applyAlignment="1">
      <alignment horizontal="right" vertical="center"/>
    </xf>
    <xf numFmtId="4" fontId="3" fillId="0" borderId="5" xfId="0" applyNumberFormat="1" applyFont="1" applyBorder="1" applyAlignment="1">
      <alignment horizontal="left" vertical="center" wrapText="1"/>
    </xf>
    <xf numFmtId="4" fontId="3" fillId="0" borderId="5" xfId="1" applyNumberFormat="1" applyFont="1" applyFill="1" applyBorder="1" applyAlignment="1">
      <alignment horizontal="right" vertical="center"/>
    </xf>
    <xf numFmtId="4" fontId="3" fillId="0" borderId="5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" fontId="2" fillId="0" borderId="5" xfId="1" applyNumberFormat="1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4" fontId="3" fillId="0" borderId="5" xfId="0" applyNumberFormat="1" applyFont="1" applyBorder="1" applyAlignment="1">
      <alignment vertical="center"/>
    </xf>
    <xf numFmtId="4" fontId="3" fillId="0" borderId="5" xfId="0" applyNumberFormat="1" applyFont="1" applyBorder="1" applyAlignment="1">
      <alignment horizontal="center" vertical="center"/>
    </xf>
    <xf numFmtId="4" fontId="3" fillId="0" borderId="5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4" fontId="2" fillId="7" borderId="5" xfId="0" applyNumberFormat="1" applyFont="1" applyFill="1" applyBorder="1" applyAlignment="1">
      <alignment vertical="center"/>
    </xf>
    <xf numFmtId="4" fontId="2" fillId="7" borderId="5" xfId="0" applyNumberFormat="1" applyFont="1" applyFill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10" fillId="8" borderId="0" xfId="0" applyNumberFormat="1" applyFont="1" applyFill="1" applyAlignment="1">
      <alignment vertical="center"/>
    </xf>
    <xf numFmtId="4" fontId="3" fillId="2" borderId="0" xfId="0" applyNumberFormat="1" applyFont="1" applyFill="1" applyAlignment="1">
      <alignment vertical="center"/>
    </xf>
    <xf numFmtId="14" fontId="14" fillId="0" borderId="0" xfId="0" applyNumberFormat="1" applyFont="1" applyAlignment="1">
      <alignment vertical="center"/>
    </xf>
    <xf numFmtId="4" fontId="13" fillId="9" borderId="0" xfId="0" applyNumberFormat="1" applyFont="1" applyFill="1" applyAlignment="1">
      <alignment vertical="center"/>
    </xf>
    <xf numFmtId="4" fontId="13" fillId="9" borderId="0" xfId="0" applyNumberFormat="1" applyFont="1" applyFill="1" applyAlignment="1">
      <alignment horizontal="center" vertical="center"/>
    </xf>
    <xf numFmtId="4" fontId="14" fillId="4" borderId="0" xfId="0" applyNumberFormat="1" applyFont="1" applyFill="1" applyAlignment="1">
      <alignment horizontal="center" vertical="center"/>
    </xf>
    <xf numFmtId="4" fontId="8" fillId="0" borderId="0" xfId="0" applyNumberFormat="1" applyFont="1" applyAlignment="1">
      <alignment vertical="center"/>
    </xf>
    <xf numFmtId="0" fontId="12" fillId="10" borderId="0" xfId="0" applyFont="1" applyFill="1" applyAlignment="1">
      <alignment vertical="center"/>
    </xf>
    <xf numFmtId="4" fontId="5" fillId="9" borderId="0" xfId="0" applyNumberFormat="1" applyFont="1" applyFill="1" applyAlignment="1">
      <alignment horizontal="left" vertical="center"/>
    </xf>
    <xf numFmtId="0" fontId="12" fillId="0" borderId="14" xfId="0" applyFont="1" applyBorder="1" applyAlignment="1">
      <alignment vertical="center"/>
    </xf>
    <xf numFmtId="4" fontId="3" fillId="0" borderId="14" xfId="0" applyNumberFormat="1" applyFont="1" applyBorder="1" applyAlignment="1">
      <alignment horizontal="center" vertical="center"/>
    </xf>
    <xf numFmtId="4" fontId="3" fillId="0" borderId="14" xfId="0" applyNumberFormat="1" applyFont="1" applyBorder="1" applyAlignment="1">
      <alignment vertical="center"/>
    </xf>
    <xf numFmtId="4" fontId="2" fillId="0" borderId="14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4" fontId="2" fillId="4" borderId="13" xfId="0" applyNumberFormat="1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12" fillId="5" borderId="16" xfId="0" applyFont="1" applyFill="1" applyBorder="1" applyAlignment="1">
      <alignment horizontal="right" vertical="center"/>
    </xf>
    <xf numFmtId="4" fontId="12" fillId="5" borderId="17" xfId="0" applyNumberFormat="1" applyFont="1" applyFill="1" applyBorder="1" applyAlignment="1">
      <alignment vertical="center"/>
    </xf>
    <xf numFmtId="4" fontId="2" fillId="4" borderId="0" xfId="0" applyNumberFormat="1" applyFont="1" applyFill="1" applyAlignment="1">
      <alignment vertical="center"/>
    </xf>
    <xf numFmtId="4" fontId="10" fillId="8" borderId="14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4" fontId="5" fillId="9" borderId="0" xfId="0" applyNumberFormat="1" applyFont="1" applyFill="1" applyAlignment="1">
      <alignment vertical="center"/>
    </xf>
    <xf numFmtId="4" fontId="17" fillId="6" borderId="4" xfId="1" applyNumberFormat="1" applyFont="1" applyFill="1" applyBorder="1" applyAlignment="1">
      <alignment vertical="center"/>
    </xf>
    <xf numFmtId="14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4" fontId="3" fillId="0" borderId="0" xfId="0" applyNumberFormat="1" applyFont="1" applyFill="1" applyAlignment="1">
      <alignment horizontal="center" vertical="center"/>
    </xf>
    <xf numFmtId="4" fontId="3" fillId="0" borderId="0" xfId="0" applyNumberFormat="1" applyFont="1" applyFill="1" applyAlignment="1">
      <alignment vertical="center"/>
    </xf>
    <xf numFmtId="4" fontId="2" fillId="0" borderId="0" xfId="0" applyNumberFormat="1" applyFont="1" applyFill="1" applyAlignment="1">
      <alignment vertical="center"/>
    </xf>
    <xf numFmtId="0" fontId="9" fillId="2" borderId="19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vertical="center"/>
    </xf>
    <xf numFmtId="0" fontId="8" fillId="12" borderId="2" xfId="0" applyFont="1" applyFill="1" applyBorder="1" applyAlignment="1">
      <alignment horizontal="center" vertical="center" wrapText="1"/>
    </xf>
    <xf numFmtId="0" fontId="19" fillId="12" borderId="2" xfId="0" applyFont="1" applyFill="1" applyBorder="1" applyAlignment="1">
      <alignment horizontal="center" vertical="center" wrapText="1"/>
    </xf>
    <xf numFmtId="0" fontId="8" fillId="12" borderId="2" xfId="1" applyNumberFormat="1" applyFont="1" applyFill="1" applyBorder="1" applyAlignment="1">
      <alignment horizontal="center" vertical="center" wrapText="1"/>
    </xf>
    <xf numFmtId="164" fontId="8" fillId="12" borderId="2" xfId="1" applyFont="1" applyFill="1" applyBorder="1" applyAlignment="1">
      <alignment horizontal="center" vertical="center" wrapText="1"/>
    </xf>
    <xf numFmtId="0" fontId="8" fillId="12" borderId="18" xfId="0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8" fillId="14" borderId="20" xfId="0" applyFont="1" applyFill="1" applyBorder="1" applyAlignment="1">
      <alignment horizontal="center" vertical="center" wrapText="1"/>
    </xf>
    <xf numFmtId="0" fontId="20" fillId="14" borderId="5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15" borderId="5" xfId="0" applyFont="1" applyFill="1" applyBorder="1" applyAlignment="1">
      <alignment horizontal="center" vertical="center" wrapText="1"/>
    </xf>
    <xf numFmtId="0" fontId="13" fillId="15" borderId="5" xfId="1" applyNumberFormat="1" applyFont="1" applyFill="1" applyBorder="1" applyAlignment="1">
      <alignment horizontal="center" vertical="center" wrapText="1"/>
    </xf>
    <xf numFmtId="164" fontId="13" fillId="15" borderId="5" xfId="1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/>
    </xf>
    <xf numFmtId="4" fontId="2" fillId="0" borderId="5" xfId="0" applyNumberFormat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vertical="center"/>
    </xf>
    <xf numFmtId="4" fontId="2" fillId="0" borderId="4" xfId="0" applyNumberFormat="1" applyFont="1" applyBorder="1" applyAlignment="1">
      <alignment vertical="center"/>
    </xf>
    <xf numFmtId="4" fontId="2" fillId="0" borderId="5" xfId="0" applyNumberFormat="1" applyFont="1" applyBorder="1" applyAlignment="1">
      <alignment vertical="center"/>
    </xf>
    <xf numFmtId="0" fontId="11" fillId="6" borderId="5" xfId="0" applyFont="1" applyFill="1" applyBorder="1" applyAlignment="1">
      <alignment vertical="center"/>
    </xf>
    <xf numFmtId="4" fontId="3" fillId="7" borderId="5" xfId="0" applyNumberFormat="1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 wrapText="1"/>
    </xf>
    <xf numFmtId="165" fontId="9" fillId="0" borderId="5" xfId="0" applyNumberFormat="1" applyFont="1" applyBorder="1" applyAlignment="1">
      <alignment vertical="center" wrapText="1"/>
    </xf>
    <xf numFmtId="4" fontId="3" fillId="0" borderId="5" xfId="0" applyNumberFormat="1" applyFont="1" applyBorder="1" applyAlignment="1">
      <alignment horizontal="right" vertical="center"/>
    </xf>
    <xf numFmtId="4" fontId="2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4" fontId="2" fillId="7" borderId="9" xfId="0" applyNumberFormat="1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horizontal="right" vertical="center"/>
    </xf>
    <xf numFmtId="0" fontId="3" fillId="7" borderId="5" xfId="0" applyFont="1" applyFill="1" applyBorder="1" applyAlignment="1">
      <alignment vertical="center"/>
    </xf>
    <xf numFmtId="4" fontId="25" fillId="16" borderId="0" xfId="0" applyNumberFormat="1" applyFont="1" applyFill="1" applyAlignment="1">
      <alignment vertical="center"/>
    </xf>
    <xf numFmtId="165" fontId="24" fillId="0" borderId="5" xfId="0" applyNumberFormat="1" applyFont="1" applyBorder="1" applyAlignment="1">
      <alignment vertical="center" wrapText="1"/>
    </xf>
    <xf numFmtId="165" fontId="24" fillId="0" borderId="5" xfId="0" applyNumberFormat="1" applyFont="1" applyBorder="1" applyAlignment="1">
      <alignment horizontal="right" vertical="center"/>
    </xf>
    <xf numFmtId="0" fontId="2" fillId="7" borderId="10" xfId="0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4" fontId="3" fillId="6" borderId="0" xfId="0" applyNumberFormat="1" applyFont="1" applyFill="1" applyAlignment="1">
      <alignment vertical="center"/>
    </xf>
    <xf numFmtId="165" fontId="24" fillId="0" borderId="5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7" borderId="5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vertical="center"/>
    </xf>
    <xf numFmtId="4" fontId="2" fillId="0" borderId="0" xfId="0" applyNumberFormat="1" applyFont="1" applyBorder="1" applyAlignment="1">
      <alignment vertical="center"/>
    </xf>
    <xf numFmtId="4" fontId="10" fillId="8" borderId="0" xfId="0" applyNumberFormat="1" applyFont="1" applyFill="1" applyBorder="1" applyAlignment="1">
      <alignment vertical="center"/>
    </xf>
    <xf numFmtId="4" fontId="3" fillId="2" borderId="0" xfId="0" applyNumberFormat="1" applyFont="1" applyFill="1" applyBorder="1" applyAlignment="1">
      <alignment vertical="center"/>
    </xf>
    <xf numFmtId="4" fontId="14" fillId="4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165" fontId="3" fillId="0" borderId="10" xfId="0" applyNumberFormat="1" applyFont="1" applyBorder="1" applyAlignment="1">
      <alignment vertical="center"/>
    </xf>
    <xf numFmtId="4" fontId="3" fillId="0" borderId="10" xfId="1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6" xfId="0" applyFont="1" applyFill="1" applyBorder="1" applyAlignment="1">
      <alignment vertical="center"/>
    </xf>
    <xf numFmtId="4" fontId="14" fillId="0" borderId="5" xfId="1" applyNumberFormat="1" applyFont="1" applyFill="1" applyBorder="1" applyAlignment="1">
      <alignment horizontal="center" vertical="center"/>
    </xf>
    <xf numFmtId="4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2" fillId="7" borderId="8" xfId="0" applyFont="1" applyFill="1" applyBorder="1" applyAlignment="1">
      <alignment horizontal="left" vertical="center"/>
    </xf>
    <xf numFmtId="4" fontId="13" fillId="7" borderId="0" xfId="0" applyNumberFormat="1" applyFont="1" applyFill="1" applyAlignment="1">
      <alignment vertical="center"/>
    </xf>
    <xf numFmtId="0" fontId="0" fillId="0" borderId="5" xfId="0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5" xfId="0" applyFont="1" applyBorder="1"/>
    <xf numFmtId="49" fontId="0" fillId="0" borderId="5" xfId="0" applyNumberFormat="1" applyBorder="1" applyAlignment="1">
      <alignment horizontal="right"/>
    </xf>
    <xf numFmtId="0" fontId="0" fillId="0" borderId="0" xfId="0" applyAlignment="1">
      <alignment horizontal="left"/>
    </xf>
    <xf numFmtId="1" fontId="0" fillId="0" borderId="5" xfId="0" applyNumberFormat="1" applyBorder="1" applyAlignment="1">
      <alignment horizontal="center"/>
    </xf>
    <xf numFmtId="14" fontId="0" fillId="0" borderId="0" xfId="0" applyNumberFormat="1" applyAlignment="1">
      <alignment horizontal="left"/>
    </xf>
    <xf numFmtId="0" fontId="22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4" fontId="22" fillId="0" borderId="0" xfId="0" applyNumberFormat="1" applyFont="1" applyAlignment="1">
      <alignment horizontal="left"/>
    </xf>
    <xf numFmtId="14" fontId="0" fillId="0" borderId="5" xfId="0" applyNumberFormat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/>
    <xf numFmtId="0" fontId="22" fillId="0" borderId="0" xfId="0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right"/>
    </xf>
    <xf numFmtId="0" fontId="22" fillId="0" borderId="0" xfId="0" applyFont="1" applyFill="1" applyBorder="1" applyAlignment="1"/>
    <xf numFmtId="49" fontId="0" fillId="0" borderId="5" xfId="0" applyNumberFormat="1" applyBorder="1" applyAlignment="1">
      <alignment horizontal="center"/>
    </xf>
    <xf numFmtId="0" fontId="2" fillId="18" borderId="15" xfId="0" applyFont="1" applyFill="1" applyBorder="1" applyAlignment="1">
      <alignment vertical="center"/>
    </xf>
    <xf numFmtId="0" fontId="2" fillId="18" borderId="16" xfId="0" applyFont="1" applyFill="1" applyBorder="1" applyAlignment="1">
      <alignment vertical="center"/>
    </xf>
    <xf numFmtId="0" fontId="12" fillId="18" borderId="16" xfId="0" applyFont="1" applyFill="1" applyBorder="1" applyAlignment="1">
      <alignment horizontal="right" vertical="center"/>
    </xf>
    <xf numFmtId="4" fontId="12" fillId="18" borderId="17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19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5" xfId="0" applyFont="1" applyBorder="1" applyAlignment="1">
      <alignment vertical="center"/>
    </xf>
    <xf numFmtId="4" fontId="3" fillId="0" borderId="5" xfId="1" applyNumberFormat="1" applyFont="1" applyFill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/>
    </xf>
    <xf numFmtId="165" fontId="9" fillId="0" borderId="5" xfId="0" applyNumberFormat="1" applyFont="1" applyBorder="1" applyAlignment="1">
      <alignment horizontal="center" vertical="center" wrapText="1"/>
    </xf>
    <xf numFmtId="4" fontId="3" fillId="0" borderId="5" xfId="1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5" fillId="11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4" fontId="12" fillId="5" borderId="0" xfId="0" applyNumberFormat="1" applyFont="1" applyFill="1" applyBorder="1" applyAlignment="1">
      <alignment vertical="center"/>
    </xf>
    <xf numFmtId="4" fontId="12" fillId="18" borderId="0" xfId="0" applyNumberFormat="1" applyFont="1" applyFill="1" applyBorder="1" applyAlignment="1">
      <alignment vertical="center"/>
    </xf>
    <xf numFmtId="0" fontId="8" fillId="12" borderId="2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4" fontId="3" fillId="0" borderId="6" xfId="1" applyNumberFormat="1" applyFont="1" applyFill="1" applyBorder="1" applyAlignment="1">
      <alignment horizontal="center" vertical="center"/>
    </xf>
    <xf numFmtId="4" fontId="3" fillId="0" borderId="7" xfId="1" applyNumberFormat="1" applyFont="1" applyFill="1" applyBorder="1" applyAlignment="1">
      <alignment horizontal="center" vertical="center"/>
    </xf>
    <xf numFmtId="4" fontId="3" fillId="0" borderId="4" xfId="1" applyNumberFormat="1" applyFont="1" applyFill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9" fillId="0" borderId="0" xfId="0" applyFont="1" applyAlignment="1">
      <alignment horizontal="center"/>
    </xf>
    <xf numFmtId="0" fontId="22" fillId="0" borderId="5" xfId="0" applyFont="1" applyBorder="1" applyAlignment="1">
      <alignment horizontal="center"/>
    </xf>
    <xf numFmtId="0" fontId="29" fillId="0" borderId="0" xfId="0" applyFont="1" applyAlignment="1">
      <alignment horizontal="center" vertical="top"/>
    </xf>
    <xf numFmtId="0" fontId="22" fillId="0" borderId="8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4" fillId="0" borderId="6" xfId="0" applyNumberFormat="1" applyFont="1" applyBorder="1" applyAlignment="1">
      <alignment horizontal="right" vertical="center"/>
    </xf>
    <xf numFmtId="165" fontId="24" fillId="0" borderId="4" xfId="0" applyNumberFormat="1" applyFont="1" applyBorder="1" applyAlignment="1">
      <alignment horizontal="right" vertical="center"/>
    </xf>
    <xf numFmtId="165" fontId="24" fillId="0" borderId="6" xfId="0" applyNumberFormat="1" applyFont="1" applyBorder="1" applyAlignment="1">
      <alignment horizontal="right" vertical="center" wrapText="1"/>
    </xf>
    <xf numFmtId="165" fontId="24" fillId="0" borderId="4" xfId="0" applyNumberFormat="1" applyFont="1" applyBorder="1" applyAlignment="1">
      <alignment horizontal="righ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" fontId="2" fillId="0" borderId="6" xfId="1" applyNumberFormat="1" applyFont="1" applyFill="1" applyBorder="1" applyAlignment="1">
      <alignment horizontal="center" vertical="center"/>
    </xf>
    <xf numFmtId="4" fontId="2" fillId="0" borderId="7" xfId="1" applyNumberFormat="1" applyFont="1" applyFill="1" applyBorder="1" applyAlignment="1">
      <alignment horizontal="center" vertical="center"/>
    </xf>
    <xf numFmtId="4" fontId="2" fillId="0" borderId="4" xfId="1" applyNumberFormat="1" applyFont="1" applyFill="1" applyBorder="1" applyAlignment="1">
      <alignment horizontal="center" vertical="center"/>
    </xf>
    <xf numFmtId="167" fontId="3" fillId="0" borderId="6" xfId="1" applyNumberFormat="1" applyFont="1" applyFill="1" applyBorder="1" applyAlignment="1">
      <alignment horizontal="center" vertical="center"/>
    </xf>
    <xf numFmtId="167" fontId="3" fillId="0" borderId="7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horizontal="center" vertical="center"/>
    </xf>
    <xf numFmtId="4" fontId="3" fillId="0" borderId="5" xfId="1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DA26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47625</xdr:rowOff>
    </xdr:from>
    <xdr:to>
      <xdr:col>3</xdr:col>
      <xdr:colOff>242112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8DB501-2FEA-4709-8B1C-1663BC5C4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66725" y="47625"/>
          <a:ext cx="1385112" cy="695325"/>
        </a:xfrm>
        <a:prstGeom prst="rect">
          <a:avLst/>
        </a:prstGeom>
      </xdr:spPr>
    </xdr:pic>
    <xdr:clientData/>
  </xdr:twoCellAnchor>
  <xdr:oneCellAnchor>
    <xdr:from>
      <xdr:col>13</xdr:col>
      <xdr:colOff>550333</xdr:colOff>
      <xdr:row>1</xdr:row>
      <xdr:rowOff>30692</xdr:rowOff>
    </xdr:from>
    <xdr:ext cx="868905" cy="730154"/>
    <xdr:pic>
      <xdr:nvPicPr>
        <xdr:cNvPr id="3" name="Imagen 4">
          <a:extLst>
            <a:ext uri="{FF2B5EF4-FFF2-40B4-BE49-F238E27FC236}">
              <a16:creationId xmlns:a16="http://schemas.microsoft.com/office/drawing/2014/main" id="{92DE5330-54B2-4B5E-A3B3-80ABAF409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9333" y="210609"/>
          <a:ext cx="868905" cy="73015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3</xdr:col>
      <xdr:colOff>298204</xdr:colOff>
      <xdr:row>5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D95EEB-D3AE-4725-9749-12FB337F2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76225" y="38100"/>
          <a:ext cx="1384054" cy="695325"/>
        </a:xfrm>
        <a:prstGeom prst="rect">
          <a:avLst/>
        </a:prstGeom>
      </xdr:spPr>
    </xdr:pic>
    <xdr:clientData/>
  </xdr:twoCellAnchor>
  <xdr:oneCellAnchor>
    <xdr:from>
      <xdr:col>15</xdr:col>
      <xdr:colOff>323850</xdr:colOff>
      <xdr:row>0</xdr:row>
      <xdr:rowOff>38100</xdr:rowOff>
    </xdr:from>
    <xdr:ext cx="868905" cy="730154"/>
    <xdr:pic>
      <xdr:nvPicPr>
        <xdr:cNvPr id="3" name="Imagen 4">
          <a:extLst>
            <a:ext uri="{FF2B5EF4-FFF2-40B4-BE49-F238E27FC236}">
              <a16:creationId xmlns:a16="http://schemas.microsoft.com/office/drawing/2014/main" id="{01CB665E-4559-4D78-B58E-1A97BCF9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38100"/>
          <a:ext cx="868905" cy="73015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101600</xdr:rowOff>
    </xdr:from>
    <xdr:ext cx="971550" cy="433100"/>
    <xdr:pic>
      <xdr:nvPicPr>
        <xdr:cNvPr id="2" name="Imagen 1">
          <a:extLst>
            <a:ext uri="{FF2B5EF4-FFF2-40B4-BE49-F238E27FC236}">
              <a16:creationId xmlns:a16="http://schemas.microsoft.com/office/drawing/2014/main" id="{14A0F87B-5FF8-4EA1-9890-748565779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1600"/>
          <a:ext cx="971550" cy="433100"/>
        </a:xfrm>
        <a:prstGeom prst="rect">
          <a:avLst/>
        </a:prstGeom>
      </xdr:spPr>
    </xdr:pic>
    <xdr:clientData/>
  </xdr:oneCellAnchor>
  <xdr:twoCellAnchor editAs="oneCell">
    <xdr:from>
      <xdr:col>3</xdr:col>
      <xdr:colOff>1133475</xdr:colOff>
      <xdr:row>0</xdr:row>
      <xdr:rowOff>47625</xdr:rowOff>
    </xdr:from>
    <xdr:to>
      <xdr:col>4</xdr:col>
      <xdr:colOff>729561</xdr:colOff>
      <xdr:row>2</xdr:row>
      <xdr:rowOff>219075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505E8E-F31D-4402-A783-E826B748A01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47625"/>
          <a:ext cx="958161" cy="5524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</xdr:col>
      <xdr:colOff>114300</xdr:colOff>
      <xdr:row>0</xdr:row>
      <xdr:rowOff>139700</xdr:rowOff>
    </xdr:from>
    <xdr:ext cx="971550" cy="433100"/>
    <xdr:pic>
      <xdr:nvPicPr>
        <xdr:cNvPr id="4" name="Imagen 3">
          <a:extLst>
            <a:ext uri="{FF2B5EF4-FFF2-40B4-BE49-F238E27FC236}">
              <a16:creationId xmlns:a16="http://schemas.microsoft.com/office/drawing/2014/main" id="{0465D5F4-A2B3-4C78-8171-85284E99F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139700"/>
          <a:ext cx="971550" cy="433100"/>
        </a:xfrm>
        <a:prstGeom prst="rect">
          <a:avLst/>
        </a:prstGeom>
      </xdr:spPr>
    </xdr:pic>
    <xdr:clientData/>
  </xdr:oneCellAnchor>
  <xdr:twoCellAnchor editAs="oneCell">
    <xdr:from>
      <xdr:col>8</xdr:col>
      <xdr:colOff>1133475</xdr:colOff>
      <xdr:row>0</xdr:row>
      <xdr:rowOff>76200</xdr:rowOff>
    </xdr:from>
    <xdr:to>
      <xdr:col>9</xdr:col>
      <xdr:colOff>729561</xdr:colOff>
      <xdr:row>3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7E00165-FD0A-4C99-A141-6E39F78998D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7350" y="76200"/>
          <a:ext cx="958161" cy="5524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38100</xdr:colOff>
      <xdr:row>37</xdr:row>
      <xdr:rowOff>63500</xdr:rowOff>
    </xdr:from>
    <xdr:ext cx="971550" cy="433100"/>
    <xdr:pic>
      <xdr:nvPicPr>
        <xdr:cNvPr id="6" name="Imagen 5">
          <a:extLst>
            <a:ext uri="{FF2B5EF4-FFF2-40B4-BE49-F238E27FC236}">
              <a16:creationId xmlns:a16="http://schemas.microsoft.com/office/drawing/2014/main" id="{60A82342-D57E-42F8-A6DC-8AAE1DDD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512050"/>
          <a:ext cx="971550" cy="433100"/>
        </a:xfrm>
        <a:prstGeom prst="rect">
          <a:avLst/>
        </a:prstGeom>
      </xdr:spPr>
    </xdr:pic>
    <xdr:clientData/>
  </xdr:oneCellAnchor>
  <xdr:oneCellAnchor>
    <xdr:from>
      <xdr:col>3</xdr:col>
      <xdr:colOff>1133475</xdr:colOff>
      <xdr:row>37</xdr:row>
      <xdr:rowOff>47625</xdr:rowOff>
    </xdr:from>
    <xdr:ext cx="958161" cy="552450"/>
    <xdr:pic>
      <xdr:nvPicPr>
        <xdr:cNvPr id="7" name="Imagen 6">
          <a:extLst>
            <a:ext uri="{FF2B5EF4-FFF2-40B4-BE49-F238E27FC236}">
              <a16:creationId xmlns:a16="http://schemas.microsoft.com/office/drawing/2014/main" id="{1CB1CE79-8557-40B9-A98F-76697BF6998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47625"/>
          <a:ext cx="958161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</xdr:rowOff>
    </xdr:from>
    <xdr:to>
      <xdr:col>3</xdr:col>
      <xdr:colOff>326779</xdr:colOff>
      <xdr:row>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02D007-85F8-4C83-9BD8-8DA9024EE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28625" y="9525"/>
          <a:ext cx="1384054" cy="695325"/>
        </a:xfrm>
        <a:prstGeom prst="rect">
          <a:avLst/>
        </a:prstGeom>
      </xdr:spPr>
    </xdr:pic>
    <xdr:clientData/>
  </xdr:twoCellAnchor>
  <xdr:oneCellAnchor>
    <xdr:from>
      <xdr:col>18</xdr:col>
      <xdr:colOff>323850</xdr:colOff>
      <xdr:row>0</xdr:row>
      <xdr:rowOff>38100</xdr:rowOff>
    </xdr:from>
    <xdr:ext cx="868905" cy="730154"/>
    <xdr:pic>
      <xdr:nvPicPr>
        <xdr:cNvPr id="3" name="Imagen 4">
          <a:extLst>
            <a:ext uri="{FF2B5EF4-FFF2-40B4-BE49-F238E27FC236}">
              <a16:creationId xmlns:a16="http://schemas.microsoft.com/office/drawing/2014/main" id="{41A8745D-548A-42DA-B720-5B4CA92A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4225" y="38100"/>
          <a:ext cx="868905" cy="73015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66675</xdr:rowOff>
    </xdr:from>
    <xdr:to>
      <xdr:col>3</xdr:col>
      <xdr:colOff>317254</xdr:colOff>
      <xdr:row>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D6E0F1-2357-468D-8708-E93A84504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19100" y="66675"/>
          <a:ext cx="1384054" cy="695325"/>
        </a:xfrm>
        <a:prstGeom prst="rect">
          <a:avLst/>
        </a:prstGeom>
      </xdr:spPr>
    </xdr:pic>
    <xdr:clientData/>
  </xdr:twoCellAnchor>
  <xdr:oneCellAnchor>
    <xdr:from>
      <xdr:col>17</xdr:col>
      <xdr:colOff>323850</xdr:colOff>
      <xdr:row>0</xdr:row>
      <xdr:rowOff>38100</xdr:rowOff>
    </xdr:from>
    <xdr:ext cx="868905" cy="730154"/>
    <xdr:pic>
      <xdr:nvPicPr>
        <xdr:cNvPr id="3" name="Imagen 4">
          <a:extLst>
            <a:ext uri="{FF2B5EF4-FFF2-40B4-BE49-F238E27FC236}">
              <a16:creationId xmlns:a16="http://schemas.microsoft.com/office/drawing/2014/main" id="{162BAF2D-F08A-40C8-8A09-78C62E6A6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38100"/>
          <a:ext cx="868905" cy="73015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66675</xdr:rowOff>
    </xdr:from>
    <xdr:to>
      <xdr:col>3</xdr:col>
      <xdr:colOff>317254</xdr:colOff>
      <xdr:row>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D1EA6F-8D4B-4E51-84FC-D617C3E6B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19100" y="66675"/>
          <a:ext cx="1384054" cy="695325"/>
        </a:xfrm>
        <a:prstGeom prst="rect">
          <a:avLst/>
        </a:prstGeom>
      </xdr:spPr>
    </xdr:pic>
    <xdr:clientData/>
  </xdr:twoCellAnchor>
  <xdr:oneCellAnchor>
    <xdr:from>
      <xdr:col>15</xdr:col>
      <xdr:colOff>323850</xdr:colOff>
      <xdr:row>0</xdr:row>
      <xdr:rowOff>38100</xdr:rowOff>
    </xdr:from>
    <xdr:ext cx="868905" cy="730154"/>
    <xdr:pic>
      <xdr:nvPicPr>
        <xdr:cNvPr id="3" name="Imagen 4">
          <a:extLst>
            <a:ext uri="{FF2B5EF4-FFF2-40B4-BE49-F238E27FC236}">
              <a16:creationId xmlns:a16="http://schemas.microsoft.com/office/drawing/2014/main" id="{1E8179F8-7450-49C3-8EB7-0233072D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38100"/>
          <a:ext cx="868905" cy="73015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</xdr:rowOff>
    </xdr:from>
    <xdr:to>
      <xdr:col>3</xdr:col>
      <xdr:colOff>326779</xdr:colOff>
      <xdr:row>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29501B-124C-4A8F-BD75-83179CD266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28625" y="9525"/>
          <a:ext cx="1384054" cy="695325"/>
        </a:xfrm>
        <a:prstGeom prst="rect">
          <a:avLst/>
        </a:prstGeom>
      </xdr:spPr>
    </xdr:pic>
    <xdr:clientData/>
  </xdr:twoCellAnchor>
  <xdr:oneCellAnchor>
    <xdr:from>
      <xdr:col>12</xdr:col>
      <xdr:colOff>323850</xdr:colOff>
      <xdr:row>0</xdr:row>
      <xdr:rowOff>38100</xdr:rowOff>
    </xdr:from>
    <xdr:ext cx="868905" cy="730154"/>
    <xdr:pic>
      <xdr:nvPicPr>
        <xdr:cNvPr id="3" name="Imagen 4">
          <a:extLst>
            <a:ext uri="{FF2B5EF4-FFF2-40B4-BE49-F238E27FC236}">
              <a16:creationId xmlns:a16="http://schemas.microsoft.com/office/drawing/2014/main" id="{90350CB4-5598-40E3-A373-AEA0DE85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38100"/>
          <a:ext cx="868905" cy="73015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66675</xdr:rowOff>
    </xdr:from>
    <xdr:to>
      <xdr:col>3</xdr:col>
      <xdr:colOff>317254</xdr:colOff>
      <xdr:row>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34E8B0-3E3A-4343-BCBF-EFF82B49F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19100" y="66675"/>
          <a:ext cx="1384054" cy="695325"/>
        </a:xfrm>
        <a:prstGeom prst="rect">
          <a:avLst/>
        </a:prstGeom>
      </xdr:spPr>
    </xdr:pic>
    <xdr:clientData/>
  </xdr:twoCellAnchor>
  <xdr:oneCellAnchor>
    <xdr:from>
      <xdr:col>11</xdr:col>
      <xdr:colOff>323850</xdr:colOff>
      <xdr:row>0</xdr:row>
      <xdr:rowOff>38100</xdr:rowOff>
    </xdr:from>
    <xdr:ext cx="868905" cy="730154"/>
    <xdr:pic>
      <xdr:nvPicPr>
        <xdr:cNvPr id="3" name="Imagen 4">
          <a:extLst>
            <a:ext uri="{FF2B5EF4-FFF2-40B4-BE49-F238E27FC236}">
              <a16:creationId xmlns:a16="http://schemas.microsoft.com/office/drawing/2014/main" id="{5DC40317-273D-442A-9768-07C829F2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38100"/>
          <a:ext cx="868905" cy="73015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</xdr:rowOff>
    </xdr:from>
    <xdr:to>
      <xdr:col>3</xdr:col>
      <xdr:colOff>326779</xdr:colOff>
      <xdr:row>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BACDA9-5ACC-4024-839A-338D90A7E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428625" y="9525"/>
          <a:ext cx="1384054" cy="695325"/>
        </a:xfrm>
        <a:prstGeom prst="rect">
          <a:avLst/>
        </a:prstGeom>
      </xdr:spPr>
    </xdr:pic>
    <xdr:clientData/>
  </xdr:twoCellAnchor>
  <xdr:oneCellAnchor>
    <xdr:from>
      <xdr:col>14</xdr:col>
      <xdr:colOff>323850</xdr:colOff>
      <xdr:row>0</xdr:row>
      <xdr:rowOff>38100</xdr:rowOff>
    </xdr:from>
    <xdr:ext cx="868905" cy="730154"/>
    <xdr:pic>
      <xdr:nvPicPr>
        <xdr:cNvPr id="3" name="Imagen 4">
          <a:extLst>
            <a:ext uri="{FF2B5EF4-FFF2-40B4-BE49-F238E27FC236}">
              <a16:creationId xmlns:a16="http://schemas.microsoft.com/office/drawing/2014/main" id="{7BBF38A4-53D0-401C-80C4-D7E1C30A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9025" y="38100"/>
          <a:ext cx="868905" cy="73015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7D8A-1B6D-402D-B4C4-69397A15E99A}">
  <dimension ref="B2:Y139"/>
  <sheetViews>
    <sheetView zoomScale="90" zoomScaleNormal="90" workbookViewId="0">
      <selection activeCell="P33" sqref="P33"/>
    </sheetView>
  </sheetViews>
  <sheetFormatPr baseColWidth="10" defaultRowHeight="14.25" x14ac:dyDescent="0.25"/>
  <cols>
    <col min="1" max="1" width="5.42578125" style="1" customWidth="1"/>
    <col min="2" max="2" width="4.85546875" style="1" customWidth="1"/>
    <col min="3" max="3" width="13.85546875" style="1" customWidth="1"/>
    <col min="4" max="4" width="12.42578125" style="3" customWidth="1"/>
    <col min="5" max="5" width="12.85546875" style="1" customWidth="1"/>
    <col min="6" max="6" width="11.85546875" style="1" customWidth="1"/>
    <col min="7" max="7" width="19.140625" style="1" customWidth="1"/>
    <col min="8" max="8" width="17.5703125" style="1" customWidth="1"/>
    <col min="9" max="11" width="17" style="1" customWidth="1"/>
    <col min="12" max="12" width="12.85546875" style="1" customWidth="1"/>
    <col min="13" max="13" width="13.7109375" style="3" customWidth="1"/>
    <col min="14" max="14" width="15.5703125" style="1" customWidth="1"/>
    <col min="15" max="15" width="14.140625" style="3" customWidth="1"/>
    <col min="16" max="16" width="16.5703125" style="1" customWidth="1"/>
    <col min="17" max="17" width="14.140625" style="1" customWidth="1"/>
    <col min="18" max="18" width="15.5703125" style="1" customWidth="1"/>
    <col min="19" max="19" width="11" style="1" customWidth="1"/>
    <col min="20" max="23" width="12.7109375" style="1" customWidth="1"/>
    <col min="24" max="24" width="11.42578125" style="1" customWidth="1"/>
    <col min="25" max="25" width="0" style="1" hidden="1" customWidth="1"/>
    <col min="26" max="16384" width="11.42578125" style="1"/>
  </cols>
  <sheetData>
    <row r="2" spans="2:25" x14ac:dyDescent="0.25">
      <c r="B2" s="224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</row>
    <row r="3" spans="2:25" x14ac:dyDescent="0.25">
      <c r="B3" s="224" t="s">
        <v>1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</row>
    <row r="4" spans="2:25" x14ac:dyDescent="0.25">
      <c r="B4" s="224" t="s">
        <v>48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</row>
    <row r="5" spans="2:25" ht="7.5" customHeight="1" x14ac:dyDescent="0.25">
      <c r="B5" s="2"/>
      <c r="C5" s="2"/>
      <c r="D5" s="2"/>
      <c r="E5" s="2"/>
      <c r="F5" s="2"/>
      <c r="G5" s="2"/>
      <c r="H5" s="2"/>
      <c r="I5" s="2"/>
      <c r="J5" s="2"/>
      <c r="K5" s="197"/>
      <c r="L5" s="2"/>
      <c r="M5" s="2"/>
      <c r="N5" s="2"/>
      <c r="O5" s="2"/>
      <c r="P5" s="2"/>
      <c r="Q5" s="2"/>
    </row>
    <row r="6" spans="2:25" ht="15" thickBot="1" x14ac:dyDescent="0.3">
      <c r="G6" s="225" t="s">
        <v>2</v>
      </c>
      <c r="H6" s="225"/>
      <c r="I6" s="225"/>
      <c r="M6" s="4"/>
      <c r="S6" s="226" t="s">
        <v>43</v>
      </c>
      <c r="T6" s="226"/>
      <c r="U6" s="226"/>
      <c r="V6" s="226"/>
      <c r="W6" s="89"/>
    </row>
    <row r="7" spans="2:25" s="12" customFormat="1" ht="54.75" customHeight="1" thickBot="1" x14ac:dyDescent="0.3">
      <c r="B7" s="5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7" t="s">
        <v>8</v>
      </c>
      <c r="H7" s="7" t="s">
        <v>9</v>
      </c>
      <c r="I7" s="7" t="s">
        <v>10</v>
      </c>
      <c r="J7" s="6" t="s">
        <v>161</v>
      </c>
      <c r="K7" s="6" t="s">
        <v>163</v>
      </c>
      <c r="L7" s="8" t="s">
        <v>162</v>
      </c>
      <c r="M7" s="9" t="s">
        <v>12</v>
      </c>
      <c r="N7" s="10" t="s">
        <v>46</v>
      </c>
      <c r="O7" s="6" t="s">
        <v>14</v>
      </c>
      <c r="P7" s="10" t="s">
        <v>47</v>
      </c>
      <c r="Q7" s="11" t="s">
        <v>15</v>
      </c>
      <c r="R7" s="67" t="s">
        <v>35</v>
      </c>
      <c r="S7" s="86" t="s">
        <v>42</v>
      </c>
      <c r="T7" s="87" t="s">
        <v>40</v>
      </c>
      <c r="U7" s="87" t="s">
        <v>41</v>
      </c>
      <c r="V7" s="88" t="s">
        <v>44</v>
      </c>
      <c r="W7" s="88" t="s">
        <v>45</v>
      </c>
      <c r="X7" s="87" t="s">
        <v>100</v>
      </c>
      <c r="Y7" s="87" t="s">
        <v>102</v>
      </c>
    </row>
    <row r="8" spans="2:25" x14ac:dyDescent="0.25">
      <c r="B8" s="202">
        <v>1</v>
      </c>
      <c r="C8" s="205">
        <v>46206</v>
      </c>
      <c r="D8" s="205"/>
      <c r="E8" s="205">
        <v>46207</v>
      </c>
      <c r="F8" s="202" t="s">
        <v>159</v>
      </c>
      <c r="G8" s="208" t="s">
        <v>19</v>
      </c>
      <c r="H8" s="211"/>
      <c r="I8" s="211"/>
      <c r="J8" s="202">
        <v>22</v>
      </c>
      <c r="K8" s="29">
        <v>2455</v>
      </c>
      <c r="L8" s="211">
        <f>+K8+K9+K10+K11+K12+K13+K14+K15</f>
        <v>18107</v>
      </c>
      <c r="M8" s="29">
        <v>15.73</v>
      </c>
      <c r="N8" s="30">
        <f>+K8*M8</f>
        <v>38617.15</v>
      </c>
      <c r="O8" s="22">
        <v>100</v>
      </c>
      <c r="P8" s="23">
        <f>+N8/9.83</f>
        <v>3928.4994913530013</v>
      </c>
      <c r="Q8" s="193"/>
      <c r="R8" s="194"/>
      <c r="S8" s="195"/>
      <c r="T8" s="195"/>
      <c r="U8" s="195"/>
      <c r="V8" s="195"/>
      <c r="W8" s="195"/>
      <c r="X8" s="136"/>
      <c r="Y8" s="136"/>
    </row>
    <row r="9" spans="2:25" x14ac:dyDescent="0.25">
      <c r="B9" s="203"/>
      <c r="C9" s="206"/>
      <c r="D9" s="206"/>
      <c r="E9" s="206"/>
      <c r="F9" s="203"/>
      <c r="G9" s="209"/>
      <c r="H9" s="212"/>
      <c r="I9" s="212"/>
      <c r="J9" s="203"/>
      <c r="K9" s="29">
        <v>2422</v>
      </c>
      <c r="L9" s="212"/>
      <c r="M9" s="29">
        <v>15.82</v>
      </c>
      <c r="N9" s="30">
        <f t="shared" ref="N9:N31" si="0">+K9*M9</f>
        <v>38316.04</v>
      </c>
      <c r="O9" s="22">
        <v>104</v>
      </c>
      <c r="P9" s="23">
        <f>+N9/9.89</f>
        <v>3874.220424671385</v>
      </c>
      <c r="Q9" s="193"/>
      <c r="R9" s="194"/>
      <c r="S9" s="195"/>
      <c r="T9" s="195"/>
      <c r="U9" s="195"/>
      <c r="V9" s="195"/>
      <c r="W9" s="195"/>
      <c r="X9" s="136"/>
      <c r="Y9" s="136"/>
    </row>
    <row r="10" spans="2:25" x14ac:dyDescent="0.25">
      <c r="B10" s="203"/>
      <c r="C10" s="206"/>
      <c r="D10" s="206"/>
      <c r="E10" s="206"/>
      <c r="F10" s="203"/>
      <c r="G10" s="209"/>
      <c r="H10" s="212"/>
      <c r="I10" s="212"/>
      <c r="J10" s="203"/>
      <c r="K10" s="29">
        <v>2485</v>
      </c>
      <c r="L10" s="212"/>
      <c r="M10" s="29">
        <v>15.94</v>
      </c>
      <c r="N10" s="30">
        <f t="shared" si="0"/>
        <v>39610.9</v>
      </c>
      <c r="O10" s="22">
        <v>105</v>
      </c>
      <c r="P10" s="23">
        <f>+N10/9.96</f>
        <v>3976.9979919678713</v>
      </c>
      <c r="Q10" s="193"/>
      <c r="R10" s="194"/>
      <c r="S10" s="195"/>
      <c r="T10" s="195"/>
      <c r="U10" s="195"/>
      <c r="V10" s="195"/>
      <c r="W10" s="195"/>
      <c r="X10" s="136"/>
      <c r="Y10" s="136"/>
    </row>
    <row r="11" spans="2:25" x14ac:dyDescent="0.25">
      <c r="B11" s="203"/>
      <c r="C11" s="206"/>
      <c r="D11" s="206"/>
      <c r="E11" s="206"/>
      <c r="F11" s="203"/>
      <c r="G11" s="209"/>
      <c r="H11" s="212"/>
      <c r="I11" s="212"/>
      <c r="J11" s="203"/>
      <c r="K11" s="29">
        <v>2462</v>
      </c>
      <c r="L11" s="212"/>
      <c r="M11" s="29">
        <v>16.16</v>
      </c>
      <c r="N11" s="30">
        <f t="shared" si="0"/>
        <v>39785.919999999998</v>
      </c>
      <c r="O11" s="22">
        <v>106</v>
      </c>
      <c r="P11" s="23">
        <f>+N11/10.1</f>
        <v>3939.2</v>
      </c>
      <c r="Q11" s="193"/>
      <c r="R11" s="194"/>
      <c r="S11" s="195"/>
      <c r="T11" s="195"/>
      <c r="U11" s="195"/>
      <c r="V11" s="195"/>
      <c r="W11" s="195"/>
      <c r="X11" s="136"/>
      <c r="Y11" s="136"/>
    </row>
    <row r="12" spans="2:25" x14ac:dyDescent="0.25">
      <c r="B12" s="203"/>
      <c r="C12" s="206"/>
      <c r="D12" s="206"/>
      <c r="E12" s="206"/>
      <c r="F12" s="203"/>
      <c r="G12" s="209"/>
      <c r="H12" s="212"/>
      <c r="I12" s="212"/>
      <c r="J12" s="203"/>
      <c r="K12" s="29">
        <v>2491</v>
      </c>
      <c r="L12" s="212"/>
      <c r="M12" s="29">
        <v>16.38</v>
      </c>
      <c r="N12" s="30">
        <f t="shared" si="0"/>
        <v>40802.579999999994</v>
      </c>
      <c r="O12" s="22">
        <v>109</v>
      </c>
      <c r="P12" s="23">
        <f>+N12/10.24</f>
        <v>3984.6269531249995</v>
      </c>
      <c r="Q12" s="193"/>
      <c r="R12" s="194"/>
      <c r="S12" s="195"/>
      <c r="T12" s="195"/>
      <c r="U12" s="195"/>
      <c r="V12" s="195"/>
      <c r="W12" s="195"/>
      <c r="X12" s="136"/>
      <c r="Y12" s="136"/>
    </row>
    <row r="13" spans="2:25" x14ac:dyDescent="0.25">
      <c r="B13" s="203"/>
      <c r="C13" s="206"/>
      <c r="D13" s="206"/>
      <c r="E13" s="206"/>
      <c r="F13" s="203"/>
      <c r="G13" s="209"/>
      <c r="H13" s="212"/>
      <c r="I13" s="212"/>
      <c r="J13" s="203"/>
      <c r="K13" s="29">
        <v>2486</v>
      </c>
      <c r="L13" s="212"/>
      <c r="M13" s="29">
        <v>16.38</v>
      </c>
      <c r="N13" s="30">
        <f t="shared" si="0"/>
        <v>40720.68</v>
      </c>
      <c r="O13" s="22">
        <v>110</v>
      </c>
      <c r="P13" s="23">
        <f>+N13/10.24</f>
        <v>3976.62890625</v>
      </c>
      <c r="Q13" s="193"/>
      <c r="R13" s="194"/>
      <c r="S13" s="195"/>
      <c r="T13" s="195"/>
      <c r="U13" s="195"/>
      <c r="V13" s="195"/>
      <c r="W13" s="195"/>
      <c r="X13" s="136"/>
      <c r="Y13" s="136"/>
    </row>
    <row r="14" spans="2:25" x14ac:dyDescent="0.25">
      <c r="B14" s="203"/>
      <c r="C14" s="206"/>
      <c r="D14" s="206"/>
      <c r="E14" s="206"/>
      <c r="F14" s="203"/>
      <c r="G14" s="209"/>
      <c r="H14" s="212"/>
      <c r="I14" s="212"/>
      <c r="J14" s="203"/>
      <c r="K14" s="29">
        <v>1656</v>
      </c>
      <c r="L14" s="212"/>
      <c r="M14" s="29">
        <v>16.38</v>
      </c>
      <c r="N14" s="30">
        <f t="shared" si="0"/>
        <v>27125.279999999999</v>
      </c>
      <c r="O14" s="22">
        <v>111</v>
      </c>
      <c r="P14" s="23">
        <f>+N14/10.24</f>
        <v>2648.953125</v>
      </c>
      <c r="Q14" s="193"/>
      <c r="R14" s="194"/>
      <c r="S14" s="195"/>
      <c r="T14" s="195"/>
      <c r="U14" s="195"/>
      <c r="V14" s="195"/>
      <c r="W14" s="195"/>
      <c r="X14" s="136"/>
      <c r="Y14" s="136"/>
    </row>
    <row r="15" spans="2:25" x14ac:dyDescent="0.25">
      <c r="B15" s="204"/>
      <c r="C15" s="207"/>
      <c r="D15" s="207"/>
      <c r="E15" s="207"/>
      <c r="F15" s="204"/>
      <c r="G15" s="210"/>
      <c r="H15" s="213"/>
      <c r="I15" s="213"/>
      <c r="J15" s="204"/>
      <c r="K15" s="29">
        <v>1650</v>
      </c>
      <c r="L15" s="213"/>
      <c r="M15" s="29">
        <v>16.64</v>
      </c>
      <c r="N15" s="30">
        <f t="shared" si="0"/>
        <v>27456</v>
      </c>
      <c r="O15" s="22">
        <v>112</v>
      </c>
      <c r="P15" s="23">
        <f t="shared" ref="P15:P21" si="1">+N15/10.4</f>
        <v>2640</v>
      </c>
      <c r="Q15" s="193"/>
      <c r="R15" s="194"/>
      <c r="S15" s="195"/>
      <c r="T15" s="195"/>
      <c r="U15" s="195"/>
      <c r="V15" s="195"/>
      <c r="W15" s="195"/>
      <c r="X15" s="136"/>
      <c r="Y15" s="136"/>
    </row>
    <row r="16" spans="2:25" x14ac:dyDescent="0.25">
      <c r="B16" s="202">
        <v>2</v>
      </c>
      <c r="C16" s="205">
        <v>46207</v>
      </c>
      <c r="D16" s="205"/>
      <c r="E16" s="205">
        <v>46208</v>
      </c>
      <c r="F16" s="202" t="s">
        <v>156</v>
      </c>
      <c r="G16" s="208" t="s">
        <v>19</v>
      </c>
      <c r="H16" s="211"/>
      <c r="I16" s="211"/>
      <c r="J16" s="214">
        <v>22</v>
      </c>
      <c r="K16" s="29">
        <v>2273</v>
      </c>
      <c r="L16" s="211">
        <f>SUM(K16:K23)</f>
        <v>17406</v>
      </c>
      <c r="M16" s="29">
        <v>16.64</v>
      </c>
      <c r="N16" s="30">
        <f t="shared" si="0"/>
        <v>37822.720000000001</v>
      </c>
      <c r="O16" s="22">
        <v>114</v>
      </c>
      <c r="P16" s="23">
        <f t="shared" si="1"/>
        <v>3636.8</v>
      </c>
      <c r="Q16" s="193"/>
      <c r="R16" s="194"/>
      <c r="S16" s="195"/>
      <c r="T16" s="195"/>
      <c r="U16" s="195"/>
      <c r="V16" s="195"/>
      <c r="W16" s="195"/>
      <c r="X16" s="136"/>
      <c r="Y16" s="136"/>
    </row>
    <row r="17" spans="2:25" x14ac:dyDescent="0.25">
      <c r="B17" s="203"/>
      <c r="C17" s="206"/>
      <c r="D17" s="206"/>
      <c r="E17" s="206"/>
      <c r="F17" s="203"/>
      <c r="G17" s="209"/>
      <c r="H17" s="212"/>
      <c r="I17" s="212"/>
      <c r="J17" s="215"/>
      <c r="K17" s="29">
        <v>2384</v>
      </c>
      <c r="L17" s="212"/>
      <c r="M17" s="29">
        <v>16.64</v>
      </c>
      <c r="N17" s="30">
        <f t="shared" si="0"/>
        <v>39669.760000000002</v>
      </c>
      <c r="O17" s="22">
        <v>115</v>
      </c>
      <c r="P17" s="23">
        <f t="shared" si="1"/>
        <v>3814.4</v>
      </c>
      <c r="Q17" s="193"/>
      <c r="R17" s="194"/>
      <c r="S17" s="195"/>
      <c r="T17" s="195"/>
      <c r="U17" s="195"/>
      <c r="V17" s="195"/>
      <c r="W17" s="195"/>
      <c r="X17" s="136"/>
      <c r="Y17" s="136"/>
    </row>
    <row r="18" spans="2:25" x14ac:dyDescent="0.25">
      <c r="B18" s="203"/>
      <c r="C18" s="206"/>
      <c r="D18" s="206"/>
      <c r="E18" s="206"/>
      <c r="F18" s="203"/>
      <c r="G18" s="209"/>
      <c r="H18" s="212"/>
      <c r="I18" s="212"/>
      <c r="J18" s="215"/>
      <c r="K18" s="29">
        <v>2408</v>
      </c>
      <c r="L18" s="212"/>
      <c r="M18" s="29">
        <v>16.64</v>
      </c>
      <c r="N18" s="30">
        <f t="shared" si="0"/>
        <v>40069.120000000003</v>
      </c>
      <c r="O18" s="22">
        <v>116</v>
      </c>
      <c r="P18" s="23">
        <f t="shared" si="1"/>
        <v>3852.8</v>
      </c>
      <c r="Q18" s="193"/>
      <c r="R18" s="194"/>
      <c r="S18" s="195"/>
      <c r="T18" s="195"/>
      <c r="U18" s="195"/>
      <c r="V18" s="195"/>
      <c r="W18" s="195"/>
      <c r="X18" s="136"/>
      <c r="Y18" s="136"/>
    </row>
    <row r="19" spans="2:25" x14ac:dyDescent="0.25">
      <c r="B19" s="203"/>
      <c r="C19" s="206"/>
      <c r="D19" s="206"/>
      <c r="E19" s="206"/>
      <c r="F19" s="203"/>
      <c r="G19" s="209"/>
      <c r="H19" s="212"/>
      <c r="I19" s="212"/>
      <c r="J19" s="215"/>
      <c r="K19" s="29">
        <v>2440</v>
      </c>
      <c r="L19" s="212"/>
      <c r="M19" s="29">
        <v>16.64</v>
      </c>
      <c r="N19" s="30">
        <f t="shared" si="0"/>
        <v>40601.599999999999</v>
      </c>
      <c r="O19" s="22">
        <v>117</v>
      </c>
      <c r="P19" s="23">
        <f t="shared" si="1"/>
        <v>3903.9999999999995</v>
      </c>
      <c r="Q19" s="193"/>
      <c r="R19" s="194"/>
      <c r="S19" s="195"/>
      <c r="T19" s="195"/>
      <c r="U19" s="195"/>
      <c r="V19" s="195"/>
      <c r="W19" s="195"/>
      <c r="X19" s="136"/>
      <c r="Y19" s="136"/>
    </row>
    <row r="20" spans="2:25" x14ac:dyDescent="0.25">
      <c r="B20" s="203"/>
      <c r="C20" s="206"/>
      <c r="D20" s="206"/>
      <c r="E20" s="206"/>
      <c r="F20" s="203"/>
      <c r="G20" s="209"/>
      <c r="H20" s="212"/>
      <c r="I20" s="212"/>
      <c r="J20" s="215"/>
      <c r="K20" s="29">
        <v>2369</v>
      </c>
      <c r="L20" s="212"/>
      <c r="M20" s="29">
        <v>16.64</v>
      </c>
      <c r="N20" s="30">
        <f t="shared" si="0"/>
        <v>39420.160000000003</v>
      </c>
      <c r="O20" s="22">
        <v>118</v>
      </c>
      <c r="P20" s="23">
        <f t="shared" si="1"/>
        <v>3790.4</v>
      </c>
      <c r="Q20" s="193"/>
      <c r="R20" s="194"/>
      <c r="S20" s="195"/>
      <c r="T20" s="195"/>
      <c r="U20" s="195"/>
      <c r="V20" s="195"/>
      <c r="W20" s="195"/>
      <c r="X20" s="136"/>
      <c r="Y20" s="136"/>
    </row>
    <row r="21" spans="2:25" x14ac:dyDescent="0.25">
      <c r="B21" s="203"/>
      <c r="C21" s="206"/>
      <c r="D21" s="206"/>
      <c r="E21" s="206"/>
      <c r="F21" s="203"/>
      <c r="G21" s="209"/>
      <c r="H21" s="212"/>
      <c r="I21" s="212"/>
      <c r="J21" s="215"/>
      <c r="K21" s="29">
        <v>2364</v>
      </c>
      <c r="L21" s="212"/>
      <c r="M21" s="29">
        <v>16.64</v>
      </c>
      <c r="N21" s="30">
        <f t="shared" si="0"/>
        <v>39336.959999999999</v>
      </c>
      <c r="O21" s="22">
        <v>119</v>
      </c>
      <c r="P21" s="23">
        <f t="shared" si="1"/>
        <v>3782.3999999999996</v>
      </c>
      <c r="Q21" s="193"/>
      <c r="R21" s="194"/>
      <c r="S21" s="195"/>
      <c r="T21" s="195"/>
      <c r="U21" s="195"/>
      <c r="V21" s="195"/>
      <c r="W21" s="195"/>
      <c r="X21" s="136"/>
      <c r="Y21" s="136"/>
    </row>
    <row r="22" spans="2:25" x14ac:dyDescent="0.25">
      <c r="B22" s="203"/>
      <c r="C22" s="206"/>
      <c r="D22" s="206"/>
      <c r="E22" s="206"/>
      <c r="F22" s="203"/>
      <c r="G22" s="209"/>
      <c r="H22" s="212"/>
      <c r="I22" s="212"/>
      <c r="J22" s="215"/>
      <c r="K22" s="29">
        <v>1574</v>
      </c>
      <c r="L22" s="212"/>
      <c r="M22" s="29">
        <v>16.8</v>
      </c>
      <c r="N22" s="30">
        <f t="shared" si="0"/>
        <v>26443.200000000001</v>
      </c>
      <c r="O22" s="22">
        <v>120</v>
      </c>
      <c r="P22" s="23">
        <f>+N22/10.5</f>
        <v>2518.4</v>
      </c>
      <c r="Q22" s="193"/>
      <c r="R22" s="194"/>
      <c r="S22" s="195"/>
      <c r="T22" s="195"/>
      <c r="U22" s="195"/>
      <c r="V22" s="195"/>
      <c r="W22" s="195"/>
      <c r="X22" s="136"/>
      <c r="Y22" s="136"/>
    </row>
    <row r="23" spans="2:25" x14ac:dyDescent="0.25">
      <c r="B23" s="204"/>
      <c r="C23" s="207"/>
      <c r="D23" s="207"/>
      <c r="E23" s="207"/>
      <c r="F23" s="204"/>
      <c r="G23" s="210"/>
      <c r="H23" s="213"/>
      <c r="I23" s="213"/>
      <c r="J23" s="216"/>
      <c r="K23" s="29">
        <v>1594</v>
      </c>
      <c r="L23" s="213"/>
      <c r="M23" s="29">
        <v>16.8</v>
      </c>
      <c r="N23" s="30">
        <f t="shared" si="0"/>
        <v>26779.200000000001</v>
      </c>
      <c r="O23" s="22">
        <v>121</v>
      </c>
      <c r="P23" s="23">
        <f>+N23/10.5</f>
        <v>2550.4</v>
      </c>
      <c r="Q23" s="193"/>
      <c r="R23" s="194"/>
      <c r="S23" s="195"/>
      <c r="T23" s="195"/>
      <c r="U23" s="195"/>
      <c r="V23" s="195"/>
      <c r="W23" s="195"/>
      <c r="X23" s="136"/>
      <c r="Y23" s="136"/>
    </row>
    <row r="24" spans="2:25" x14ac:dyDescent="0.25">
      <c r="B24" s="202">
        <v>3</v>
      </c>
      <c r="C24" s="205">
        <v>46212</v>
      </c>
      <c r="D24" s="205"/>
      <c r="E24" s="205">
        <v>46213</v>
      </c>
      <c r="F24" s="202" t="s">
        <v>160</v>
      </c>
      <c r="G24" s="208" t="s">
        <v>19</v>
      </c>
      <c r="H24" s="211"/>
      <c r="I24" s="211"/>
      <c r="J24" s="202">
        <v>22</v>
      </c>
      <c r="K24" s="29">
        <v>2420</v>
      </c>
      <c r="L24" s="211">
        <v>17541</v>
      </c>
      <c r="M24" s="29">
        <v>16.8</v>
      </c>
      <c r="N24" s="30">
        <f t="shared" si="0"/>
        <v>40656</v>
      </c>
      <c r="O24" s="22">
        <v>122</v>
      </c>
      <c r="P24" s="23">
        <f>+N24/10.5</f>
        <v>3872</v>
      </c>
      <c r="Q24" s="193"/>
      <c r="R24" s="194"/>
      <c r="S24" s="195"/>
      <c r="T24" s="195"/>
      <c r="U24" s="195"/>
      <c r="V24" s="195"/>
      <c r="W24" s="195"/>
      <c r="X24" s="136"/>
      <c r="Y24" s="136"/>
    </row>
    <row r="25" spans="2:25" x14ac:dyDescent="0.25">
      <c r="B25" s="203"/>
      <c r="C25" s="206"/>
      <c r="D25" s="206"/>
      <c r="E25" s="206"/>
      <c r="F25" s="203"/>
      <c r="G25" s="209"/>
      <c r="H25" s="212"/>
      <c r="I25" s="212"/>
      <c r="J25" s="203"/>
      <c r="K25" s="29">
        <v>2446</v>
      </c>
      <c r="L25" s="212"/>
      <c r="M25" s="29">
        <v>16.8</v>
      </c>
      <c r="N25" s="30">
        <f t="shared" si="0"/>
        <v>41092.800000000003</v>
      </c>
      <c r="O25" s="22">
        <v>123</v>
      </c>
      <c r="P25" s="23">
        <f>+N25/10.5</f>
        <v>3913.6000000000004</v>
      </c>
      <c r="Q25" s="193"/>
      <c r="R25" s="194"/>
      <c r="S25" s="195"/>
      <c r="T25" s="195"/>
      <c r="U25" s="195"/>
      <c r="V25" s="195"/>
      <c r="W25" s="195"/>
      <c r="X25" s="136"/>
      <c r="Y25" s="136"/>
    </row>
    <row r="26" spans="2:25" x14ac:dyDescent="0.25">
      <c r="B26" s="203"/>
      <c r="C26" s="206"/>
      <c r="D26" s="206"/>
      <c r="E26" s="206"/>
      <c r="F26" s="203"/>
      <c r="G26" s="209"/>
      <c r="H26" s="212"/>
      <c r="I26" s="212"/>
      <c r="J26" s="203"/>
      <c r="K26" s="29">
        <v>2368</v>
      </c>
      <c r="L26" s="212"/>
      <c r="M26" s="29">
        <v>17.12</v>
      </c>
      <c r="N26" s="30">
        <f t="shared" si="0"/>
        <v>40540.160000000003</v>
      </c>
      <c r="O26" s="22">
        <v>124</v>
      </c>
      <c r="P26" s="23">
        <f>+N26/10.7</f>
        <v>3788.8000000000006</v>
      </c>
      <c r="Q26" s="193"/>
      <c r="R26" s="194"/>
      <c r="S26" s="195"/>
      <c r="T26" s="195"/>
      <c r="U26" s="195"/>
      <c r="V26" s="195"/>
      <c r="W26" s="195"/>
      <c r="X26" s="136"/>
      <c r="Y26" s="136"/>
    </row>
    <row r="27" spans="2:25" x14ac:dyDescent="0.25">
      <c r="B27" s="203"/>
      <c r="C27" s="206"/>
      <c r="D27" s="206"/>
      <c r="E27" s="206"/>
      <c r="F27" s="203"/>
      <c r="G27" s="209"/>
      <c r="H27" s="212"/>
      <c r="I27" s="212"/>
      <c r="J27" s="203"/>
      <c r="K27" s="29">
        <v>2391</v>
      </c>
      <c r="L27" s="212"/>
      <c r="M27" s="29">
        <v>17.12</v>
      </c>
      <c r="N27" s="30">
        <f t="shared" si="0"/>
        <v>40933.920000000006</v>
      </c>
      <c r="O27" s="22">
        <v>125</v>
      </c>
      <c r="P27" s="23">
        <f>+N27/10.7</f>
        <v>3825.6000000000008</v>
      </c>
      <c r="Q27" s="193"/>
      <c r="R27" s="194"/>
      <c r="S27" s="195"/>
      <c r="T27" s="195"/>
      <c r="U27" s="195"/>
      <c r="V27" s="195"/>
      <c r="W27" s="195"/>
      <c r="X27" s="136"/>
      <c r="Y27" s="136"/>
    </row>
    <row r="28" spans="2:25" x14ac:dyDescent="0.25">
      <c r="B28" s="203"/>
      <c r="C28" s="206"/>
      <c r="D28" s="206"/>
      <c r="E28" s="206"/>
      <c r="F28" s="203"/>
      <c r="G28" s="209"/>
      <c r="H28" s="212"/>
      <c r="I28" s="212"/>
      <c r="J28" s="203"/>
      <c r="K28" s="29">
        <v>2408</v>
      </c>
      <c r="L28" s="212"/>
      <c r="M28" s="29">
        <v>17.12</v>
      </c>
      <c r="N28" s="30">
        <f t="shared" si="0"/>
        <v>41224.959999999999</v>
      </c>
      <c r="O28" s="22">
        <v>126</v>
      </c>
      <c r="P28" s="23">
        <f>+N28/10.7</f>
        <v>3852.8</v>
      </c>
      <c r="Q28" s="193"/>
      <c r="R28" s="194"/>
      <c r="S28" s="195"/>
      <c r="T28" s="195"/>
      <c r="U28" s="195"/>
      <c r="V28" s="195"/>
      <c r="W28" s="195"/>
      <c r="X28" s="136"/>
      <c r="Y28" s="136"/>
    </row>
    <row r="29" spans="2:25" x14ac:dyDescent="0.25">
      <c r="B29" s="203"/>
      <c r="C29" s="206"/>
      <c r="D29" s="206"/>
      <c r="E29" s="206"/>
      <c r="F29" s="203"/>
      <c r="G29" s="209"/>
      <c r="H29" s="212"/>
      <c r="I29" s="212"/>
      <c r="J29" s="203"/>
      <c r="K29" s="29">
        <v>2368</v>
      </c>
      <c r="L29" s="212"/>
      <c r="M29" s="29">
        <v>17.12</v>
      </c>
      <c r="N29" s="30">
        <f t="shared" si="0"/>
        <v>40540.160000000003</v>
      </c>
      <c r="O29" s="22">
        <v>127</v>
      </c>
      <c r="P29" s="23">
        <f>+N29/10.7</f>
        <v>3788.8000000000006</v>
      </c>
      <c r="Q29" s="193"/>
      <c r="R29" s="194"/>
      <c r="S29" s="195"/>
      <c r="T29" s="195"/>
      <c r="U29" s="195"/>
      <c r="V29" s="195"/>
      <c r="W29" s="195"/>
      <c r="X29" s="136"/>
      <c r="Y29" s="136"/>
    </row>
    <row r="30" spans="2:25" x14ac:dyDescent="0.25">
      <c r="B30" s="203"/>
      <c r="C30" s="206"/>
      <c r="D30" s="206"/>
      <c r="E30" s="206"/>
      <c r="F30" s="203"/>
      <c r="G30" s="209"/>
      <c r="H30" s="212"/>
      <c r="I30" s="212"/>
      <c r="J30" s="203"/>
      <c r="K30" s="29">
        <v>1576</v>
      </c>
      <c r="L30" s="212"/>
      <c r="M30" s="29">
        <v>17.2</v>
      </c>
      <c r="N30" s="30">
        <f t="shared" si="0"/>
        <v>27107.199999999997</v>
      </c>
      <c r="O30" s="22">
        <v>128</v>
      </c>
      <c r="P30" s="23">
        <f>+N30/10.75</f>
        <v>2521.6</v>
      </c>
      <c r="Q30" s="193"/>
      <c r="R30" s="194"/>
      <c r="S30" s="195"/>
      <c r="T30" s="195"/>
      <c r="U30" s="195"/>
      <c r="V30" s="195"/>
      <c r="W30" s="195"/>
      <c r="X30" s="136"/>
      <c r="Y30" s="136"/>
    </row>
    <row r="31" spans="2:25" x14ac:dyDescent="0.25">
      <c r="B31" s="204"/>
      <c r="C31" s="207"/>
      <c r="D31" s="207"/>
      <c r="E31" s="207"/>
      <c r="F31" s="204"/>
      <c r="G31" s="210"/>
      <c r="H31" s="213"/>
      <c r="I31" s="213"/>
      <c r="J31" s="204"/>
      <c r="K31" s="29">
        <v>1564</v>
      </c>
      <c r="L31" s="213"/>
      <c r="M31" s="29">
        <v>17.2</v>
      </c>
      <c r="N31" s="30">
        <f t="shared" si="0"/>
        <v>26900.799999999999</v>
      </c>
      <c r="O31" s="22">
        <v>130</v>
      </c>
      <c r="P31" s="23">
        <f>+N31/10.75</f>
        <v>2502.4</v>
      </c>
      <c r="Q31" s="193"/>
      <c r="R31" s="194"/>
      <c r="S31" s="195"/>
      <c r="T31" s="195"/>
      <c r="U31" s="195"/>
      <c r="V31" s="195"/>
      <c r="W31" s="195"/>
      <c r="X31" s="136"/>
      <c r="Y31" s="136"/>
    </row>
    <row r="32" spans="2:25" ht="19.5" customHeight="1" x14ac:dyDescent="0.25">
      <c r="B32" s="221" t="s">
        <v>21</v>
      </c>
      <c r="C32" s="222"/>
      <c r="D32" s="222"/>
      <c r="E32" s="222"/>
      <c r="F32" s="222"/>
      <c r="G32" s="222"/>
      <c r="H32" s="222"/>
      <c r="I32" s="223"/>
      <c r="J32" s="32">
        <f>SUM(J8:J31)</f>
        <v>66</v>
      </c>
      <c r="K32" s="32">
        <f t="shared" ref="K32:N32" si="2">SUM(K8:K31)</f>
        <v>53054</v>
      </c>
      <c r="L32" s="32">
        <f t="shared" si="2"/>
        <v>53054</v>
      </c>
      <c r="M32" s="32"/>
      <c r="N32" s="32">
        <f t="shared" si="2"/>
        <v>881573.27</v>
      </c>
      <c r="O32" s="34"/>
      <c r="P32" s="32">
        <f>SUM(P8:P31)</f>
        <v>84884.326892367273</v>
      </c>
      <c r="Q32" s="35"/>
      <c r="S32" s="36"/>
      <c r="Y32" s="46" t="e">
        <f>SUM(#REF!)</f>
        <v>#REF!</v>
      </c>
    </row>
    <row r="35" spans="2:21" hidden="1" x14ac:dyDescent="0.25"/>
    <row r="36" spans="2:21" hidden="1" x14ac:dyDescent="0.25"/>
    <row r="37" spans="2:21" hidden="1" x14ac:dyDescent="0.25"/>
    <row r="38" spans="2:21" hidden="1" x14ac:dyDescent="0.25"/>
    <row r="39" spans="2:21" ht="18" hidden="1" x14ac:dyDescent="0.25">
      <c r="B39" s="227" t="s">
        <v>22</v>
      </c>
      <c r="C39" s="227"/>
      <c r="D39" s="227"/>
      <c r="E39" s="227"/>
      <c r="F39" s="227"/>
      <c r="G39" s="227"/>
      <c r="H39" s="227"/>
      <c r="I39" s="227"/>
      <c r="J39" s="227"/>
      <c r="K39" s="198"/>
      <c r="M39" s="1"/>
      <c r="N39" s="3"/>
      <c r="O39" s="1"/>
      <c r="P39" s="3"/>
    </row>
    <row r="40" spans="2:21" ht="42.75" hidden="1" x14ac:dyDescent="0.25">
      <c r="B40" s="37" t="s">
        <v>23</v>
      </c>
      <c r="C40" s="38" t="s">
        <v>24</v>
      </c>
      <c r="D40" s="39" t="s">
        <v>25</v>
      </c>
      <c r="E40" s="38" t="s">
        <v>26</v>
      </c>
      <c r="F40" s="38" t="s">
        <v>27</v>
      </c>
      <c r="G40" s="38" t="s">
        <v>28</v>
      </c>
      <c r="H40" s="39" t="s">
        <v>29</v>
      </c>
      <c r="I40" s="40" t="s">
        <v>16</v>
      </c>
      <c r="J40" s="41" t="s">
        <v>108</v>
      </c>
      <c r="K40" s="41"/>
      <c r="L40" s="42" t="s">
        <v>30</v>
      </c>
      <c r="M40" s="219" t="s">
        <v>31</v>
      </c>
      <c r="N40" s="219"/>
      <c r="O40" s="220"/>
      <c r="P40" s="43" t="s">
        <v>32</v>
      </c>
      <c r="Q40" s="44"/>
      <c r="R40" s="44"/>
    </row>
    <row r="41" spans="2:21" ht="39" hidden="1" customHeight="1" x14ac:dyDescent="0.25">
      <c r="B41" s="54">
        <v>28</v>
      </c>
      <c r="C41" s="70">
        <v>45705</v>
      </c>
      <c r="D41" s="71" t="s">
        <v>37</v>
      </c>
      <c r="E41" s="72">
        <f>13025+4516</f>
        <v>17541</v>
      </c>
      <c r="F41" s="73">
        <f t="shared" ref="F41:F45" si="3">+E41/1000</f>
        <v>17.541</v>
      </c>
      <c r="G41" s="73">
        <v>1700</v>
      </c>
      <c r="H41" s="74">
        <f t="shared" ref="H41:H43" si="4">+F41*G41</f>
        <v>29819.7</v>
      </c>
      <c r="I41" s="47"/>
      <c r="J41" s="48">
        <v>0</v>
      </c>
      <c r="K41" s="48"/>
      <c r="L41" s="49"/>
      <c r="M41" s="50"/>
      <c r="N41" s="51"/>
      <c r="O41" s="50"/>
      <c r="P41" s="52">
        <f>SUM(M41:O41)</f>
        <v>0</v>
      </c>
      <c r="Q41" s="45"/>
      <c r="R41" s="45"/>
    </row>
    <row r="42" spans="2:21" ht="18" hidden="1" x14ac:dyDescent="0.25">
      <c r="B42" s="54">
        <v>29</v>
      </c>
      <c r="C42" s="70">
        <v>45709</v>
      </c>
      <c r="D42" s="71" t="s">
        <v>37</v>
      </c>
      <c r="E42" s="72">
        <v>9840</v>
      </c>
      <c r="F42" s="73">
        <f t="shared" si="3"/>
        <v>9.84</v>
      </c>
      <c r="G42" s="73">
        <v>1700</v>
      </c>
      <c r="H42" s="74">
        <f>+F42*G42</f>
        <v>16728</v>
      </c>
      <c r="I42" s="47"/>
      <c r="J42" s="48">
        <v>0</v>
      </c>
      <c r="K42" s="48"/>
      <c r="L42" s="49"/>
      <c r="M42" s="50"/>
      <c r="N42" s="51"/>
      <c r="O42" s="50"/>
      <c r="P42" s="52">
        <f>SUM(M42:O42)</f>
        <v>0</v>
      </c>
      <c r="Q42" s="45"/>
      <c r="R42" s="45"/>
      <c r="S42" s="45"/>
      <c r="T42" s="45"/>
      <c r="U42" s="45"/>
    </row>
    <row r="43" spans="2:21" ht="18" hidden="1" x14ac:dyDescent="0.25">
      <c r="B43" s="54">
        <v>30</v>
      </c>
      <c r="C43" s="70">
        <v>45714</v>
      </c>
      <c r="D43" s="71" t="s">
        <v>37</v>
      </c>
      <c r="E43" s="72">
        <f>3174+14490</f>
        <v>17664</v>
      </c>
      <c r="F43" s="73">
        <f t="shared" si="3"/>
        <v>17.664000000000001</v>
      </c>
      <c r="G43" s="73">
        <v>1700</v>
      </c>
      <c r="H43" s="74">
        <f t="shared" si="4"/>
        <v>30028.800000000003</v>
      </c>
      <c r="I43" s="47"/>
      <c r="J43" s="48">
        <v>0</v>
      </c>
      <c r="K43" s="48"/>
      <c r="L43" s="49"/>
      <c r="M43" s="50"/>
      <c r="N43" s="55"/>
      <c r="O43" s="50"/>
      <c r="P43" s="52">
        <f>SUM(M43:O43)</f>
        <v>0</v>
      </c>
      <c r="Q43" s="45"/>
      <c r="R43" s="45"/>
      <c r="S43" s="45"/>
      <c r="T43" s="45"/>
      <c r="U43" s="45"/>
    </row>
    <row r="44" spans="2:21" ht="18" hidden="1" x14ac:dyDescent="0.25">
      <c r="B44" s="54">
        <v>31</v>
      </c>
      <c r="C44" s="70">
        <v>45741</v>
      </c>
      <c r="D44" s="71" t="s">
        <v>37</v>
      </c>
      <c r="E44" s="72">
        <v>17536</v>
      </c>
      <c r="F44" s="73">
        <f t="shared" si="3"/>
        <v>17.536000000000001</v>
      </c>
      <c r="G44" s="73">
        <v>1700</v>
      </c>
      <c r="H44" s="74">
        <f>+F44*G44</f>
        <v>29811.200000000001</v>
      </c>
      <c r="I44" s="47"/>
      <c r="J44" s="48">
        <v>30250.53</v>
      </c>
      <c r="K44" s="48"/>
      <c r="L44" s="49">
        <v>45747</v>
      </c>
      <c r="M44" s="68" t="s">
        <v>36</v>
      </c>
      <c r="N44" s="50"/>
      <c r="O44" s="50"/>
      <c r="P44" s="52">
        <v>100</v>
      </c>
      <c r="Q44" s="45"/>
      <c r="R44" s="45"/>
      <c r="S44" s="45"/>
      <c r="T44" s="45"/>
      <c r="U44" s="45"/>
    </row>
    <row r="45" spans="2:21" ht="18" hidden="1" x14ac:dyDescent="0.25">
      <c r="B45" s="90">
        <v>1</v>
      </c>
      <c r="C45" s="70">
        <v>45752</v>
      </c>
      <c r="D45" s="71" t="s">
        <v>33</v>
      </c>
      <c r="E45" s="72">
        <f>4737+13050</f>
        <v>17787</v>
      </c>
      <c r="F45" s="73">
        <f t="shared" si="3"/>
        <v>17.786999999999999</v>
      </c>
      <c r="G45" s="73">
        <v>1700</v>
      </c>
      <c r="H45" s="74">
        <v>0</v>
      </c>
      <c r="I45" s="47">
        <v>17895</v>
      </c>
      <c r="J45" s="48">
        <f>+J44+H45-I45</f>
        <v>12355.529999999999</v>
      </c>
      <c r="K45" s="48"/>
      <c r="L45" s="49">
        <v>45749</v>
      </c>
      <c r="M45" s="50">
        <v>17895</v>
      </c>
      <c r="N45" s="50"/>
      <c r="O45" s="50"/>
      <c r="P45" s="52">
        <f>SUM(M45:O45)</f>
        <v>17895</v>
      </c>
      <c r="Q45" s="45"/>
      <c r="R45" s="45"/>
      <c r="S45" s="45"/>
      <c r="T45" s="45"/>
      <c r="U45" s="45"/>
    </row>
    <row r="46" spans="2:21" ht="18" hidden="1" x14ac:dyDescent="0.25">
      <c r="B46" s="90"/>
      <c r="C46" s="70"/>
      <c r="D46" s="71"/>
      <c r="E46" s="72"/>
      <c r="F46" s="73"/>
      <c r="G46" s="73"/>
      <c r="H46" s="74"/>
      <c r="I46" s="47">
        <v>250</v>
      </c>
      <c r="J46" s="48">
        <f>+J45+H46-I46</f>
        <v>12105.529999999999</v>
      </c>
      <c r="K46" s="48"/>
      <c r="L46" s="49">
        <v>45749</v>
      </c>
      <c r="M46" s="50">
        <v>250</v>
      </c>
      <c r="N46" s="55"/>
      <c r="O46" s="50"/>
      <c r="P46" s="52">
        <f>SUM(M46:O46)</f>
        <v>250</v>
      </c>
      <c r="Q46" s="45"/>
      <c r="R46" s="45"/>
      <c r="S46" s="45"/>
      <c r="T46" s="45"/>
      <c r="U46" s="45"/>
    </row>
    <row r="47" spans="2:21" ht="18" hidden="1" x14ac:dyDescent="0.25">
      <c r="B47" s="90">
        <v>2</v>
      </c>
      <c r="C47" s="70">
        <v>45776</v>
      </c>
      <c r="D47" s="71">
        <v>14970</v>
      </c>
      <c r="E47" s="72">
        <v>16555</v>
      </c>
      <c r="F47" s="73">
        <f t="shared" ref="F47" si="5">+E47/1000</f>
        <v>16.555</v>
      </c>
      <c r="G47" s="73">
        <v>1700</v>
      </c>
      <c r="H47" s="74">
        <f>+F47*G47</f>
        <v>28143.5</v>
      </c>
      <c r="I47" s="47">
        <v>14364</v>
      </c>
      <c r="J47" s="48">
        <f t="shared" ref="J47:J57" si="6">+J46+H47-I47</f>
        <v>25885.03</v>
      </c>
      <c r="K47" s="48"/>
      <c r="L47" s="49">
        <v>45783</v>
      </c>
      <c r="M47" s="50">
        <v>14364</v>
      </c>
      <c r="N47" s="50"/>
      <c r="O47" s="50"/>
      <c r="P47" s="52">
        <f t="shared" ref="P47:P101" si="7">SUM(M47:O47)</f>
        <v>14364</v>
      </c>
      <c r="Q47" s="45"/>
      <c r="R47" s="45"/>
      <c r="S47" s="45"/>
      <c r="T47" s="45"/>
      <c r="U47" s="45"/>
    </row>
    <row r="48" spans="2:21" ht="18" hidden="1" x14ac:dyDescent="0.25">
      <c r="B48" s="90"/>
      <c r="C48" s="91"/>
      <c r="D48" s="141"/>
      <c r="E48" s="92"/>
      <c r="F48" s="74"/>
      <c r="G48" s="74"/>
      <c r="H48" s="74"/>
      <c r="I48" s="47">
        <v>15280</v>
      </c>
      <c r="J48" s="48">
        <f t="shared" si="6"/>
        <v>10605.029999999999</v>
      </c>
      <c r="K48" s="48"/>
      <c r="L48" s="49">
        <v>45784</v>
      </c>
      <c r="M48" s="50">
        <v>15280</v>
      </c>
      <c r="N48" s="50"/>
      <c r="O48" s="50"/>
      <c r="P48" s="52">
        <f t="shared" si="7"/>
        <v>15280</v>
      </c>
      <c r="Q48" s="45"/>
      <c r="R48" s="45"/>
      <c r="S48" s="45"/>
      <c r="T48" s="45"/>
      <c r="U48" s="45"/>
    </row>
    <row r="49" spans="2:21" ht="18" hidden="1" x14ac:dyDescent="0.25">
      <c r="B49" s="90">
        <v>3</v>
      </c>
      <c r="C49" s="91">
        <v>45791</v>
      </c>
      <c r="D49" s="141" t="s">
        <v>101</v>
      </c>
      <c r="E49" s="92">
        <f>13069+4919</f>
        <v>17988</v>
      </c>
      <c r="F49" s="74">
        <f t="shared" ref="F49" si="8">+E49/1000</f>
        <v>17.988</v>
      </c>
      <c r="G49" s="74">
        <v>1700</v>
      </c>
      <c r="H49" s="74">
        <f>+F49*G49</f>
        <v>30579.599999999999</v>
      </c>
      <c r="I49" s="138">
        <v>30000</v>
      </c>
      <c r="J49" s="48">
        <f t="shared" si="6"/>
        <v>11184.629999999997</v>
      </c>
      <c r="K49" s="48"/>
      <c r="L49" s="49">
        <v>45789</v>
      </c>
      <c r="M49" s="50">
        <v>5000</v>
      </c>
      <c r="N49" s="50">
        <v>25000</v>
      </c>
      <c r="O49" s="50"/>
      <c r="P49" s="140">
        <f t="shared" si="7"/>
        <v>30000</v>
      </c>
      <c r="Q49" s="45"/>
      <c r="R49" s="45"/>
      <c r="S49" s="45"/>
      <c r="T49" s="45"/>
      <c r="U49" s="45"/>
    </row>
    <row r="50" spans="2:21" ht="18" hidden="1" x14ac:dyDescent="0.25">
      <c r="B50" s="90"/>
      <c r="C50" s="91"/>
      <c r="D50" s="141"/>
      <c r="E50" s="92"/>
      <c r="F50" s="74"/>
      <c r="G50" s="74"/>
      <c r="H50" s="74"/>
      <c r="I50" s="138">
        <v>20000</v>
      </c>
      <c r="J50" s="48">
        <f t="shared" si="6"/>
        <v>-8815.3700000000026</v>
      </c>
      <c r="K50" s="48"/>
      <c r="L50" s="49">
        <v>45800</v>
      </c>
      <c r="M50" s="50">
        <v>20000</v>
      </c>
      <c r="N50" s="50"/>
      <c r="O50" s="50"/>
      <c r="P50" s="140">
        <f>SUM(M50:O50)</f>
        <v>20000</v>
      </c>
      <c r="Q50" s="45"/>
      <c r="R50" s="45"/>
      <c r="S50" s="45"/>
      <c r="T50" s="45"/>
      <c r="U50" s="45"/>
    </row>
    <row r="51" spans="2:21" ht="18" hidden="1" x14ac:dyDescent="0.25">
      <c r="B51" s="90"/>
      <c r="C51" s="91"/>
      <c r="D51" s="71"/>
      <c r="E51" s="92"/>
      <c r="F51" s="74"/>
      <c r="G51" s="74"/>
      <c r="H51" s="74"/>
      <c r="I51" s="138">
        <v>702.68</v>
      </c>
      <c r="J51" s="48">
        <f t="shared" si="6"/>
        <v>-9518.0500000000029</v>
      </c>
      <c r="K51" s="48"/>
      <c r="L51" s="49">
        <v>45803</v>
      </c>
      <c r="M51" s="50">
        <v>702.68</v>
      </c>
      <c r="N51" s="50"/>
      <c r="O51" s="50"/>
      <c r="P51" s="140">
        <f t="shared" si="7"/>
        <v>702.68</v>
      </c>
      <c r="Q51" s="45"/>
      <c r="R51" s="45"/>
      <c r="S51" s="45"/>
      <c r="T51" s="45"/>
      <c r="U51" s="45"/>
    </row>
    <row r="52" spans="2:21" ht="18" hidden="1" x14ac:dyDescent="0.25">
      <c r="B52" s="90"/>
      <c r="C52" s="134"/>
      <c r="D52" s="71"/>
      <c r="E52" s="135"/>
      <c r="F52" s="136"/>
      <c r="G52" s="136"/>
      <c r="H52" s="137"/>
      <c r="I52" s="138">
        <v>702.68</v>
      </c>
      <c r="J52" s="48">
        <f t="shared" si="6"/>
        <v>-10220.730000000003</v>
      </c>
      <c r="K52" s="48"/>
      <c r="L52" s="49">
        <v>45803</v>
      </c>
      <c r="M52" s="50">
        <v>702.68</v>
      </c>
      <c r="N52" s="50"/>
      <c r="O52" s="50"/>
      <c r="P52" s="140">
        <f t="shared" si="7"/>
        <v>702.68</v>
      </c>
      <c r="Q52" s="45"/>
      <c r="R52" s="45"/>
      <c r="S52" s="45"/>
      <c r="T52" s="45"/>
      <c r="U52" s="45"/>
    </row>
    <row r="53" spans="2:21" ht="18" hidden="1" x14ac:dyDescent="0.25">
      <c r="B53" s="90">
        <v>4</v>
      </c>
      <c r="C53" s="91">
        <v>45805</v>
      </c>
      <c r="D53" s="71">
        <v>1546</v>
      </c>
      <c r="E53" s="92" t="e">
        <f>+#REF!</f>
        <v>#REF!</v>
      </c>
      <c r="F53" s="74" t="e">
        <f t="shared" ref="F53" si="9">+E53/1000</f>
        <v>#REF!</v>
      </c>
      <c r="G53" s="74">
        <v>1700</v>
      </c>
      <c r="H53" s="74" t="e">
        <f>+F53*G53</f>
        <v>#REF!</v>
      </c>
      <c r="I53" s="138">
        <v>13587</v>
      </c>
      <c r="J53" s="48" t="e">
        <f t="shared" si="6"/>
        <v>#REF!</v>
      </c>
      <c r="K53" s="48"/>
      <c r="L53" s="49">
        <v>45812</v>
      </c>
      <c r="M53" s="50">
        <v>13587</v>
      </c>
      <c r="N53" s="50"/>
      <c r="O53" s="50"/>
      <c r="P53" s="140">
        <f t="shared" si="7"/>
        <v>13587</v>
      </c>
      <c r="Q53" s="45"/>
      <c r="R53" s="45"/>
      <c r="S53" s="45"/>
      <c r="T53" s="45"/>
      <c r="U53" s="45"/>
    </row>
    <row r="54" spans="2:21" ht="18" hidden="1" x14ac:dyDescent="0.25">
      <c r="C54" s="134"/>
      <c r="D54" s="71"/>
      <c r="E54" s="135"/>
      <c r="F54" s="136"/>
      <c r="G54" s="136"/>
      <c r="H54" s="137"/>
      <c r="I54" s="138">
        <v>250</v>
      </c>
      <c r="J54" s="48" t="e">
        <f t="shared" si="6"/>
        <v>#REF!</v>
      </c>
      <c r="K54" s="48"/>
      <c r="L54" s="49">
        <v>45812</v>
      </c>
      <c r="M54" s="50">
        <v>250</v>
      </c>
      <c r="N54" s="50"/>
      <c r="O54" s="50"/>
      <c r="P54" s="140">
        <f t="shared" si="7"/>
        <v>250</v>
      </c>
      <c r="Q54" s="45"/>
      <c r="R54" s="45"/>
      <c r="S54" s="45"/>
      <c r="T54" s="45"/>
      <c r="U54" s="45"/>
    </row>
    <row r="55" spans="2:21" ht="18" hidden="1" x14ac:dyDescent="0.25">
      <c r="B55" s="90">
        <v>5</v>
      </c>
      <c r="C55" s="91">
        <v>45822</v>
      </c>
      <c r="D55" s="71">
        <v>15071</v>
      </c>
      <c r="E55" s="92">
        <v>18163</v>
      </c>
      <c r="F55" s="74">
        <f t="shared" ref="F55" si="10">+E55/1000</f>
        <v>18.163</v>
      </c>
      <c r="G55" s="74">
        <v>1700</v>
      </c>
      <c r="H55" s="74">
        <f>+F55*G55</f>
        <v>30877.100000000002</v>
      </c>
      <c r="I55" s="138">
        <f>10928+91.71</f>
        <v>11019.71</v>
      </c>
      <c r="J55" s="48" t="e">
        <f>+J54+H55-I55</f>
        <v>#REF!</v>
      </c>
      <c r="K55" s="48"/>
      <c r="L55" s="49">
        <v>45826</v>
      </c>
      <c r="M55" s="50">
        <v>10928</v>
      </c>
      <c r="N55" s="50">
        <v>91.71</v>
      </c>
      <c r="O55" s="50"/>
      <c r="P55" s="140">
        <f>SUM(M55:O55)</f>
        <v>11019.71</v>
      </c>
      <c r="Q55" s="45"/>
      <c r="R55" s="45"/>
      <c r="S55" s="45"/>
      <c r="T55" s="45"/>
      <c r="U55" s="45"/>
    </row>
    <row r="56" spans="2:21" ht="18" hidden="1" x14ac:dyDescent="0.25">
      <c r="C56" s="134"/>
      <c r="D56" s="71"/>
      <c r="E56" s="135"/>
      <c r="F56" s="136"/>
      <c r="G56" s="136"/>
      <c r="H56" s="137"/>
      <c r="I56" s="138">
        <f>13200+91.71</f>
        <v>13291.71</v>
      </c>
      <c r="J56" s="48" t="e">
        <f>+J55+H56-I56</f>
        <v>#REF!</v>
      </c>
      <c r="K56" s="48"/>
      <c r="L56" s="49">
        <v>45826</v>
      </c>
      <c r="M56" s="50">
        <v>13200</v>
      </c>
      <c r="N56" s="50">
        <v>91.71</v>
      </c>
      <c r="O56" s="50"/>
      <c r="P56" s="140">
        <f t="shared" si="7"/>
        <v>13291.71</v>
      </c>
      <c r="Q56" s="45"/>
      <c r="R56" s="45"/>
      <c r="S56" s="45"/>
      <c r="T56" s="45"/>
      <c r="U56" s="45"/>
    </row>
    <row r="57" spans="2:21" ht="18" hidden="1" x14ac:dyDescent="0.25">
      <c r="B57" s="90">
        <v>6</v>
      </c>
      <c r="C57" s="91">
        <v>45834</v>
      </c>
      <c r="D57" s="71">
        <v>15091</v>
      </c>
      <c r="E57" s="92">
        <v>17068</v>
      </c>
      <c r="F57" s="74">
        <f t="shared" ref="F57" si="11">+E57/1000</f>
        <v>17.068000000000001</v>
      </c>
      <c r="G57" s="74">
        <v>1700</v>
      </c>
      <c r="H57" s="74">
        <f>+F57*G57</f>
        <v>29015.600000000002</v>
      </c>
      <c r="I57" s="138">
        <v>9940</v>
      </c>
      <c r="J57" s="48" t="e">
        <f t="shared" si="6"/>
        <v>#REF!</v>
      </c>
      <c r="K57" s="48"/>
      <c r="L57" s="49">
        <v>45833</v>
      </c>
      <c r="M57" s="50">
        <v>9900</v>
      </c>
      <c r="N57" s="50">
        <v>40</v>
      </c>
      <c r="O57" s="50"/>
      <c r="P57" s="140">
        <f t="shared" si="7"/>
        <v>9940</v>
      </c>
      <c r="Q57" s="45"/>
      <c r="R57" s="45"/>
      <c r="S57" s="45"/>
      <c r="T57" s="45"/>
      <c r="U57" s="45"/>
    </row>
    <row r="58" spans="2:21" ht="18" hidden="1" x14ac:dyDescent="0.25">
      <c r="C58" s="134"/>
      <c r="D58" s="71"/>
      <c r="E58" s="135"/>
      <c r="F58" s="136"/>
      <c r="G58" s="136"/>
      <c r="H58" s="137"/>
      <c r="I58" s="138">
        <v>9800</v>
      </c>
      <c r="J58" s="139" t="e">
        <f t="shared" ref="J58:J101" si="12">+J57+H58-I58</f>
        <v>#REF!</v>
      </c>
      <c r="K58" s="139"/>
      <c r="L58" s="49">
        <v>45833</v>
      </c>
      <c r="M58" s="50">
        <v>9800</v>
      </c>
      <c r="N58" s="50"/>
      <c r="O58" s="50"/>
      <c r="P58" s="140">
        <f t="shared" si="7"/>
        <v>9800</v>
      </c>
      <c r="Q58" s="45"/>
      <c r="R58" s="45"/>
      <c r="S58" s="45"/>
      <c r="T58" s="45"/>
      <c r="U58" s="45"/>
    </row>
    <row r="59" spans="2:21" ht="18" hidden="1" x14ac:dyDescent="0.25">
      <c r="B59" s="90">
        <v>7</v>
      </c>
      <c r="C59" s="91">
        <v>45841</v>
      </c>
      <c r="D59" s="71">
        <v>15109</v>
      </c>
      <c r="E59" s="92">
        <f>12528+4570</f>
        <v>17098</v>
      </c>
      <c r="F59" s="74">
        <f t="shared" ref="F59" si="13">+E59/1000</f>
        <v>17.097999999999999</v>
      </c>
      <c r="G59" s="74">
        <v>1700</v>
      </c>
      <c r="H59" s="74">
        <f>+F59*G59</f>
        <v>29066.6</v>
      </c>
      <c r="I59" s="138">
        <v>9800</v>
      </c>
      <c r="J59" s="139" t="e">
        <f t="shared" si="12"/>
        <v>#REF!</v>
      </c>
      <c r="K59" s="139"/>
      <c r="L59" s="49">
        <v>45849</v>
      </c>
      <c r="M59" s="50">
        <v>9800</v>
      </c>
      <c r="N59" s="50"/>
      <c r="O59" s="50"/>
      <c r="P59" s="140">
        <f>SUM(M59:O59)</f>
        <v>9800</v>
      </c>
      <c r="Q59" s="45"/>
      <c r="R59" s="45"/>
      <c r="S59" s="45"/>
      <c r="T59" s="45"/>
      <c r="U59" s="45"/>
    </row>
    <row r="60" spans="2:21" ht="18" hidden="1" x14ac:dyDescent="0.25">
      <c r="B60" s="90">
        <v>8</v>
      </c>
      <c r="C60" s="91">
        <v>45851</v>
      </c>
      <c r="D60" s="71" t="s">
        <v>101</v>
      </c>
      <c r="E60" s="92">
        <v>16978</v>
      </c>
      <c r="F60" s="74">
        <f t="shared" ref="F60" si="14">+E60/1000</f>
        <v>16.978000000000002</v>
      </c>
      <c r="G60" s="74">
        <v>1700</v>
      </c>
      <c r="H60" s="74">
        <f>+F60*G60</f>
        <v>28862.600000000002</v>
      </c>
      <c r="I60" s="138">
        <v>48900</v>
      </c>
      <c r="J60" s="139" t="e">
        <f t="shared" si="12"/>
        <v>#REF!</v>
      </c>
      <c r="K60" s="139"/>
      <c r="L60" s="49">
        <v>45850</v>
      </c>
      <c r="M60" s="50">
        <v>10000</v>
      </c>
      <c r="N60" s="50">
        <v>25000</v>
      </c>
      <c r="O60" s="50">
        <v>14000</v>
      </c>
      <c r="P60" s="140">
        <f t="shared" si="7"/>
        <v>49000</v>
      </c>
      <c r="Q60" s="45"/>
      <c r="R60" s="45"/>
      <c r="S60" s="45"/>
      <c r="T60" s="45"/>
      <c r="U60" s="45"/>
    </row>
    <row r="61" spans="2:21" ht="18" hidden="1" x14ac:dyDescent="0.25">
      <c r="C61" s="134"/>
      <c r="D61" s="71"/>
      <c r="E61" s="135"/>
      <c r="F61" s="136"/>
      <c r="G61" s="136"/>
      <c r="H61" s="137"/>
      <c r="I61" s="138">
        <f>12854+250</f>
        <v>13104</v>
      </c>
      <c r="J61" s="139" t="e">
        <f t="shared" si="12"/>
        <v>#REF!</v>
      </c>
      <c r="K61" s="139"/>
      <c r="L61" s="49">
        <v>45852</v>
      </c>
      <c r="M61" s="50">
        <v>12854</v>
      </c>
      <c r="N61" s="50">
        <v>250</v>
      </c>
      <c r="O61" s="50"/>
      <c r="P61" s="140">
        <f t="shared" si="7"/>
        <v>13104</v>
      </c>
      <c r="Q61" s="45"/>
      <c r="R61" s="45"/>
      <c r="S61" s="45"/>
      <c r="T61" s="45"/>
      <c r="U61" s="45"/>
    </row>
    <row r="62" spans="2:21" ht="18" hidden="1" x14ac:dyDescent="0.25">
      <c r="B62" s="90">
        <v>9</v>
      </c>
      <c r="C62" s="91">
        <v>45855</v>
      </c>
      <c r="D62" s="71" t="s">
        <v>101</v>
      </c>
      <c r="E62" s="92">
        <v>16697</v>
      </c>
      <c r="F62" s="74">
        <f t="shared" ref="F62" si="15">+E62/1000</f>
        <v>16.696999999999999</v>
      </c>
      <c r="G62" s="74">
        <v>1700</v>
      </c>
      <c r="H62" s="74">
        <f>+F62*G62</f>
        <v>28384.899999999998</v>
      </c>
      <c r="I62" s="138">
        <v>0</v>
      </c>
      <c r="J62" s="139" t="e">
        <f t="shared" si="12"/>
        <v>#REF!</v>
      </c>
      <c r="K62" s="139"/>
      <c r="L62" s="49">
        <v>45856</v>
      </c>
      <c r="M62" s="155">
        <v>3600</v>
      </c>
      <c r="N62" s="155">
        <v>91.53</v>
      </c>
      <c r="O62" s="50"/>
      <c r="P62" s="140">
        <v>0</v>
      </c>
      <c r="Q62" s="45"/>
      <c r="R62" s="45"/>
      <c r="S62" s="45"/>
      <c r="T62" s="45"/>
      <c r="U62" s="45"/>
    </row>
    <row r="63" spans="2:21" ht="18" hidden="1" x14ac:dyDescent="0.25">
      <c r="C63" s="134"/>
      <c r="D63" s="71"/>
      <c r="E63" s="135"/>
      <c r="F63" s="136"/>
      <c r="G63" s="136"/>
      <c r="H63" s="137"/>
      <c r="I63" s="138">
        <f>4445.6+82.13</f>
        <v>4527.7300000000005</v>
      </c>
      <c r="J63" s="139" t="e">
        <f t="shared" si="12"/>
        <v>#REF!</v>
      </c>
      <c r="K63" s="139"/>
      <c r="L63" s="49">
        <v>45861</v>
      </c>
      <c r="M63" s="50">
        <v>4445.6000000000004</v>
      </c>
      <c r="N63" s="50">
        <v>82.13</v>
      </c>
      <c r="O63" s="50"/>
      <c r="P63" s="140">
        <f t="shared" si="7"/>
        <v>4527.7300000000005</v>
      </c>
      <c r="Q63" s="45"/>
      <c r="R63" s="45"/>
      <c r="S63" s="45"/>
      <c r="T63" s="45"/>
      <c r="U63" s="45"/>
    </row>
    <row r="64" spans="2:21" ht="18" hidden="1" x14ac:dyDescent="0.25">
      <c r="C64" s="134"/>
      <c r="D64" s="71"/>
      <c r="E64" s="135"/>
      <c r="F64" s="136"/>
      <c r="G64" s="136"/>
      <c r="H64" s="137"/>
      <c r="I64" s="138">
        <v>7090.06</v>
      </c>
      <c r="J64" s="139" t="e">
        <f t="shared" si="12"/>
        <v>#REF!</v>
      </c>
      <c r="K64" s="139"/>
      <c r="L64" s="49">
        <v>45861</v>
      </c>
      <c r="M64" s="50">
        <v>7000</v>
      </c>
      <c r="N64" s="50">
        <v>90.06</v>
      </c>
      <c r="O64" s="50"/>
      <c r="P64" s="140">
        <f t="shared" si="7"/>
        <v>7090.06</v>
      </c>
      <c r="Q64" s="45"/>
      <c r="R64" s="45"/>
      <c r="S64" s="45"/>
      <c r="T64" s="45"/>
      <c r="U64" s="45"/>
    </row>
    <row r="65" spans="2:21" ht="18" hidden="1" x14ac:dyDescent="0.25">
      <c r="B65" s="90">
        <v>10</v>
      </c>
      <c r="C65" s="91">
        <v>45865</v>
      </c>
      <c r="D65" s="71" t="s">
        <v>101</v>
      </c>
      <c r="E65" s="92">
        <v>18040</v>
      </c>
      <c r="F65" s="74">
        <f t="shared" ref="F65" si="16">+E65/1000</f>
        <v>18.04</v>
      </c>
      <c r="G65" s="74">
        <v>1700</v>
      </c>
      <c r="H65" s="74">
        <f>+F65*G65</f>
        <v>30668</v>
      </c>
      <c r="I65" s="138">
        <v>978.32</v>
      </c>
      <c r="J65" s="139" t="e">
        <f t="shared" si="12"/>
        <v>#REF!</v>
      </c>
      <c r="K65" s="139"/>
      <c r="L65" s="49">
        <v>45869</v>
      </c>
      <c r="M65" s="50">
        <v>978.32</v>
      </c>
      <c r="N65" s="50"/>
      <c r="O65" s="50"/>
      <c r="P65" s="140">
        <f t="shared" si="7"/>
        <v>978.32</v>
      </c>
      <c r="Q65" s="45"/>
      <c r="R65" s="45"/>
      <c r="S65" s="45"/>
      <c r="T65" s="45"/>
      <c r="U65" s="45"/>
    </row>
    <row r="66" spans="2:21" ht="18" hidden="1" x14ac:dyDescent="0.25">
      <c r="C66" s="134"/>
      <c r="D66" s="71"/>
      <c r="E66" s="135"/>
      <c r="F66" s="136"/>
      <c r="G66" s="136"/>
      <c r="H66" s="137"/>
      <c r="I66" s="138">
        <v>59200</v>
      </c>
      <c r="J66" s="139" t="e">
        <f t="shared" si="12"/>
        <v>#REF!</v>
      </c>
      <c r="K66" s="139"/>
      <c r="L66" s="49">
        <v>45870</v>
      </c>
      <c r="M66" s="50">
        <v>20000</v>
      </c>
      <c r="N66" s="50">
        <v>17000</v>
      </c>
      <c r="O66" s="50">
        <v>22000</v>
      </c>
      <c r="P66" s="140">
        <f t="shared" si="7"/>
        <v>59000</v>
      </c>
      <c r="Q66" s="45"/>
      <c r="R66" s="45"/>
      <c r="S66" s="45"/>
      <c r="T66" s="45"/>
      <c r="U66" s="45"/>
    </row>
    <row r="67" spans="2:21" ht="18" hidden="1" x14ac:dyDescent="0.25">
      <c r="C67" s="134"/>
      <c r="D67" s="71"/>
      <c r="E67" s="135"/>
      <c r="F67" s="136"/>
      <c r="G67" s="136"/>
      <c r="H67" s="137"/>
      <c r="I67" s="138">
        <v>18750</v>
      </c>
      <c r="J67" s="139" t="e">
        <f t="shared" si="12"/>
        <v>#REF!</v>
      </c>
      <c r="K67" s="139"/>
      <c r="L67" s="49">
        <v>45874</v>
      </c>
      <c r="M67" s="50">
        <v>18750</v>
      </c>
      <c r="N67" s="50"/>
      <c r="O67" s="50"/>
      <c r="P67" s="140">
        <f t="shared" si="7"/>
        <v>18750</v>
      </c>
      <c r="Q67" s="45"/>
      <c r="R67" s="45"/>
      <c r="S67" s="45"/>
      <c r="T67" s="45"/>
      <c r="U67" s="45"/>
    </row>
    <row r="68" spans="2:21" ht="18" hidden="1" x14ac:dyDescent="0.25">
      <c r="B68" s="90">
        <v>11</v>
      </c>
      <c r="C68" s="91">
        <v>45877</v>
      </c>
      <c r="D68" s="71" t="s">
        <v>101</v>
      </c>
      <c r="E68" s="92">
        <f>2582+13986</f>
        <v>16568</v>
      </c>
      <c r="F68" s="74">
        <f t="shared" ref="F68" si="17">+E68/1000</f>
        <v>16.568000000000001</v>
      </c>
      <c r="G68" s="74">
        <v>1700</v>
      </c>
      <c r="H68" s="74">
        <f>+F68*G68</f>
        <v>28165.600000000002</v>
      </c>
      <c r="I68" s="138">
        <v>31500</v>
      </c>
      <c r="J68" s="139" t="e">
        <f t="shared" si="12"/>
        <v>#REF!</v>
      </c>
      <c r="K68" s="139"/>
      <c r="L68" s="49">
        <v>45876</v>
      </c>
      <c r="M68" s="50">
        <v>31500</v>
      </c>
      <c r="N68" s="50"/>
      <c r="O68" s="50"/>
      <c r="P68" s="140">
        <f t="shared" si="7"/>
        <v>31500</v>
      </c>
      <c r="Q68" s="45"/>
      <c r="R68" s="45"/>
      <c r="S68" s="45"/>
      <c r="T68" s="45"/>
      <c r="U68" s="45"/>
    </row>
    <row r="69" spans="2:21" ht="18" hidden="1" x14ac:dyDescent="0.25">
      <c r="C69" s="134"/>
      <c r="D69" s="71"/>
      <c r="E69" s="135"/>
      <c r="F69" s="136"/>
      <c r="G69" s="136"/>
      <c r="H69" s="137"/>
      <c r="I69" s="138">
        <v>31500</v>
      </c>
      <c r="J69" s="139" t="e">
        <f t="shared" si="12"/>
        <v>#REF!</v>
      </c>
      <c r="K69" s="139"/>
      <c r="L69" s="49">
        <v>45877</v>
      </c>
      <c r="M69" s="50">
        <v>31500</v>
      </c>
      <c r="N69" s="50"/>
      <c r="O69" s="50"/>
      <c r="P69" s="140">
        <f t="shared" si="7"/>
        <v>31500</v>
      </c>
      <c r="Q69" s="45"/>
      <c r="R69" s="45"/>
      <c r="S69" s="45"/>
      <c r="T69" s="45"/>
      <c r="U69" s="45"/>
    </row>
    <row r="70" spans="2:21" ht="18" hidden="1" x14ac:dyDescent="0.25">
      <c r="C70" s="134"/>
      <c r="D70" s="71"/>
      <c r="E70" s="135"/>
      <c r="F70" s="136"/>
      <c r="G70" s="136"/>
      <c r="H70" s="137"/>
      <c r="I70" s="138">
        <v>42500</v>
      </c>
      <c r="J70" s="139" t="e">
        <f t="shared" si="12"/>
        <v>#REF!</v>
      </c>
      <c r="K70" s="139"/>
      <c r="L70" s="49">
        <v>45882</v>
      </c>
      <c r="M70" s="50">
        <v>42500</v>
      </c>
      <c r="N70" s="50"/>
      <c r="O70" s="50"/>
      <c r="P70" s="140">
        <f t="shared" si="7"/>
        <v>42500</v>
      </c>
      <c r="Q70" s="45"/>
      <c r="R70" s="45"/>
      <c r="S70" s="45"/>
      <c r="T70" s="45"/>
      <c r="U70" s="45"/>
    </row>
    <row r="71" spans="2:21" ht="18" hidden="1" x14ac:dyDescent="0.25">
      <c r="C71" s="134"/>
      <c r="D71" s="71"/>
      <c r="E71" s="135"/>
      <c r="F71" s="136"/>
      <c r="G71" s="136"/>
      <c r="H71" s="137"/>
      <c r="I71" s="138">
        <v>35000</v>
      </c>
      <c r="J71" s="139" t="e">
        <f t="shared" si="12"/>
        <v>#REF!</v>
      </c>
      <c r="K71" s="139"/>
      <c r="L71" s="49">
        <v>45881</v>
      </c>
      <c r="M71" s="50">
        <v>15000</v>
      </c>
      <c r="N71" s="50">
        <v>20000</v>
      </c>
      <c r="O71" s="50"/>
      <c r="P71" s="140">
        <f t="shared" si="7"/>
        <v>35000</v>
      </c>
      <c r="Q71" s="45"/>
      <c r="R71" s="45"/>
      <c r="S71" s="45"/>
      <c r="T71" s="45"/>
      <c r="U71" s="45"/>
    </row>
    <row r="72" spans="2:21" ht="18" hidden="1" x14ac:dyDescent="0.25">
      <c r="B72" s="90">
        <v>12</v>
      </c>
      <c r="C72" s="91">
        <v>45884</v>
      </c>
      <c r="D72" s="71">
        <v>15209</v>
      </c>
      <c r="E72" s="92">
        <f>14496+3100</f>
        <v>17596</v>
      </c>
      <c r="F72" s="74">
        <f t="shared" ref="F72" si="18">+E72/1000</f>
        <v>17.596</v>
      </c>
      <c r="G72" s="74">
        <v>1700</v>
      </c>
      <c r="H72" s="74">
        <f>+F72*G72</f>
        <v>29913.200000000001</v>
      </c>
      <c r="I72" s="138"/>
      <c r="J72" s="139" t="e">
        <f t="shared" si="12"/>
        <v>#REF!</v>
      </c>
      <c r="K72" s="139"/>
      <c r="L72" s="49"/>
      <c r="M72" s="50"/>
      <c r="N72" s="50"/>
      <c r="O72" s="50"/>
      <c r="P72" s="140">
        <f t="shared" si="7"/>
        <v>0</v>
      </c>
      <c r="Q72" s="45"/>
      <c r="R72" s="45"/>
      <c r="S72" s="45"/>
      <c r="T72" s="45"/>
      <c r="U72" s="45"/>
    </row>
    <row r="73" spans="2:21" ht="18" hidden="1" x14ac:dyDescent="0.25">
      <c r="B73" s="90">
        <v>13</v>
      </c>
      <c r="C73" s="91">
        <v>45885</v>
      </c>
      <c r="D73" s="71">
        <v>15215</v>
      </c>
      <c r="E73" s="92">
        <f>3181+14326</f>
        <v>17507</v>
      </c>
      <c r="F73" s="74">
        <f t="shared" ref="F73" si="19">+E73/1000</f>
        <v>17.507000000000001</v>
      </c>
      <c r="G73" s="74">
        <v>1700</v>
      </c>
      <c r="H73" s="74">
        <f>+F73*G73</f>
        <v>29761.9</v>
      </c>
      <c r="I73" s="138"/>
      <c r="J73" s="139" t="e">
        <f t="shared" si="12"/>
        <v>#REF!</v>
      </c>
      <c r="K73" s="139"/>
      <c r="L73" s="49"/>
      <c r="M73" s="50"/>
      <c r="N73" s="50"/>
      <c r="O73" s="50"/>
      <c r="P73" s="140">
        <f t="shared" si="7"/>
        <v>0</v>
      </c>
      <c r="Q73" s="45"/>
      <c r="R73" s="45"/>
      <c r="S73" s="45"/>
      <c r="T73" s="45"/>
      <c r="U73" s="45"/>
    </row>
    <row r="74" spans="2:21" ht="18" hidden="1" x14ac:dyDescent="0.25">
      <c r="B74" s="90">
        <v>14</v>
      </c>
      <c r="C74" s="91">
        <v>45885</v>
      </c>
      <c r="D74" s="71">
        <v>15216</v>
      </c>
      <c r="E74" s="92">
        <f>3304+14454</f>
        <v>17758</v>
      </c>
      <c r="F74" s="74">
        <f>+E74/1000</f>
        <v>17.757999999999999</v>
      </c>
      <c r="G74" s="74">
        <v>1700</v>
      </c>
      <c r="H74" s="74">
        <f t="shared" ref="H74:H75" si="20">+F74*G74</f>
        <v>30188.6</v>
      </c>
      <c r="I74" s="138"/>
      <c r="J74" s="139" t="e">
        <f t="shared" si="12"/>
        <v>#REF!</v>
      </c>
      <c r="K74" s="139"/>
      <c r="L74" s="49"/>
      <c r="M74" s="50"/>
      <c r="N74" s="50"/>
      <c r="O74" s="50"/>
      <c r="P74" s="140">
        <f t="shared" si="7"/>
        <v>0</v>
      </c>
      <c r="Q74" s="45"/>
      <c r="R74" s="45"/>
      <c r="S74" s="45"/>
      <c r="T74" s="45"/>
      <c r="U74" s="45"/>
    </row>
    <row r="75" spans="2:21" ht="18" hidden="1" x14ac:dyDescent="0.25">
      <c r="B75" s="90">
        <v>15</v>
      </c>
      <c r="C75" s="91">
        <v>45885</v>
      </c>
      <c r="D75" s="71">
        <v>15220</v>
      </c>
      <c r="E75" s="92">
        <f>14204+3198</f>
        <v>17402</v>
      </c>
      <c r="F75" s="74">
        <f t="shared" ref="F75" si="21">+E75/1000</f>
        <v>17.402000000000001</v>
      </c>
      <c r="G75" s="74">
        <v>1700</v>
      </c>
      <c r="H75" s="74">
        <f t="shared" si="20"/>
        <v>29583.4</v>
      </c>
      <c r="I75" s="138"/>
      <c r="J75" s="139" t="e">
        <f t="shared" si="12"/>
        <v>#REF!</v>
      </c>
      <c r="K75" s="139"/>
      <c r="L75" s="49"/>
      <c r="M75" s="50"/>
      <c r="N75" s="50"/>
      <c r="O75" s="50"/>
      <c r="P75" s="140">
        <f t="shared" si="7"/>
        <v>0</v>
      </c>
      <c r="Q75" s="45"/>
      <c r="R75" s="45"/>
      <c r="S75" s="45"/>
      <c r="T75" s="45"/>
      <c r="U75" s="45"/>
    </row>
    <row r="76" spans="2:21" ht="18" hidden="1" x14ac:dyDescent="0.25">
      <c r="B76" s="90">
        <v>16</v>
      </c>
      <c r="C76" s="91">
        <v>45901</v>
      </c>
      <c r="D76" s="71">
        <v>15250</v>
      </c>
      <c r="E76" s="92">
        <v>18724</v>
      </c>
      <c r="F76" s="74">
        <f t="shared" ref="F76" si="22">+E76/1000</f>
        <v>18.724</v>
      </c>
      <c r="G76" s="74">
        <v>1700</v>
      </c>
      <c r="H76" s="74">
        <f>+F76*G76</f>
        <v>31830.799999999999</v>
      </c>
      <c r="I76" s="138"/>
      <c r="J76" s="139" t="e">
        <f t="shared" si="12"/>
        <v>#REF!</v>
      </c>
      <c r="K76" s="139"/>
      <c r="L76" s="49"/>
      <c r="M76" s="50"/>
      <c r="N76" s="50"/>
      <c r="O76" s="50"/>
      <c r="P76" s="140">
        <f t="shared" si="7"/>
        <v>0</v>
      </c>
      <c r="Q76" s="45"/>
      <c r="R76" s="45"/>
      <c r="S76" s="45"/>
      <c r="T76" s="45"/>
      <c r="U76" s="45"/>
    </row>
    <row r="77" spans="2:21" ht="18" hidden="1" x14ac:dyDescent="0.25">
      <c r="B77" s="90"/>
      <c r="C77" s="91"/>
      <c r="D77" s="71"/>
      <c r="E77" s="92"/>
      <c r="F77" s="74"/>
      <c r="G77" s="74"/>
      <c r="H77" s="74"/>
      <c r="I77" s="138">
        <f>20240+80</f>
        <v>20320</v>
      </c>
      <c r="J77" s="139" t="e">
        <f t="shared" si="12"/>
        <v>#REF!</v>
      </c>
      <c r="K77" s="139"/>
      <c r="L77" s="49">
        <v>45910</v>
      </c>
      <c r="M77" s="50">
        <v>20240</v>
      </c>
      <c r="N77" s="50">
        <v>80</v>
      </c>
      <c r="O77" s="50"/>
      <c r="P77" s="140">
        <f t="shared" si="7"/>
        <v>20320</v>
      </c>
      <c r="Q77" s="45"/>
      <c r="R77" s="45"/>
      <c r="S77" s="45"/>
      <c r="T77" s="45"/>
      <c r="U77" s="45"/>
    </row>
    <row r="78" spans="2:21" ht="18" hidden="1" x14ac:dyDescent="0.25">
      <c r="B78" s="90">
        <v>17</v>
      </c>
      <c r="C78" s="91">
        <v>45917</v>
      </c>
      <c r="D78" s="71" t="s">
        <v>101</v>
      </c>
      <c r="E78" s="92">
        <f>8041+9710</f>
        <v>17751</v>
      </c>
      <c r="F78" s="74">
        <f t="shared" ref="F78" si="23">+E78/1000</f>
        <v>17.751000000000001</v>
      </c>
      <c r="G78" s="74">
        <v>1700</v>
      </c>
      <c r="H78" s="74">
        <f>+F78*G78</f>
        <v>30176.7</v>
      </c>
      <c r="I78" s="138">
        <v>50000</v>
      </c>
      <c r="J78" s="139" t="e">
        <f t="shared" si="12"/>
        <v>#REF!</v>
      </c>
      <c r="K78" s="139"/>
      <c r="L78" s="49">
        <v>45918</v>
      </c>
      <c r="M78" s="50">
        <v>10000</v>
      </c>
      <c r="N78" s="50">
        <v>40000</v>
      </c>
      <c r="O78" s="50"/>
      <c r="P78" s="140">
        <f t="shared" si="7"/>
        <v>50000</v>
      </c>
      <c r="Q78" s="45"/>
      <c r="R78" s="45"/>
      <c r="S78" s="45"/>
      <c r="T78" s="45"/>
      <c r="U78" s="45"/>
    </row>
    <row r="79" spans="2:21" ht="18" hidden="1" x14ac:dyDescent="0.25">
      <c r="B79" s="90">
        <v>18</v>
      </c>
      <c r="C79" s="91">
        <v>45920</v>
      </c>
      <c r="D79" s="71" t="s">
        <v>101</v>
      </c>
      <c r="E79" s="92">
        <f>4916+12682</f>
        <v>17598</v>
      </c>
      <c r="F79" s="74">
        <f t="shared" ref="F79:F80" si="24">+E79/1000</f>
        <v>17.597999999999999</v>
      </c>
      <c r="G79" s="74">
        <v>1700</v>
      </c>
      <c r="H79" s="74">
        <f>+F79*G79</f>
        <v>29916.6</v>
      </c>
      <c r="I79" s="138"/>
      <c r="J79" s="139" t="e">
        <f t="shared" si="12"/>
        <v>#REF!</v>
      </c>
      <c r="K79" s="139"/>
      <c r="L79" s="49"/>
      <c r="M79" s="50">
        <v>15800</v>
      </c>
      <c r="N79" s="50"/>
      <c r="O79" s="50"/>
      <c r="P79" s="140">
        <f t="shared" si="7"/>
        <v>15800</v>
      </c>
      <c r="Q79" s="45"/>
      <c r="R79" s="45"/>
      <c r="S79" s="45"/>
      <c r="T79" s="45"/>
      <c r="U79" s="45"/>
    </row>
    <row r="80" spans="2:21" ht="18" hidden="1" x14ac:dyDescent="0.25">
      <c r="B80" s="90">
        <v>19</v>
      </c>
      <c r="C80" s="91">
        <v>45948</v>
      </c>
      <c r="D80" s="71" t="s">
        <v>101</v>
      </c>
      <c r="E80" s="92">
        <v>18439</v>
      </c>
      <c r="F80" s="74">
        <f t="shared" si="24"/>
        <v>18.439</v>
      </c>
      <c r="G80" s="74">
        <v>1700</v>
      </c>
      <c r="H80" s="74">
        <f t="shared" ref="H80:H81" si="25">+F80*G80</f>
        <v>31346.3</v>
      </c>
      <c r="I80" s="138">
        <v>60600</v>
      </c>
      <c r="J80" s="139" t="e">
        <f t="shared" si="12"/>
        <v>#REF!</v>
      </c>
      <c r="K80" s="139"/>
      <c r="L80" s="49">
        <v>46311</v>
      </c>
      <c r="M80" s="50">
        <v>10000</v>
      </c>
      <c r="N80" s="50">
        <v>20000</v>
      </c>
      <c r="O80" s="50">
        <v>15000</v>
      </c>
      <c r="P80" s="140">
        <f t="shared" si="7"/>
        <v>45000</v>
      </c>
      <c r="Q80" s="45"/>
      <c r="R80" s="45"/>
      <c r="S80" s="45"/>
      <c r="T80" s="45"/>
      <c r="U80" s="45"/>
    </row>
    <row r="81" spans="2:21" ht="18" hidden="1" x14ac:dyDescent="0.25">
      <c r="B81" s="90">
        <v>20</v>
      </c>
      <c r="C81" s="91">
        <v>45958</v>
      </c>
      <c r="D81" s="71" t="s">
        <v>101</v>
      </c>
      <c r="E81" s="92">
        <f>13118+4795</f>
        <v>17913</v>
      </c>
      <c r="F81" s="74">
        <f t="shared" ref="F81" si="26">+E81/1000</f>
        <v>17.913</v>
      </c>
      <c r="G81" s="74">
        <v>1700</v>
      </c>
      <c r="H81" s="74">
        <f t="shared" si="25"/>
        <v>30452.100000000002</v>
      </c>
      <c r="I81" s="138">
        <v>20000</v>
      </c>
      <c r="J81" s="139" t="e">
        <f t="shared" si="12"/>
        <v>#REF!</v>
      </c>
      <c r="K81" s="139"/>
      <c r="L81" s="49">
        <v>45957</v>
      </c>
      <c r="M81" s="50">
        <v>12000</v>
      </c>
      <c r="N81" s="50">
        <v>6000</v>
      </c>
      <c r="O81" s="50">
        <v>2000</v>
      </c>
      <c r="P81" s="140">
        <f t="shared" si="7"/>
        <v>20000</v>
      </c>
      <c r="Q81" s="45"/>
      <c r="R81" s="45"/>
      <c r="S81" s="45"/>
      <c r="T81" s="45"/>
      <c r="U81" s="45"/>
    </row>
    <row r="82" spans="2:21" ht="18" hidden="1" x14ac:dyDescent="0.25">
      <c r="B82" s="90"/>
      <c r="C82" s="91"/>
      <c r="D82" s="71"/>
      <c r="E82" s="92"/>
      <c r="F82" s="74"/>
      <c r="G82" s="74"/>
      <c r="H82" s="74"/>
      <c r="I82" s="138">
        <v>16000</v>
      </c>
      <c r="J82" s="139" t="e">
        <f t="shared" si="12"/>
        <v>#REF!</v>
      </c>
      <c r="K82" s="139"/>
      <c r="L82" s="49">
        <v>45975</v>
      </c>
      <c r="M82" s="50">
        <v>16000</v>
      </c>
      <c r="N82" s="50"/>
      <c r="O82" s="50"/>
      <c r="P82" s="140">
        <f t="shared" si="7"/>
        <v>16000</v>
      </c>
      <c r="Q82" s="45"/>
      <c r="R82" s="45"/>
      <c r="S82" s="45"/>
      <c r="T82" s="45"/>
      <c r="U82" s="45"/>
    </row>
    <row r="83" spans="2:21" ht="18" hidden="1" x14ac:dyDescent="0.25">
      <c r="B83" s="90"/>
      <c r="C83" s="91"/>
      <c r="D83" s="71"/>
      <c r="E83" s="92"/>
      <c r="F83" s="74"/>
      <c r="G83" s="74"/>
      <c r="H83" s="74"/>
      <c r="I83" s="138">
        <v>25000</v>
      </c>
      <c r="J83" s="139" t="e">
        <f t="shared" si="12"/>
        <v>#REF!</v>
      </c>
      <c r="K83" s="139"/>
      <c r="L83" s="49">
        <v>45975</v>
      </c>
      <c r="M83" s="50">
        <v>25000</v>
      </c>
      <c r="N83" s="50"/>
      <c r="O83" s="50"/>
      <c r="P83" s="140">
        <f t="shared" si="7"/>
        <v>25000</v>
      </c>
      <c r="Q83" s="45"/>
      <c r="R83" s="45"/>
      <c r="S83" s="45"/>
      <c r="T83" s="45"/>
      <c r="U83" s="45"/>
    </row>
    <row r="84" spans="2:21" ht="18" hidden="1" x14ac:dyDescent="0.25">
      <c r="B84" s="90"/>
      <c r="C84" s="91"/>
      <c r="D84" s="71"/>
      <c r="E84" s="92"/>
      <c r="F84" s="74"/>
      <c r="G84" s="74"/>
      <c r="H84" s="74"/>
      <c r="I84" s="138">
        <v>65300</v>
      </c>
      <c r="J84" s="139" t="e">
        <f t="shared" si="12"/>
        <v>#REF!</v>
      </c>
      <c r="K84" s="139"/>
      <c r="L84" s="49">
        <v>45976</v>
      </c>
      <c r="M84" s="50">
        <v>20000</v>
      </c>
      <c r="N84" s="50">
        <v>20000</v>
      </c>
      <c r="O84" s="50">
        <v>25300</v>
      </c>
      <c r="P84" s="140">
        <f t="shared" si="7"/>
        <v>65300</v>
      </c>
      <c r="Q84" s="45"/>
      <c r="R84" s="45"/>
      <c r="S84" s="45"/>
      <c r="T84" s="45"/>
      <c r="U84" s="45"/>
    </row>
    <row r="85" spans="2:21" ht="18" hidden="1" x14ac:dyDescent="0.25">
      <c r="B85" s="90">
        <v>21</v>
      </c>
      <c r="C85" s="91">
        <v>45978</v>
      </c>
      <c r="D85" s="71" t="s">
        <v>101</v>
      </c>
      <c r="E85" s="92">
        <f>13134+4746</f>
        <v>17880</v>
      </c>
      <c r="F85" s="74">
        <f t="shared" ref="F85" si="27">+E85/1000</f>
        <v>17.88</v>
      </c>
      <c r="G85" s="74">
        <v>1600</v>
      </c>
      <c r="H85" s="74">
        <f t="shared" ref="H85:H90" si="28">+F85*G85</f>
        <v>28608</v>
      </c>
      <c r="I85" s="138">
        <v>85</v>
      </c>
      <c r="J85" s="139" t="e">
        <f t="shared" si="12"/>
        <v>#REF!</v>
      </c>
      <c r="K85" s="139"/>
      <c r="L85" s="49">
        <v>45976</v>
      </c>
      <c r="M85" s="50">
        <v>85</v>
      </c>
      <c r="N85" s="50"/>
      <c r="O85" s="50"/>
      <c r="P85" s="140">
        <f t="shared" si="7"/>
        <v>85</v>
      </c>
      <c r="Q85" s="45"/>
      <c r="R85" s="45"/>
      <c r="S85" s="45"/>
      <c r="T85" s="45"/>
      <c r="U85" s="45"/>
    </row>
    <row r="86" spans="2:21" ht="18" hidden="1" x14ac:dyDescent="0.25">
      <c r="B86" s="90">
        <v>22</v>
      </c>
      <c r="C86" s="91">
        <v>45982</v>
      </c>
      <c r="D86" s="71" t="s">
        <v>101</v>
      </c>
      <c r="E86" s="92">
        <f>12252+5019</f>
        <v>17271</v>
      </c>
      <c r="F86" s="74">
        <f t="shared" ref="F86" si="29">+E86/1000</f>
        <v>17.271000000000001</v>
      </c>
      <c r="G86" s="74">
        <v>1600</v>
      </c>
      <c r="H86" s="74">
        <f t="shared" si="28"/>
        <v>27633.600000000002</v>
      </c>
      <c r="I86" s="138"/>
      <c r="J86" s="139" t="e">
        <f t="shared" si="12"/>
        <v>#REF!</v>
      </c>
      <c r="K86" s="139"/>
      <c r="L86" s="49"/>
      <c r="M86" s="50"/>
      <c r="N86" s="50"/>
      <c r="O86" s="50"/>
      <c r="P86" s="140">
        <f t="shared" si="7"/>
        <v>0</v>
      </c>
      <c r="Q86" s="45"/>
      <c r="R86" s="45"/>
      <c r="S86" s="45"/>
      <c r="T86" s="45"/>
      <c r="U86" s="45"/>
    </row>
    <row r="87" spans="2:21" ht="18" hidden="1" x14ac:dyDescent="0.25">
      <c r="B87" s="90">
        <v>23</v>
      </c>
      <c r="C87" s="91">
        <v>45983</v>
      </c>
      <c r="D87" s="71" t="s">
        <v>101</v>
      </c>
      <c r="E87" s="92">
        <v>18078</v>
      </c>
      <c r="F87" s="74">
        <f t="shared" ref="F87" si="30">+E87/1000</f>
        <v>18.077999999999999</v>
      </c>
      <c r="G87" s="74">
        <v>1600</v>
      </c>
      <c r="H87" s="74">
        <f t="shared" si="28"/>
        <v>28924.799999999999</v>
      </c>
      <c r="I87" s="138"/>
      <c r="J87" s="139" t="e">
        <f t="shared" si="12"/>
        <v>#REF!</v>
      </c>
      <c r="K87" s="139"/>
      <c r="L87" s="49"/>
      <c r="M87" s="50"/>
      <c r="N87" s="50"/>
      <c r="O87" s="50"/>
      <c r="P87" s="140">
        <f t="shared" si="7"/>
        <v>0</v>
      </c>
      <c r="Q87" s="45"/>
      <c r="R87" s="45"/>
      <c r="S87" s="45"/>
      <c r="T87" s="45"/>
      <c r="U87" s="45"/>
    </row>
    <row r="88" spans="2:21" ht="18" hidden="1" x14ac:dyDescent="0.25">
      <c r="B88" s="90">
        <v>24</v>
      </c>
      <c r="C88" s="91">
        <v>45983</v>
      </c>
      <c r="D88" s="71" t="s">
        <v>101</v>
      </c>
      <c r="E88" s="92">
        <f>13292+4522</f>
        <v>17814</v>
      </c>
      <c r="F88" s="74">
        <f t="shared" ref="F88" si="31">+E88/1000</f>
        <v>17.814</v>
      </c>
      <c r="G88" s="74">
        <v>1600</v>
      </c>
      <c r="H88" s="74">
        <f t="shared" si="28"/>
        <v>28502.400000000001</v>
      </c>
      <c r="I88" s="138">
        <v>9500</v>
      </c>
      <c r="J88" s="139" t="e">
        <f t="shared" si="12"/>
        <v>#REF!</v>
      </c>
      <c r="K88" s="139"/>
      <c r="L88" s="49">
        <v>45985</v>
      </c>
      <c r="M88" s="50">
        <v>9500</v>
      </c>
      <c r="N88" s="50"/>
      <c r="O88" s="50"/>
      <c r="P88" s="140">
        <f t="shared" si="7"/>
        <v>9500</v>
      </c>
      <c r="Q88" s="45"/>
      <c r="R88" s="45"/>
      <c r="S88" s="45"/>
      <c r="T88" s="45"/>
      <c r="U88" s="45"/>
    </row>
    <row r="89" spans="2:21" ht="18" hidden="1" x14ac:dyDescent="0.25">
      <c r="B89" s="90">
        <v>25</v>
      </c>
      <c r="C89" s="91">
        <v>45993</v>
      </c>
      <c r="D89" s="71" t="s">
        <v>101</v>
      </c>
      <c r="E89" s="92">
        <f>17422</f>
        <v>17422</v>
      </c>
      <c r="F89" s="74">
        <f t="shared" ref="F89" si="32">+E89/1000</f>
        <v>17.422000000000001</v>
      </c>
      <c r="G89" s="74">
        <v>1600</v>
      </c>
      <c r="H89" s="74">
        <f t="shared" si="28"/>
        <v>27875.200000000001</v>
      </c>
      <c r="I89" s="138">
        <v>8763</v>
      </c>
      <c r="J89" s="139" t="e">
        <f t="shared" si="12"/>
        <v>#REF!</v>
      </c>
      <c r="K89" s="139"/>
      <c r="L89" s="49">
        <v>45987</v>
      </c>
      <c r="M89" s="50">
        <v>8763</v>
      </c>
      <c r="N89" s="50"/>
      <c r="O89" s="50"/>
      <c r="P89" s="140">
        <f t="shared" si="7"/>
        <v>8763</v>
      </c>
      <c r="Q89" s="45"/>
      <c r="R89" s="45"/>
      <c r="S89" s="45"/>
      <c r="T89" s="45"/>
      <c r="U89" s="45"/>
    </row>
    <row r="90" spans="2:21" ht="18" hidden="1" x14ac:dyDescent="0.25">
      <c r="B90" s="90">
        <v>26</v>
      </c>
      <c r="C90" s="91">
        <v>46012</v>
      </c>
      <c r="D90" s="71" t="s">
        <v>101</v>
      </c>
      <c r="E90" s="92">
        <v>17952</v>
      </c>
      <c r="F90" s="74">
        <f t="shared" ref="F90" si="33">+E90/1000</f>
        <v>17.952000000000002</v>
      </c>
      <c r="G90" s="74">
        <v>1600</v>
      </c>
      <c r="H90" s="74">
        <f t="shared" si="28"/>
        <v>28723.200000000004</v>
      </c>
      <c r="I90" s="138">
        <v>74000</v>
      </c>
      <c r="J90" s="139" t="e">
        <f t="shared" si="12"/>
        <v>#REF!</v>
      </c>
      <c r="K90" s="139"/>
      <c r="L90" s="49">
        <v>46018</v>
      </c>
      <c r="M90" s="50">
        <v>30000</v>
      </c>
      <c r="N90" s="50">
        <v>44000</v>
      </c>
      <c r="O90" s="50"/>
      <c r="P90" s="140">
        <f t="shared" si="7"/>
        <v>74000</v>
      </c>
      <c r="Q90" s="45"/>
      <c r="R90" s="45"/>
      <c r="S90" s="45"/>
      <c r="T90" s="45"/>
      <c r="U90" s="45"/>
    </row>
    <row r="91" spans="2:21" ht="18" hidden="1" x14ac:dyDescent="0.25">
      <c r="B91" s="90">
        <v>27</v>
      </c>
      <c r="C91" s="91">
        <v>46031</v>
      </c>
      <c r="D91" s="71" t="s">
        <v>101</v>
      </c>
      <c r="E91" s="92">
        <v>17574</v>
      </c>
      <c r="F91" s="74">
        <f t="shared" ref="F91:F95" si="34">+E91/1000</f>
        <v>17.574000000000002</v>
      </c>
      <c r="G91" s="74">
        <v>1600</v>
      </c>
      <c r="H91" s="74">
        <f t="shared" ref="H91:H92" si="35">+F91*G91</f>
        <v>28118.400000000001</v>
      </c>
      <c r="I91" s="138">
        <v>12000</v>
      </c>
      <c r="J91" s="139" t="e">
        <f t="shared" si="12"/>
        <v>#REF!</v>
      </c>
      <c r="K91" s="139"/>
      <c r="L91" s="49">
        <v>46046</v>
      </c>
      <c r="M91" s="50">
        <v>12000</v>
      </c>
      <c r="N91" s="50"/>
      <c r="O91" s="50"/>
      <c r="P91" s="140">
        <f t="shared" si="7"/>
        <v>12000</v>
      </c>
      <c r="Q91" s="45"/>
      <c r="R91" s="45"/>
      <c r="S91" s="45"/>
      <c r="T91" s="45"/>
      <c r="U91" s="45"/>
    </row>
    <row r="92" spans="2:21" ht="18" hidden="1" x14ac:dyDescent="0.25">
      <c r="B92" s="90">
        <v>28</v>
      </c>
      <c r="C92" s="91">
        <v>46048</v>
      </c>
      <c r="D92" s="71" t="s">
        <v>101</v>
      </c>
      <c r="E92" s="92">
        <v>16481</v>
      </c>
      <c r="F92" s="74">
        <f t="shared" si="34"/>
        <v>16.481000000000002</v>
      </c>
      <c r="G92" s="74">
        <v>1600</v>
      </c>
      <c r="H92" s="74">
        <f t="shared" si="35"/>
        <v>26369.600000000002</v>
      </c>
      <c r="I92" s="138"/>
      <c r="J92" s="139" t="e">
        <f t="shared" si="12"/>
        <v>#REF!</v>
      </c>
      <c r="K92" s="139"/>
      <c r="L92" s="49"/>
      <c r="M92" s="50"/>
      <c r="N92" s="50"/>
      <c r="O92" s="50"/>
      <c r="P92" s="140"/>
      <c r="Q92" s="45"/>
      <c r="R92" s="45"/>
      <c r="S92" s="45"/>
      <c r="T92" s="45"/>
      <c r="U92" s="45"/>
    </row>
    <row r="93" spans="2:21" ht="18" hidden="1" x14ac:dyDescent="0.25">
      <c r="B93" s="90">
        <v>29</v>
      </c>
      <c r="C93" s="91">
        <v>46055</v>
      </c>
      <c r="D93" s="71" t="s">
        <v>101</v>
      </c>
      <c r="E93" s="92">
        <v>17374</v>
      </c>
      <c r="F93" s="74">
        <f t="shared" si="34"/>
        <v>17.373999999999999</v>
      </c>
      <c r="G93" s="74">
        <v>1600</v>
      </c>
      <c r="H93" s="74">
        <f>+F93*G93</f>
        <v>27798.399999999998</v>
      </c>
      <c r="I93" s="138">
        <v>50000</v>
      </c>
      <c r="J93" s="139" t="e">
        <f t="shared" si="12"/>
        <v>#REF!</v>
      </c>
      <c r="K93" s="139"/>
      <c r="L93" s="49">
        <v>46051</v>
      </c>
      <c r="M93" s="50">
        <v>50000</v>
      </c>
      <c r="N93" s="50"/>
      <c r="O93" s="50"/>
      <c r="P93" s="140">
        <f t="shared" si="7"/>
        <v>50000</v>
      </c>
      <c r="Q93" s="45"/>
      <c r="R93" s="45"/>
      <c r="S93" s="45"/>
      <c r="T93" s="45"/>
      <c r="U93" s="45"/>
    </row>
    <row r="94" spans="2:21" ht="18" hidden="1" x14ac:dyDescent="0.25">
      <c r="B94" s="90">
        <v>30</v>
      </c>
      <c r="C94" s="91">
        <v>46055</v>
      </c>
      <c r="D94" s="71" t="s">
        <v>101</v>
      </c>
      <c r="E94" s="92">
        <v>17342</v>
      </c>
      <c r="F94" s="74">
        <f t="shared" si="34"/>
        <v>17.341999999999999</v>
      </c>
      <c r="G94" s="74">
        <v>1600</v>
      </c>
      <c r="H94" s="74">
        <f>+F94*G94</f>
        <v>27747.199999999997</v>
      </c>
      <c r="I94" s="138">
        <v>40000</v>
      </c>
      <c r="J94" s="139" t="e">
        <f t="shared" si="12"/>
        <v>#REF!</v>
      </c>
      <c r="K94" s="139"/>
      <c r="L94" s="49">
        <v>46052</v>
      </c>
      <c r="M94" s="50">
        <v>40000</v>
      </c>
      <c r="N94" s="50"/>
      <c r="O94" s="50"/>
      <c r="P94" s="140">
        <f t="shared" si="7"/>
        <v>40000</v>
      </c>
      <c r="Q94" s="45"/>
      <c r="R94" s="45"/>
      <c r="S94" s="45"/>
      <c r="T94" s="45"/>
      <c r="U94" s="45"/>
    </row>
    <row r="95" spans="2:21" ht="18" hidden="1" x14ac:dyDescent="0.25">
      <c r="B95" s="90">
        <v>31</v>
      </c>
      <c r="C95" s="91">
        <v>46055</v>
      </c>
      <c r="D95" s="71" t="s">
        <v>101</v>
      </c>
      <c r="E95" s="92">
        <v>18727</v>
      </c>
      <c r="F95" s="74">
        <f t="shared" si="34"/>
        <v>18.727</v>
      </c>
      <c r="G95" s="74">
        <v>1600</v>
      </c>
      <c r="H95" s="74">
        <f>+F95*G95</f>
        <v>29963.200000000001</v>
      </c>
      <c r="I95" s="138"/>
      <c r="J95" s="139" t="e">
        <f t="shared" si="12"/>
        <v>#REF!</v>
      </c>
      <c r="K95" s="139"/>
      <c r="L95" s="49"/>
      <c r="M95" s="50"/>
      <c r="N95" s="50"/>
      <c r="O95" s="50"/>
      <c r="P95" s="140">
        <f t="shared" si="7"/>
        <v>0</v>
      </c>
      <c r="Q95" s="45"/>
      <c r="R95" s="45"/>
      <c r="S95" s="45"/>
      <c r="T95" s="45"/>
      <c r="U95" s="45"/>
    </row>
    <row r="96" spans="2:21" hidden="1" x14ac:dyDescent="0.25">
      <c r="C96" s="91"/>
      <c r="D96" s="71"/>
      <c r="E96" s="92"/>
      <c r="F96" s="74"/>
      <c r="G96" s="74"/>
      <c r="H96" s="74"/>
      <c r="I96" s="138"/>
      <c r="J96" s="139" t="e">
        <f t="shared" si="12"/>
        <v>#REF!</v>
      </c>
      <c r="K96" s="139"/>
      <c r="L96" s="49"/>
      <c r="M96" s="50"/>
      <c r="N96" s="50"/>
      <c r="O96" s="50"/>
      <c r="P96" s="140">
        <f t="shared" si="7"/>
        <v>0</v>
      </c>
      <c r="Q96" s="45"/>
      <c r="R96" s="45"/>
      <c r="S96" s="45"/>
      <c r="T96" s="45"/>
      <c r="U96" s="45"/>
    </row>
    <row r="97" spans="3:21" hidden="1" x14ac:dyDescent="0.25">
      <c r="C97" s="91"/>
      <c r="D97" s="71"/>
      <c r="E97" s="92"/>
      <c r="F97" s="74"/>
      <c r="G97" s="74"/>
      <c r="H97" s="74"/>
      <c r="I97" s="138"/>
      <c r="J97" s="139" t="e">
        <f t="shared" si="12"/>
        <v>#REF!</v>
      </c>
      <c r="K97" s="139"/>
      <c r="L97" s="49"/>
      <c r="M97" s="50"/>
      <c r="N97" s="50"/>
      <c r="O97" s="50"/>
      <c r="P97" s="140">
        <f t="shared" si="7"/>
        <v>0</v>
      </c>
      <c r="Q97" s="45"/>
      <c r="R97" s="45"/>
      <c r="S97" s="45"/>
      <c r="T97" s="45"/>
      <c r="U97" s="45"/>
    </row>
    <row r="98" spans="3:21" hidden="1" x14ac:dyDescent="0.25">
      <c r="C98" s="91"/>
      <c r="D98" s="71"/>
      <c r="E98" s="92"/>
      <c r="F98" s="74"/>
      <c r="G98" s="74"/>
      <c r="H98" s="74"/>
      <c r="I98" s="138"/>
      <c r="J98" s="139" t="e">
        <f t="shared" si="12"/>
        <v>#REF!</v>
      </c>
      <c r="K98" s="139"/>
      <c r="L98" s="49"/>
      <c r="M98" s="50"/>
      <c r="N98" s="50"/>
      <c r="O98" s="50"/>
      <c r="P98" s="140">
        <f t="shared" si="7"/>
        <v>0</v>
      </c>
      <c r="Q98" s="45"/>
      <c r="R98" s="45"/>
      <c r="S98" s="45"/>
      <c r="T98" s="45"/>
      <c r="U98" s="45"/>
    </row>
    <row r="99" spans="3:21" hidden="1" x14ac:dyDescent="0.25">
      <c r="C99" s="91"/>
      <c r="D99" s="71"/>
      <c r="E99" s="92"/>
      <c r="F99" s="74"/>
      <c r="G99" s="74"/>
      <c r="H99" s="74"/>
      <c r="I99" s="138"/>
      <c r="J99" s="139" t="e">
        <f t="shared" si="12"/>
        <v>#REF!</v>
      </c>
      <c r="K99" s="139"/>
      <c r="L99" s="49"/>
      <c r="M99" s="50"/>
      <c r="N99" s="50"/>
      <c r="O99" s="50"/>
      <c r="P99" s="140">
        <f t="shared" si="7"/>
        <v>0</v>
      </c>
      <c r="Q99" s="45"/>
      <c r="R99" s="45"/>
      <c r="S99" s="45"/>
      <c r="T99" s="45"/>
      <c r="U99" s="45"/>
    </row>
    <row r="100" spans="3:21" hidden="1" x14ac:dyDescent="0.25">
      <c r="C100" s="91"/>
      <c r="D100" s="71"/>
      <c r="E100" s="92"/>
      <c r="F100" s="74"/>
      <c r="G100" s="74"/>
      <c r="H100" s="74"/>
      <c r="I100" s="138"/>
      <c r="J100" s="139" t="e">
        <f t="shared" si="12"/>
        <v>#REF!</v>
      </c>
      <c r="K100" s="139"/>
      <c r="L100" s="49"/>
      <c r="M100" s="50"/>
      <c r="N100" s="50"/>
      <c r="O100" s="50"/>
      <c r="P100" s="140">
        <f t="shared" si="7"/>
        <v>0</v>
      </c>
      <c r="Q100" s="45"/>
      <c r="R100" s="45"/>
      <c r="S100" s="45"/>
      <c r="T100" s="45"/>
      <c r="U100" s="45"/>
    </row>
    <row r="101" spans="3:21" ht="18.75" hidden="1" thickBot="1" x14ac:dyDescent="0.3">
      <c r="C101" s="56"/>
      <c r="D101" s="142"/>
      <c r="E101" s="57"/>
      <c r="F101" s="58"/>
      <c r="G101" s="58"/>
      <c r="H101" s="59"/>
      <c r="I101" s="66"/>
      <c r="J101" s="139" t="e">
        <f t="shared" si="12"/>
        <v>#REF!</v>
      </c>
      <c r="K101" s="139"/>
      <c r="L101" s="49"/>
      <c r="M101" s="50"/>
      <c r="N101" s="50"/>
      <c r="O101" s="50"/>
      <c r="P101" s="140">
        <f t="shared" si="7"/>
        <v>0</v>
      </c>
      <c r="Q101" s="45"/>
      <c r="R101" s="45"/>
      <c r="S101" s="45"/>
      <c r="T101" s="45"/>
      <c r="U101" s="45"/>
    </row>
    <row r="102" spans="3:21" ht="15.75" hidden="1" thickTop="1" thickBot="1" x14ac:dyDescent="0.3">
      <c r="C102" s="96" t="s">
        <v>21</v>
      </c>
      <c r="D102" s="96"/>
      <c r="E102" s="96"/>
      <c r="F102" s="96"/>
      <c r="G102" s="96"/>
      <c r="H102" s="46" t="e">
        <f>(439.33)+SUM(H44:H101)</f>
        <v>#REF!</v>
      </c>
      <c r="I102" s="46">
        <f>SUM(I41:I101)</f>
        <v>911500.89</v>
      </c>
      <c r="J102" s="31"/>
      <c r="K102" s="31"/>
      <c r="L102" s="45"/>
      <c r="M102" s="45"/>
      <c r="N102" s="60"/>
      <c r="O102" s="45"/>
      <c r="P102" s="61">
        <f>SUM(P41:P101)</f>
        <v>911700.89</v>
      </c>
      <c r="Q102" s="53">
        <f>+P102-I102</f>
        <v>200</v>
      </c>
      <c r="S102" s="45"/>
      <c r="T102" s="45"/>
      <c r="U102" s="45"/>
    </row>
    <row r="103" spans="3:21" ht="24" hidden="1" customHeight="1" thickBot="1" x14ac:dyDescent="0.3">
      <c r="C103" s="96"/>
      <c r="D103" s="96"/>
      <c r="E103" s="96"/>
      <c r="F103" s="96"/>
      <c r="G103" s="62"/>
      <c r="H103" s="148"/>
      <c r="I103" s="63" t="s">
        <v>117</v>
      </c>
      <c r="J103" s="64" t="e">
        <f>+J101</f>
        <v>#REF!</v>
      </c>
      <c r="K103" s="199"/>
      <c r="L103" s="45"/>
      <c r="M103" s="45"/>
      <c r="N103" s="60"/>
      <c r="O103" s="45"/>
      <c r="P103" s="65"/>
      <c r="Q103" s="45"/>
      <c r="R103" s="53"/>
      <c r="S103" s="45"/>
      <c r="T103" s="45"/>
      <c r="U103" s="45"/>
    </row>
    <row r="104" spans="3:21" ht="24" hidden="1" customHeight="1" thickBot="1" x14ac:dyDescent="0.3">
      <c r="D104" s="1"/>
      <c r="E104" s="3"/>
      <c r="G104" s="179"/>
      <c r="H104" s="180"/>
      <c r="I104" s="181" t="s">
        <v>151</v>
      </c>
      <c r="J104" s="182" t="e">
        <f>+#REF!</f>
        <v>#REF!</v>
      </c>
      <c r="K104" s="200"/>
      <c r="L104" s="1" t="e">
        <f>+J104*1.6</f>
        <v>#REF!</v>
      </c>
      <c r="M104" s="31" t="e">
        <f>+L104-J103</f>
        <v>#REF!</v>
      </c>
      <c r="N104" s="3"/>
      <c r="O104" s="1"/>
      <c r="P104" s="3"/>
      <c r="S104" s="45"/>
      <c r="T104" s="45"/>
      <c r="U104" s="45"/>
    </row>
    <row r="105" spans="3:21" hidden="1" x14ac:dyDescent="0.25">
      <c r="J105" s="31"/>
      <c r="K105" s="31"/>
    </row>
    <row r="106" spans="3:21" x14ac:dyDescent="0.25">
      <c r="H106" s="31"/>
      <c r="I106" s="31"/>
    </row>
    <row r="107" spans="3:21" x14ac:dyDescent="0.25">
      <c r="I107" s="31"/>
      <c r="J107" s="31"/>
      <c r="K107" s="31"/>
    </row>
    <row r="108" spans="3:21" ht="15" hidden="1" thickBot="1" x14ac:dyDescent="0.3"/>
    <row r="109" spans="3:21" ht="43.5" hidden="1" thickBot="1" x14ac:dyDescent="0.3">
      <c r="D109" s="79" t="s">
        <v>6</v>
      </c>
      <c r="E109" s="80" t="s">
        <v>8</v>
      </c>
      <c r="F109" s="80" t="s">
        <v>9</v>
      </c>
      <c r="G109" s="81" t="s">
        <v>11</v>
      </c>
      <c r="H109" s="82" t="s">
        <v>12</v>
      </c>
      <c r="I109" s="82" t="s">
        <v>13</v>
      </c>
      <c r="J109" s="83" t="s">
        <v>15</v>
      </c>
      <c r="K109" s="201"/>
      <c r="L109" s="84" t="s">
        <v>35</v>
      </c>
    </row>
    <row r="110" spans="3:21" hidden="1" x14ac:dyDescent="0.25">
      <c r="D110" s="13">
        <v>45741</v>
      </c>
      <c r="E110" s="14" t="s">
        <v>17</v>
      </c>
      <c r="F110" s="15"/>
      <c r="G110" s="16">
        <v>17536</v>
      </c>
      <c r="H110" s="14">
        <v>11.83</v>
      </c>
      <c r="I110" s="17">
        <f>+G110*H110</f>
        <v>207450.88</v>
      </c>
      <c r="J110" s="75" t="s">
        <v>38</v>
      </c>
      <c r="K110" s="75"/>
      <c r="L110" s="77" t="s">
        <v>34</v>
      </c>
    </row>
    <row r="111" spans="3:21" ht="18" hidden="1" x14ac:dyDescent="0.25">
      <c r="D111" s="13">
        <v>45752</v>
      </c>
      <c r="E111" s="14" t="s">
        <v>19</v>
      </c>
      <c r="F111" s="28" t="s">
        <v>18</v>
      </c>
      <c r="G111" s="20">
        <f>4737+13050</f>
        <v>17787</v>
      </c>
      <c r="H111" s="21">
        <f>1.7*12</f>
        <v>20.399999999999999</v>
      </c>
      <c r="I111" s="69">
        <f>+G111*H111</f>
        <v>362854.8</v>
      </c>
      <c r="J111" s="76" t="s">
        <v>20</v>
      </c>
      <c r="K111" s="76"/>
      <c r="L111" s="78" t="s">
        <v>39</v>
      </c>
    </row>
    <row r="112" spans="3:21" hidden="1" x14ac:dyDescent="0.25">
      <c r="D112" s="13">
        <v>45756</v>
      </c>
      <c r="E112" s="14" t="s">
        <v>19</v>
      </c>
      <c r="F112" s="19"/>
      <c r="G112" s="20">
        <v>17859</v>
      </c>
      <c r="H112" s="21">
        <v>21.59</v>
      </c>
      <c r="I112" s="17">
        <f t="shared" ref="I112" si="36">+G112*H112</f>
        <v>385575.81</v>
      </c>
      <c r="J112" s="75" t="s">
        <v>16</v>
      </c>
      <c r="K112" s="75"/>
      <c r="L112" s="77" t="s">
        <v>39</v>
      </c>
    </row>
    <row r="113" spans="9:15" hidden="1" x14ac:dyDescent="0.25"/>
    <row r="115" spans="9:15" hidden="1" x14ac:dyDescent="0.25">
      <c r="I115" s="1">
        <v>816</v>
      </c>
      <c r="J115" s="1">
        <v>38</v>
      </c>
      <c r="L115" s="1">
        <v>854</v>
      </c>
      <c r="N115" s="1">
        <f>+L115-J115</f>
        <v>816</v>
      </c>
      <c r="O115" s="3">
        <f>+I115-N115</f>
        <v>0</v>
      </c>
    </row>
    <row r="116" spans="9:15" hidden="1" x14ac:dyDescent="0.25">
      <c r="I116" s="1">
        <v>880</v>
      </c>
      <c r="J116" s="1">
        <v>38</v>
      </c>
      <c r="L116" s="1">
        <v>918</v>
      </c>
      <c r="N116" s="1">
        <f t="shared" ref="N116:N136" si="37">+L116-J116</f>
        <v>880</v>
      </c>
      <c r="O116" s="183">
        <f t="shared" ref="O116:O136" si="38">+I116-N116</f>
        <v>0</v>
      </c>
    </row>
    <row r="117" spans="9:15" hidden="1" x14ac:dyDescent="0.25">
      <c r="I117" s="1">
        <v>854</v>
      </c>
      <c r="J117" s="1">
        <v>38</v>
      </c>
      <c r="L117" s="1">
        <v>888</v>
      </c>
      <c r="N117" s="1">
        <f t="shared" si="37"/>
        <v>850</v>
      </c>
      <c r="O117" s="183">
        <f t="shared" si="38"/>
        <v>4</v>
      </c>
    </row>
    <row r="118" spans="9:15" hidden="1" x14ac:dyDescent="0.25">
      <c r="I118" s="1">
        <v>850</v>
      </c>
      <c r="J118" s="1">
        <v>38</v>
      </c>
      <c r="L118" s="1">
        <v>888</v>
      </c>
      <c r="N118" s="1">
        <f t="shared" si="37"/>
        <v>850</v>
      </c>
      <c r="O118" s="183">
        <f t="shared" si="38"/>
        <v>0</v>
      </c>
    </row>
    <row r="119" spans="9:15" hidden="1" x14ac:dyDescent="0.25">
      <c r="I119" s="1">
        <v>832</v>
      </c>
      <c r="J119" s="1">
        <v>38</v>
      </c>
      <c r="L119" s="1">
        <v>870</v>
      </c>
      <c r="N119" s="1">
        <f t="shared" si="37"/>
        <v>832</v>
      </c>
      <c r="O119" s="183">
        <f t="shared" si="38"/>
        <v>0</v>
      </c>
    </row>
    <row r="120" spans="9:15" hidden="1" x14ac:dyDescent="0.25">
      <c r="I120" s="1">
        <v>830</v>
      </c>
      <c r="J120" s="1">
        <v>38</v>
      </c>
      <c r="L120" s="1">
        <v>868</v>
      </c>
      <c r="N120" s="1">
        <f t="shared" si="37"/>
        <v>830</v>
      </c>
      <c r="O120" s="183">
        <f t="shared" si="38"/>
        <v>0</v>
      </c>
    </row>
    <row r="121" spans="9:15" hidden="1" x14ac:dyDescent="0.25">
      <c r="I121" s="1">
        <v>532</v>
      </c>
      <c r="J121" s="1">
        <v>38</v>
      </c>
      <c r="L121" s="1">
        <v>570</v>
      </c>
      <c r="N121" s="1">
        <f t="shared" si="37"/>
        <v>532</v>
      </c>
      <c r="O121" s="183">
        <f t="shared" si="38"/>
        <v>0</v>
      </c>
    </row>
    <row r="122" spans="9:15" hidden="1" x14ac:dyDescent="0.25">
      <c r="I122" s="1">
        <v>754</v>
      </c>
      <c r="J122" s="1">
        <v>38</v>
      </c>
      <c r="L122" s="1">
        <v>792</v>
      </c>
      <c r="N122" s="1">
        <f t="shared" si="37"/>
        <v>754</v>
      </c>
      <c r="O122" s="183">
        <f t="shared" si="38"/>
        <v>0</v>
      </c>
    </row>
    <row r="123" spans="9:15" hidden="1" x14ac:dyDescent="0.25">
      <c r="I123" s="1">
        <v>788</v>
      </c>
      <c r="J123" s="1">
        <v>38</v>
      </c>
      <c r="L123" s="1">
        <v>826</v>
      </c>
      <c r="N123" s="1">
        <f t="shared" si="37"/>
        <v>788</v>
      </c>
      <c r="O123" s="183">
        <f t="shared" si="38"/>
        <v>0</v>
      </c>
    </row>
    <row r="124" spans="9:15" hidden="1" x14ac:dyDescent="0.25">
      <c r="I124" s="1">
        <v>780</v>
      </c>
      <c r="J124" s="1">
        <v>38</v>
      </c>
      <c r="L124" s="1">
        <v>818</v>
      </c>
      <c r="N124" s="1">
        <f t="shared" si="37"/>
        <v>780</v>
      </c>
      <c r="O124" s="183">
        <f t="shared" si="38"/>
        <v>0</v>
      </c>
    </row>
    <row r="125" spans="9:15" hidden="1" x14ac:dyDescent="0.25">
      <c r="I125" s="1">
        <v>776</v>
      </c>
      <c r="J125" s="1">
        <v>38</v>
      </c>
      <c r="L125" s="1">
        <v>814</v>
      </c>
      <c r="N125" s="1">
        <f t="shared" si="37"/>
        <v>776</v>
      </c>
      <c r="O125" s="183">
        <f t="shared" si="38"/>
        <v>0</v>
      </c>
    </row>
    <row r="126" spans="9:15" hidden="1" x14ac:dyDescent="0.25">
      <c r="I126" s="1">
        <v>784</v>
      </c>
      <c r="J126" s="1">
        <v>38</v>
      </c>
      <c r="L126" s="1">
        <v>822</v>
      </c>
      <c r="N126" s="1">
        <f t="shared" si="37"/>
        <v>784</v>
      </c>
      <c r="O126" s="183">
        <f t="shared" si="38"/>
        <v>0</v>
      </c>
    </row>
    <row r="127" spans="9:15" hidden="1" x14ac:dyDescent="0.25">
      <c r="I127" s="1">
        <v>778</v>
      </c>
      <c r="J127" s="1">
        <v>38</v>
      </c>
      <c r="L127" s="1">
        <v>816</v>
      </c>
      <c r="N127" s="1">
        <f t="shared" si="37"/>
        <v>778</v>
      </c>
      <c r="O127" s="183">
        <f t="shared" si="38"/>
        <v>0</v>
      </c>
    </row>
    <row r="128" spans="9:15" hidden="1" x14ac:dyDescent="0.25">
      <c r="I128" s="1">
        <v>806</v>
      </c>
      <c r="J128" s="1">
        <v>38</v>
      </c>
      <c r="L128" s="1">
        <v>844</v>
      </c>
      <c r="N128" s="1">
        <f t="shared" si="37"/>
        <v>806</v>
      </c>
      <c r="O128" s="183">
        <f t="shared" si="38"/>
        <v>0</v>
      </c>
    </row>
    <row r="129" spans="9:15" hidden="1" x14ac:dyDescent="0.25">
      <c r="I129" s="1">
        <v>816</v>
      </c>
      <c r="J129" s="1">
        <v>38</v>
      </c>
      <c r="L129" s="1">
        <v>828</v>
      </c>
      <c r="N129" s="1">
        <f t="shared" si="37"/>
        <v>790</v>
      </c>
      <c r="O129" s="183">
        <f t="shared" si="38"/>
        <v>26</v>
      </c>
    </row>
    <row r="130" spans="9:15" hidden="1" x14ac:dyDescent="0.25">
      <c r="I130" s="1">
        <v>802</v>
      </c>
      <c r="J130" s="1">
        <v>38</v>
      </c>
      <c r="L130" s="1">
        <v>832</v>
      </c>
      <c r="N130" s="1">
        <f t="shared" si="37"/>
        <v>794</v>
      </c>
      <c r="O130" s="183">
        <f t="shared" si="38"/>
        <v>8</v>
      </c>
    </row>
    <row r="131" spans="9:15" hidden="1" x14ac:dyDescent="0.25">
      <c r="I131" s="1">
        <v>788</v>
      </c>
      <c r="J131" s="1">
        <v>38</v>
      </c>
      <c r="L131" s="1">
        <v>834</v>
      </c>
      <c r="N131" s="1">
        <f t="shared" si="37"/>
        <v>796</v>
      </c>
      <c r="O131" s="183">
        <f t="shared" si="38"/>
        <v>-8</v>
      </c>
    </row>
    <row r="132" spans="9:15" hidden="1" x14ac:dyDescent="0.25">
      <c r="I132" s="1">
        <v>792</v>
      </c>
      <c r="J132" s="1">
        <v>38</v>
      </c>
      <c r="L132" s="1">
        <v>890</v>
      </c>
      <c r="N132" s="1">
        <f t="shared" si="37"/>
        <v>852</v>
      </c>
      <c r="O132" s="183">
        <f t="shared" si="38"/>
        <v>-60</v>
      </c>
    </row>
    <row r="133" spans="9:15" hidden="1" x14ac:dyDescent="0.25">
      <c r="I133" s="1">
        <v>798</v>
      </c>
      <c r="J133" s="1">
        <v>38</v>
      </c>
      <c r="L133" s="1">
        <v>878</v>
      </c>
      <c r="N133" s="1">
        <f t="shared" si="37"/>
        <v>840</v>
      </c>
      <c r="O133" s="183">
        <f t="shared" si="38"/>
        <v>-42</v>
      </c>
    </row>
    <row r="134" spans="9:15" hidden="1" x14ac:dyDescent="0.25">
      <c r="I134" s="1">
        <v>802</v>
      </c>
      <c r="J134" s="1">
        <v>38</v>
      </c>
      <c r="L134" s="1">
        <v>868</v>
      </c>
      <c r="N134" s="1">
        <f t="shared" si="37"/>
        <v>830</v>
      </c>
      <c r="O134" s="183">
        <f t="shared" si="38"/>
        <v>-28</v>
      </c>
    </row>
    <row r="135" spans="9:15" hidden="1" x14ac:dyDescent="0.25">
      <c r="I135" s="1">
        <v>785</v>
      </c>
      <c r="J135" s="1">
        <v>38</v>
      </c>
      <c r="L135" s="1">
        <v>894</v>
      </c>
      <c r="N135" s="1">
        <f t="shared" si="37"/>
        <v>856</v>
      </c>
      <c r="O135" s="183">
        <f t="shared" si="38"/>
        <v>-71</v>
      </c>
    </row>
    <row r="136" spans="9:15" hidden="1" x14ac:dyDescent="0.25">
      <c r="I136" s="1">
        <v>778</v>
      </c>
      <c r="J136" s="1">
        <v>38</v>
      </c>
      <c r="L136" s="1">
        <v>900</v>
      </c>
      <c r="N136" s="1">
        <f t="shared" si="37"/>
        <v>862</v>
      </c>
      <c r="O136" s="183">
        <f t="shared" si="38"/>
        <v>-84</v>
      </c>
    </row>
    <row r="137" spans="9:15" hidden="1" x14ac:dyDescent="0.25">
      <c r="I137" s="184">
        <f>SUM(I115:I136)</f>
        <v>17421</v>
      </c>
      <c r="J137" s="184">
        <f t="shared" ref="J137:N137" si="39">SUM(J115:J136)</f>
        <v>836</v>
      </c>
      <c r="K137" s="184"/>
      <c r="L137" s="184">
        <f t="shared" si="39"/>
        <v>18512</v>
      </c>
      <c r="M137" s="184">
        <f t="shared" si="39"/>
        <v>0</v>
      </c>
      <c r="N137" s="184">
        <f t="shared" si="39"/>
        <v>17676</v>
      </c>
    </row>
    <row r="138" spans="9:15" hidden="1" x14ac:dyDescent="0.25"/>
    <row r="139" spans="9:15" hidden="1" x14ac:dyDescent="0.25">
      <c r="N139" s="1">
        <f>+N137-I137</f>
        <v>255</v>
      </c>
    </row>
  </sheetData>
  <mergeCells count="38">
    <mergeCell ref="S6:V6"/>
    <mergeCell ref="B39:J39"/>
    <mergeCell ref="M40:O40"/>
    <mergeCell ref="B32:I32"/>
    <mergeCell ref="B2:Q2"/>
    <mergeCell ref="B3:Q3"/>
    <mergeCell ref="B4:Q4"/>
    <mergeCell ref="G6:I6"/>
    <mergeCell ref="B8:B15"/>
    <mergeCell ref="D8:D15"/>
    <mergeCell ref="H8:H15"/>
    <mergeCell ref="I8:I15"/>
    <mergeCell ref="J8:J15"/>
    <mergeCell ref="L8:L15"/>
    <mergeCell ref="G8:G15"/>
    <mergeCell ref="F8:F15"/>
    <mergeCell ref="E8:E15"/>
    <mergeCell ref="C8:C15"/>
    <mergeCell ref="L16:L23"/>
    <mergeCell ref="J16:J23"/>
    <mergeCell ref="L24:L31"/>
    <mergeCell ref="J24:J31"/>
    <mergeCell ref="G24:G31"/>
    <mergeCell ref="H24:H31"/>
    <mergeCell ref="I24:I31"/>
    <mergeCell ref="H16:H23"/>
    <mergeCell ref="I16:I23"/>
    <mergeCell ref="B16:B23"/>
    <mergeCell ref="B24:B31"/>
    <mergeCell ref="C24:C31"/>
    <mergeCell ref="E24:E31"/>
    <mergeCell ref="D16:D23"/>
    <mergeCell ref="D24:D31"/>
    <mergeCell ref="F24:F31"/>
    <mergeCell ref="G16:G23"/>
    <mergeCell ref="F16:F23"/>
    <mergeCell ref="E16:E23"/>
    <mergeCell ref="C16:C23"/>
  </mergeCells>
  <printOptions horizontalCentered="1"/>
  <pageMargins left="0.19685039370078741" right="0.31496062992125984" top="0.39370078740157483" bottom="0.15748031496062992" header="0" footer="0"/>
  <pageSetup scale="6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C9E5-49EF-4DF7-BB34-36F4B3F22CE1}">
  <dimension ref="B1:R19"/>
  <sheetViews>
    <sheetView workbookViewId="0">
      <selection activeCell="G8" sqref="G8"/>
    </sheetView>
  </sheetViews>
  <sheetFormatPr baseColWidth="10" defaultRowHeight="14.25" x14ac:dyDescent="0.25"/>
  <cols>
    <col min="1" max="1" width="3.5703125" style="1" customWidth="1"/>
    <col min="2" max="2" width="4.140625" style="1" customWidth="1"/>
    <col min="3" max="3" width="12.7109375" style="1" customWidth="1"/>
    <col min="4" max="4" width="11.140625" style="1" customWidth="1"/>
    <col min="5" max="5" width="13.42578125" style="1" customWidth="1"/>
    <col min="6" max="6" width="11.5703125" style="1" customWidth="1"/>
    <col min="7" max="9" width="10" style="1" customWidth="1"/>
    <col min="10" max="10" width="11.5703125" style="1" customWidth="1"/>
    <col min="11" max="11" width="13.42578125" style="1" customWidth="1"/>
    <col min="12" max="12" width="14.28515625" style="1" customWidth="1"/>
    <col min="13" max="13" width="11.5703125" style="1" customWidth="1"/>
    <col min="14" max="14" width="16.7109375" style="1" customWidth="1"/>
    <col min="15" max="15" width="13.5703125" style="1" customWidth="1"/>
    <col min="16" max="16" width="14" style="1" customWidth="1"/>
    <col min="17" max="17" width="15" style="1" customWidth="1"/>
    <col min="18" max="21" width="11.42578125" style="1"/>
    <col min="22" max="22" width="11.85546875" style="1" bestFit="1" customWidth="1"/>
    <col min="23" max="23" width="13" style="1" bestFit="1" customWidth="1"/>
    <col min="24" max="24" width="11.5703125" style="1" bestFit="1" customWidth="1"/>
    <col min="25" max="16384" width="11.42578125" style="1"/>
  </cols>
  <sheetData>
    <row r="1" spans="2:18" ht="8.25" customHeight="1" x14ac:dyDescent="0.25"/>
    <row r="2" spans="2:18" x14ac:dyDescent="0.25">
      <c r="B2" s="132" t="s">
        <v>49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</row>
    <row r="3" spans="2:18" x14ac:dyDescent="0.25">
      <c r="B3" s="132" t="s">
        <v>50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</row>
    <row r="4" spans="2:18" x14ac:dyDescent="0.25">
      <c r="B4" s="132" t="s">
        <v>48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</row>
    <row r="5" spans="2:18" ht="4.5" customHeight="1" x14ac:dyDescent="0.25"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</row>
    <row r="6" spans="2:18" x14ac:dyDescent="0.25">
      <c r="D6" s="228" t="s">
        <v>51</v>
      </c>
      <c r="E6" s="228"/>
      <c r="F6" s="228"/>
      <c r="G6" s="228"/>
      <c r="H6" s="228"/>
      <c r="I6" s="228"/>
    </row>
    <row r="7" spans="2:18" s="12" customFormat="1" ht="43.5" customHeight="1" x14ac:dyDescent="0.25">
      <c r="B7" s="100" t="s">
        <v>3</v>
      </c>
      <c r="C7" s="100" t="s">
        <v>98</v>
      </c>
      <c r="D7" s="103" t="s">
        <v>99</v>
      </c>
      <c r="E7" s="103" t="s">
        <v>54</v>
      </c>
      <c r="F7" s="103" t="s">
        <v>55</v>
      </c>
      <c r="G7" s="103" t="s">
        <v>56</v>
      </c>
      <c r="H7" s="103" t="s">
        <v>10</v>
      </c>
      <c r="I7" s="103" t="s">
        <v>57</v>
      </c>
      <c r="J7" s="101" t="s">
        <v>52</v>
      </c>
      <c r="K7" s="102" t="s">
        <v>12</v>
      </c>
      <c r="L7" s="102" t="s">
        <v>53</v>
      </c>
      <c r="M7" s="100" t="s">
        <v>14</v>
      </c>
      <c r="N7" s="100" t="s">
        <v>58</v>
      </c>
      <c r="O7" s="100" t="s">
        <v>15</v>
      </c>
      <c r="P7" s="100" t="s">
        <v>59</v>
      </c>
      <c r="Q7" s="100" t="s">
        <v>60</v>
      </c>
    </row>
    <row r="8" spans="2:18" ht="19.5" customHeight="1" x14ac:dyDescent="0.25">
      <c r="B8" s="97">
        <v>1</v>
      </c>
      <c r="C8" s="27"/>
      <c r="D8" s="108"/>
      <c r="E8" s="108"/>
      <c r="F8" s="108"/>
      <c r="G8" s="108"/>
      <c r="H8" s="108"/>
      <c r="I8" s="108"/>
      <c r="J8" s="108">
        <f>SUM(D8:I8)</f>
        <v>0</v>
      </c>
      <c r="K8" s="108"/>
      <c r="L8" s="109">
        <f t="shared" ref="L8:L10" si="0">+J8*K8</f>
        <v>0</v>
      </c>
      <c r="M8" s="97"/>
      <c r="N8" s="107"/>
      <c r="O8" s="104"/>
      <c r="P8" s="18"/>
      <c r="Q8" s="106"/>
      <c r="R8" s="1" t="s">
        <v>62</v>
      </c>
    </row>
    <row r="9" spans="2:18" ht="19.5" customHeight="1" x14ac:dyDescent="0.25">
      <c r="B9" s="97">
        <v>2</v>
      </c>
      <c r="C9" s="27"/>
      <c r="D9" s="108"/>
      <c r="E9" s="108"/>
      <c r="F9" s="108"/>
      <c r="G9" s="108"/>
      <c r="H9" s="108"/>
      <c r="I9" s="108"/>
      <c r="J9" s="108">
        <f>SUM(D9:I9)</f>
        <v>0</v>
      </c>
      <c r="K9" s="108"/>
      <c r="L9" s="109">
        <f t="shared" si="0"/>
        <v>0</v>
      </c>
      <c r="M9" s="97"/>
      <c r="N9" s="107"/>
      <c r="O9" s="104"/>
      <c r="P9" s="18"/>
      <c r="Q9" s="106"/>
      <c r="R9" s="1" t="s">
        <v>61</v>
      </c>
    </row>
    <row r="10" spans="2:18" ht="19.5" customHeight="1" x14ac:dyDescent="0.25">
      <c r="B10" s="97">
        <v>3</v>
      </c>
      <c r="C10" s="27"/>
      <c r="D10" s="108"/>
      <c r="E10" s="108"/>
      <c r="F10" s="108"/>
      <c r="G10" s="108"/>
      <c r="H10" s="108"/>
      <c r="I10" s="108"/>
      <c r="J10" s="108">
        <f>SUM(D10:I10)</f>
        <v>0</v>
      </c>
      <c r="K10" s="108"/>
      <c r="L10" s="109">
        <f t="shared" si="0"/>
        <v>0</v>
      </c>
      <c r="M10" s="97"/>
      <c r="N10" s="107"/>
      <c r="O10" s="104"/>
      <c r="P10" s="18"/>
      <c r="Q10" s="106"/>
      <c r="R10" s="1" t="s">
        <v>62</v>
      </c>
    </row>
    <row r="11" spans="2:18" ht="19.5" customHeight="1" x14ac:dyDescent="0.25">
      <c r="B11" s="97">
        <v>4</v>
      </c>
      <c r="C11" s="27"/>
      <c r="D11" s="108"/>
      <c r="E11" s="108"/>
      <c r="F11" s="108"/>
      <c r="G11" s="108"/>
      <c r="H11" s="108"/>
      <c r="I11" s="108"/>
      <c r="J11" s="108"/>
      <c r="K11" s="108"/>
      <c r="L11" s="109"/>
      <c r="M11" s="97"/>
      <c r="N11" s="107"/>
      <c r="O11" s="104"/>
      <c r="P11" s="18"/>
      <c r="Q11" s="106"/>
    </row>
    <row r="12" spans="2:18" ht="19.5" hidden="1" customHeight="1" x14ac:dyDescent="0.25">
      <c r="B12" s="97">
        <v>49</v>
      </c>
      <c r="C12" s="27"/>
      <c r="D12" s="108"/>
      <c r="E12" s="108"/>
      <c r="F12" s="108"/>
      <c r="G12" s="108"/>
      <c r="H12" s="108"/>
      <c r="I12" s="108"/>
      <c r="J12" s="108"/>
      <c r="K12" s="108"/>
      <c r="L12" s="109"/>
      <c r="M12" s="97"/>
      <c r="N12" s="107"/>
      <c r="O12" s="104"/>
      <c r="P12" s="18"/>
      <c r="Q12" s="106"/>
    </row>
    <row r="13" spans="2:18" ht="19.5" hidden="1" customHeight="1" x14ac:dyDescent="0.25">
      <c r="B13" s="97">
        <v>50</v>
      </c>
      <c r="C13" s="27"/>
      <c r="D13" s="108"/>
      <c r="E13" s="108"/>
      <c r="F13" s="108"/>
      <c r="G13" s="108"/>
      <c r="H13" s="108"/>
      <c r="I13" s="108"/>
      <c r="J13" s="108"/>
      <c r="K13" s="108"/>
      <c r="L13" s="109"/>
      <c r="M13" s="97"/>
      <c r="N13" s="107"/>
      <c r="O13" s="104"/>
      <c r="P13" s="18"/>
      <c r="Q13" s="106"/>
    </row>
    <row r="14" spans="2:18" ht="19.5" hidden="1" customHeight="1" x14ac:dyDescent="0.25">
      <c r="B14" s="97">
        <v>51</v>
      </c>
      <c r="C14" s="26"/>
      <c r="D14" s="28"/>
      <c r="E14" s="28"/>
      <c r="F14" s="28"/>
      <c r="G14" s="28"/>
      <c r="H14" s="28"/>
      <c r="I14" s="28"/>
      <c r="J14" s="28"/>
      <c r="K14" s="28"/>
      <c r="L14" s="28"/>
      <c r="M14" s="24"/>
      <c r="N14" s="106"/>
      <c r="O14" s="111"/>
      <c r="P14" s="18"/>
      <c r="Q14" s="105"/>
    </row>
    <row r="15" spans="2:18" ht="19.5" customHeight="1" x14ac:dyDescent="0.25">
      <c r="B15" s="221" t="s">
        <v>21</v>
      </c>
      <c r="C15" s="223"/>
      <c r="D15" s="32">
        <f t="shared" ref="D15:J15" si="1">SUM(D8:D14)</f>
        <v>0</v>
      </c>
      <c r="E15" s="32">
        <f t="shared" si="1"/>
        <v>0</v>
      </c>
      <c r="F15" s="32">
        <f t="shared" si="1"/>
        <v>0</v>
      </c>
      <c r="G15" s="32">
        <f t="shared" si="1"/>
        <v>0</v>
      </c>
      <c r="H15" s="32">
        <f t="shared" si="1"/>
        <v>0</v>
      </c>
      <c r="I15" s="32">
        <f t="shared" si="1"/>
        <v>0</v>
      </c>
      <c r="J15" s="32">
        <f t="shared" si="1"/>
        <v>0</v>
      </c>
      <c r="K15" s="133"/>
      <c r="L15" s="32">
        <f>SUM(L8:L14)</f>
        <v>0</v>
      </c>
      <c r="M15" s="32"/>
      <c r="N15" s="32">
        <f>SUM(N8:N14)</f>
        <v>0</v>
      </c>
      <c r="O15" s="112">
        <f>+L15-N15</f>
        <v>0</v>
      </c>
      <c r="P15" s="85"/>
      <c r="Q15" s="105"/>
    </row>
    <row r="16" spans="2:18" x14ac:dyDescent="0.25">
      <c r="O16" s="31"/>
    </row>
    <row r="19" spans="15:15" x14ac:dyDescent="0.25">
      <c r="O19" s="31"/>
    </row>
  </sheetData>
  <mergeCells count="2">
    <mergeCell ref="B15:C15"/>
    <mergeCell ref="D6:I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B3F6-1438-49A6-BEF0-61B7F2B9492D}">
  <dimension ref="A3:I59"/>
  <sheetViews>
    <sheetView workbookViewId="0">
      <selection activeCell="F50" sqref="F50"/>
    </sheetView>
  </sheetViews>
  <sheetFormatPr baseColWidth="10" defaultRowHeight="15" x14ac:dyDescent="0.25"/>
  <cols>
    <col min="2" max="2" width="11" style="162" customWidth="1"/>
    <col min="3" max="3" width="22.7109375" customWidth="1"/>
    <col min="4" max="4" width="20.42578125" customWidth="1"/>
    <col min="7" max="7" width="11" customWidth="1"/>
    <col min="8" max="8" width="22.7109375" customWidth="1"/>
    <col min="9" max="9" width="20.42578125" customWidth="1"/>
  </cols>
  <sheetData>
    <row r="3" spans="2:9" ht="19.5" x14ac:dyDescent="0.25">
      <c r="B3" s="230" t="s">
        <v>139</v>
      </c>
      <c r="C3" s="230"/>
      <c r="D3" s="230"/>
      <c r="G3" s="230" t="s">
        <v>139</v>
      </c>
      <c r="H3" s="230"/>
      <c r="I3" s="230"/>
    </row>
    <row r="4" spans="2:9" ht="39.75" customHeight="1" x14ac:dyDescent="0.25">
      <c r="B4" s="232" t="s">
        <v>138</v>
      </c>
      <c r="C4" s="232"/>
      <c r="D4" s="232"/>
      <c r="G4" s="232" t="s">
        <v>138</v>
      </c>
      <c r="H4" s="232"/>
      <c r="I4" s="232"/>
    </row>
    <row r="5" spans="2:9" ht="15.75" x14ac:dyDescent="0.25">
      <c r="B5" s="166" t="s">
        <v>133</v>
      </c>
      <c r="C5" s="166" t="s">
        <v>118</v>
      </c>
      <c r="G5" s="166" t="s">
        <v>133</v>
      </c>
      <c r="H5" t="s">
        <v>142</v>
      </c>
    </row>
    <row r="6" spans="2:9" ht="15.75" x14ac:dyDescent="0.25">
      <c r="B6" s="166" t="s">
        <v>120</v>
      </c>
      <c r="C6" s="167">
        <v>45950</v>
      </c>
      <c r="G6" s="166" t="s">
        <v>120</v>
      </c>
      <c r="H6" s="164">
        <v>45950</v>
      </c>
    </row>
    <row r="7" spans="2:9" ht="15.75" x14ac:dyDescent="0.25">
      <c r="B7" s="166" t="s">
        <v>119</v>
      </c>
      <c r="C7" s="159" t="s">
        <v>135</v>
      </c>
      <c r="G7" s="166" t="s">
        <v>119</v>
      </c>
      <c r="H7" s="159" t="s">
        <v>132</v>
      </c>
    </row>
    <row r="8" spans="2:9" x14ac:dyDescent="0.25">
      <c r="C8" s="157"/>
      <c r="G8" s="165"/>
      <c r="H8" s="157"/>
    </row>
    <row r="9" spans="2:9" s="158" customFormat="1" x14ac:dyDescent="0.25">
      <c r="B9" s="131" t="s">
        <v>23</v>
      </c>
      <c r="C9" s="131" t="s">
        <v>122</v>
      </c>
      <c r="D9" s="131" t="s">
        <v>121</v>
      </c>
      <c r="G9" s="131" t="s">
        <v>23</v>
      </c>
      <c r="H9" s="131" t="s">
        <v>141</v>
      </c>
      <c r="I9" s="131" t="s">
        <v>121</v>
      </c>
    </row>
    <row r="10" spans="2:9" x14ac:dyDescent="0.25">
      <c r="B10" s="163">
        <v>1</v>
      </c>
      <c r="C10" s="161" t="s">
        <v>123</v>
      </c>
      <c r="D10" s="156">
        <v>24.1</v>
      </c>
      <c r="G10" s="163">
        <v>1</v>
      </c>
      <c r="H10" s="168" t="s">
        <v>140</v>
      </c>
      <c r="I10" s="156">
        <v>19.600000000000001</v>
      </c>
    </row>
    <row r="11" spans="2:9" x14ac:dyDescent="0.25">
      <c r="B11" s="163">
        <v>2</v>
      </c>
      <c r="C11" s="161" t="s">
        <v>124</v>
      </c>
      <c r="D11" s="156">
        <v>23.8</v>
      </c>
      <c r="G11" s="163">
        <v>2</v>
      </c>
      <c r="H11" s="168" t="s">
        <v>140</v>
      </c>
      <c r="I11" s="156">
        <v>21.6</v>
      </c>
    </row>
    <row r="12" spans="2:9" x14ac:dyDescent="0.25">
      <c r="B12" s="163">
        <v>3</v>
      </c>
      <c r="C12" s="161" t="s">
        <v>125</v>
      </c>
      <c r="D12" s="156">
        <v>24.4</v>
      </c>
      <c r="G12" s="163">
        <v>3</v>
      </c>
      <c r="H12" s="168" t="s">
        <v>140</v>
      </c>
      <c r="I12" s="156">
        <v>19.899999999999999</v>
      </c>
    </row>
    <row r="13" spans="2:9" x14ac:dyDescent="0.25">
      <c r="B13" s="163">
        <v>4</v>
      </c>
      <c r="C13" s="161" t="s">
        <v>126</v>
      </c>
      <c r="D13" s="156">
        <v>25.4</v>
      </c>
      <c r="G13" s="163">
        <v>4</v>
      </c>
      <c r="H13" s="168" t="s">
        <v>140</v>
      </c>
      <c r="I13" s="156">
        <v>20.6</v>
      </c>
    </row>
    <row r="14" spans="2:9" x14ac:dyDescent="0.25">
      <c r="B14" s="163">
        <v>5</v>
      </c>
      <c r="C14" s="161" t="s">
        <v>127</v>
      </c>
      <c r="D14" s="156">
        <v>22.2</v>
      </c>
      <c r="G14" s="163">
        <v>5</v>
      </c>
      <c r="H14" s="168" t="s">
        <v>140</v>
      </c>
      <c r="I14" s="156">
        <v>20.399999999999999</v>
      </c>
    </row>
    <row r="15" spans="2:9" x14ac:dyDescent="0.25">
      <c r="B15" s="163">
        <v>6</v>
      </c>
      <c r="C15" s="161" t="s">
        <v>128</v>
      </c>
      <c r="D15" s="156">
        <v>23</v>
      </c>
      <c r="G15" s="163">
        <v>6</v>
      </c>
      <c r="H15" s="168" t="s">
        <v>140</v>
      </c>
      <c r="I15" s="156">
        <v>20.2</v>
      </c>
    </row>
    <row r="16" spans="2:9" x14ac:dyDescent="0.25">
      <c r="B16" s="163">
        <v>7</v>
      </c>
      <c r="C16" s="161" t="s">
        <v>129</v>
      </c>
      <c r="D16" s="156">
        <v>21</v>
      </c>
      <c r="G16" s="163">
        <v>7</v>
      </c>
      <c r="H16" s="168" t="s">
        <v>140</v>
      </c>
      <c r="I16" s="156">
        <v>20.5</v>
      </c>
    </row>
    <row r="17" spans="2:9" x14ac:dyDescent="0.25">
      <c r="B17" s="163">
        <v>8</v>
      </c>
      <c r="C17" s="161" t="s">
        <v>130</v>
      </c>
      <c r="D17" s="156">
        <v>22.8</v>
      </c>
      <c r="G17" s="163">
        <v>8</v>
      </c>
      <c r="H17" s="168" t="s">
        <v>140</v>
      </c>
      <c r="I17" s="156">
        <v>18.600000000000001</v>
      </c>
    </row>
    <row r="18" spans="2:9" x14ac:dyDescent="0.25">
      <c r="B18" s="163">
        <v>9</v>
      </c>
      <c r="C18" s="161" t="s">
        <v>131</v>
      </c>
      <c r="D18" s="156">
        <v>24.4</v>
      </c>
      <c r="G18" s="163">
        <v>9</v>
      </c>
      <c r="H18" s="168" t="s">
        <v>140</v>
      </c>
      <c r="I18" s="156">
        <v>18.600000000000001</v>
      </c>
    </row>
    <row r="19" spans="2:9" x14ac:dyDescent="0.25">
      <c r="B19" s="163">
        <v>10</v>
      </c>
      <c r="C19" s="161" t="s">
        <v>137</v>
      </c>
      <c r="D19" s="156">
        <v>17.399999999999999</v>
      </c>
      <c r="G19" s="163">
        <v>10</v>
      </c>
      <c r="H19" s="168" t="s">
        <v>140</v>
      </c>
      <c r="I19" s="156">
        <v>19</v>
      </c>
    </row>
    <row r="20" spans="2:9" x14ac:dyDescent="0.25">
      <c r="B20" s="231" t="s">
        <v>107</v>
      </c>
      <c r="C20" s="231"/>
      <c r="D20" s="160">
        <f>SUM(D10:D19)</f>
        <v>228.50000000000006</v>
      </c>
      <c r="G20" s="163">
        <v>11</v>
      </c>
      <c r="H20" s="168" t="s">
        <v>140</v>
      </c>
      <c r="I20" s="156">
        <v>12.2</v>
      </c>
    </row>
    <row r="21" spans="2:9" x14ac:dyDescent="0.25">
      <c r="G21" s="233" t="s">
        <v>107</v>
      </c>
      <c r="H21" s="234"/>
      <c r="I21" s="160">
        <f>SUM(I10:I20)</f>
        <v>211.2</v>
      </c>
    </row>
    <row r="22" spans="2:9" x14ac:dyDescent="0.25">
      <c r="G22" s="162"/>
    </row>
    <row r="23" spans="2:9" x14ac:dyDescent="0.25">
      <c r="B23" s="165" t="s">
        <v>119</v>
      </c>
      <c r="C23" s="159" t="s">
        <v>136</v>
      </c>
      <c r="G23" s="169"/>
      <c r="H23" s="170"/>
      <c r="I23" s="171"/>
    </row>
    <row r="24" spans="2:9" x14ac:dyDescent="0.25">
      <c r="C24" s="157"/>
      <c r="G24" s="172"/>
      <c r="H24" s="173"/>
      <c r="I24" s="171"/>
    </row>
    <row r="25" spans="2:9" x14ac:dyDescent="0.25">
      <c r="B25" s="131" t="s">
        <v>23</v>
      </c>
      <c r="C25" s="131" t="s">
        <v>122</v>
      </c>
      <c r="D25" s="131" t="s">
        <v>121</v>
      </c>
      <c r="I25" s="174"/>
    </row>
    <row r="26" spans="2:9" x14ac:dyDescent="0.25">
      <c r="B26" s="163">
        <v>1</v>
      </c>
      <c r="C26" s="161" t="s">
        <v>123</v>
      </c>
      <c r="D26" s="156">
        <v>66</v>
      </c>
      <c r="I26" s="171"/>
    </row>
    <row r="27" spans="2:9" x14ac:dyDescent="0.25">
      <c r="B27" s="163">
        <v>2</v>
      </c>
      <c r="C27" s="161" t="s">
        <v>124</v>
      </c>
      <c r="D27" s="156">
        <v>11.5</v>
      </c>
      <c r="I27" s="171"/>
    </row>
    <row r="28" spans="2:9" x14ac:dyDescent="0.25">
      <c r="B28" s="231" t="s">
        <v>107</v>
      </c>
      <c r="C28" s="231"/>
      <c r="D28" s="160">
        <f>SUM(D26:D27)</f>
        <v>77.5</v>
      </c>
      <c r="G28" s="229" t="s">
        <v>134</v>
      </c>
      <c r="H28" s="229"/>
      <c r="I28" s="170"/>
    </row>
    <row r="29" spans="2:9" x14ac:dyDescent="0.25">
      <c r="G29" s="175"/>
      <c r="H29" s="176"/>
      <c r="I29" s="171"/>
    </row>
    <row r="30" spans="2:9" x14ac:dyDescent="0.25">
      <c r="G30" s="177"/>
      <c r="H30" s="177"/>
      <c r="I30" s="171"/>
    </row>
    <row r="31" spans="2:9" x14ac:dyDescent="0.25">
      <c r="G31" s="171"/>
      <c r="H31" s="171"/>
    </row>
    <row r="32" spans="2:9" x14ac:dyDescent="0.25">
      <c r="G32" s="171"/>
      <c r="H32" s="171"/>
    </row>
    <row r="33" spans="1:8" x14ac:dyDescent="0.25">
      <c r="G33" s="229" t="s">
        <v>143</v>
      </c>
      <c r="H33" s="229"/>
    </row>
    <row r="34" spans="1:8" x14ac:dyDescent="0.25">
      <c r="B34" s="229" t="s">
        <v>134</v>
      </c>
      <c r="C34" s="229"/>
    </row>
    <row r="40" spans="1:8" ht="19.5" x14ac:dyDescent="0.25">
      <c r="B40" s="230" t="s">
        <v>139</v>
      </c>
      <c r="C40" s="230"/>
      <c r="D40" s="230"/>
    </row>
    <row r="41" spans="1:8" ht="58.5" customHeight="1" x14ac:dyDescent="0.25">
      <c r="B41" s="232" t="s">
        <v>138</v>
      </c>
      <c r="C41" s="232"/>
      <c r="D41" s="232"/>
    </row>
    <row r="42" spans="1:8" ht="15.75" x14ac:dyDescent="0.25">
      <c r="B42" s="166" t="s">
        <v>133</v>
      </c>
      <c r="C42" s="166" t="s">
        <v>144</v>
      </c>
    </row>
    <row r="43" spans="1:8" ht="15.75" x14ac:dyDescent="0.25">
      <c r="B43" s="166" t="s">
        <v>120</v>
      </c>
      <c r="C43" s="167">
        <v>45950</v>
      </c>
    </row>
    <row r="44" spans="1:8" ht="15.75" x14ac:dyDescent="0.25">
      <c r="B44" s="166" t="s">
        <v>119</v>
      </c>
      <c r="C44" s="159" t="s">
        <v>145</v>
      </c>
    </row>
    <row r="45" spans="1:8" x14ac:dyDescent="0.25">
      <c r="C45" s="157"/>
    </row>
    <row r="46" spans="1:8" x14ac:dyDescent="0.25">
      <c r="A46" s="158"/>
      <c r="B46" s="131" t="s">
        <v>23</v>
      </c>
      <c r="C46" s="131" t="s">
        <v>122</v>
      </c>
      <c r="D46" s="131" t="s">
        <v>150</v>
      </c>
      <c r="E46" s="158"/>
    </row>
    <row r="47" spans="1:8" ht="19.5" customHeight="1" x14ac:dyDescent="0.25">
      <c r="B47" s="163">
        <v>1</v>
      </c>
      <c r="C47" s="178" t="s">
        <v>146</v>
      </c>
      <c r="D47" s="156">
        <v>41.85</v>
      </c>
    </row>
    <row r="48" spans="1:8" ht="19.5" customHeight="1" x14ac:dyDescent="0.25">
      <c r="B48" s="163">
        <v>2</v>
      </c>
      <c r="C48" s="178" t="s">
        <v>147</v>
      </c>
      <c r="D48" s="156">
        <v>43.85</v>
      </c>
    </row>
    <row r="49" spans="1:5" ht="19.5" customHeight="1" x14ac:dyDescent="0.25">
      <c r="B49" s="163">
        <v>3</v>
      </c>
      <c r="C49" s="178" t="s">
        <v>149</v>
      </c>
      <c r="D49" s="156">
        <v>38.450000000000003</v>
      </c>
    </row>
    <row r="50" spans="1:5" ht="19.5" customHeight="1" x14ac:dyDescent="0.25">
      <c r="B50" s="163">
        <v>4</v>
      </c>
      <c r="C50" s="178" t="s">
        <v>148</v>
      </c>
      <c r="D50" s="156">
        <v>38.299999999999997</v>
      </c>
    </row>
    <row r="51" spans="1:5" x14ac:dyDescent="0.25">
      <c r="B51" s="231" t="s">
        <v>107</v>
      </c>
      <c r="C51" s="231"/>
      <c r="D51" s="160">
        <f>SUM(D47:D50)</f>
        <v>162.44999999999999</v>
      </c>
    </row>
    <row r="59" spans="1:5" x14ac:dyDescent="0.25">
      <c r="A59" s="235" t="s">
        <v>134</v>
      </c>
      <c r="B59" s="235"/>
      <c r="D59" s="229" t="s">
        <v>143</v>
      </c>
      <c r="E59" s="229"/>
    </row>
  </sheetData>
  <mergeCells count="15">
    <mergeCell ref="A59:B59"/>
    <mergeCell ref="D59:E59"/>
    <mergeCell ref="B40:D40"/>
    <mergeCell ref="B41:D41"/>
    <mergeCell ref="B51:C51"/>
    <mergeCell ref="B34:C34"/>
    <mergeCell ref="B3:D3"/>
    <mergeCell ref="B20:C20"/>
    <mergeCell ref="B28:C28"/>
    <mergeCell ref="G3:I3"/>
    <mergeCell ref="B4:D4"/>
    <mergeCell ref="G4:I4"/>
    <mergeCell ref="G28:H28"/>
    <mergeCell ref="G21:H21"/>
    <mergeCell ref="G33:H33"/>
  </mergeCells>
  <phoneticPr fontId="26" type="noConversion"/>
  <printOptions horizontalCentered="1"/>
  <pageMargins left="0.70866141732283472" right="0.70866141732283472" top="0.55118110236220474" bottom="0.35433070866141736" header="0.31496062992125984" footer="0.31496062992125984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8BB1-0F8C-402B-AFCA-45925A13BF1E}">
  <dimension ref="B1:X23"/>
  <sheetViews>
    <sheetView tabSelected="1" workbookViewId="0">
      <selection activeCell="P18" sqref="P18"/>
    </sheetView>
  </sheetViews>
  <sheetFormatPr baseColWidth="10" defaultRowHeight="14.25" x14ac:dyDescent="0.25"/>
  <cols>
    <col min="1" max="1" width="5.42578125" style="1" customWidth="1"/>
    <col min="2" max="2" width="4.140625" style="3" customWidth="1"/>
    <col min="3" max="3" width="12.7109375" style="3" customWidth="1"/>
    <col min="4" max="4" width="11.140625" style="1" customWidth="1"/>
    <col min="5" max="5" width="10" style="1" customWidth="1"/>
    <col min="6" max="6" width="12.140625" style="1" customWidth="1"/>
    <col min="7" max="9" width="13.7109375" style="1" customWidth="1"/>
    <col min="10" max="12" width="13.42578125" style="1" customWidth="1"/>
    <col min="13" max="13" width="11.5703125" style="1" customWidth="1"/>
    <col min="14" max="14" width="12" style="113" customWidth="1"/>
    <col min="15" max="15" width="14.28515625" style="1" customWidth="1"/>
    <col min="16" max="16" width="11.5703125" style="3" bestFit="1" customWidth="1"/>
    <col min="17" max="17" width="16.42578125" style="1" customWidth="1"/>
    <col min="18" max="18" width="13.5703125" style="1" customWidth="1"/>
    <col min="19" max="19" width="18.5703125" style="1" bestFit="1" customWidth="1"/>
    <col min="20" max="20" width="15" style="1" hidden="1" customWidth="1"/>
    <col min="21" max="16384" width="11.42578125" style="1"/>
  </cols>
  <sheetData>
    <row r="1" spans="2:24" ht="8.25" customHeight="1" x14ac:dyDescent="0.25"/>
    <row r="2" spans="2:24" x14ac:dyDescent="0.25">
      <c r="B2" s="224" t="s">
        <v>49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</row>
    <row r="3" spans="2:24" x14ac:dyDescent="0.25">
      <c r="B3" s="224" t="s">
        <v>63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</row>
    <row r="4" spans="2:24" x14ac:dyDescent="0.25">
      <c r="B4" s="224" t="s">
        <v>48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</row>
    <row r="5" spans="2:24" ht="4.5" customHeight="1" x14ac:dyDescent="0.25"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6"/>
      <c r="O5" s="98"/>
      <c r="P5" s="98"/>
      <c r="Q5" s="98"/>
      <c r="R5" s="98"/>
      <c r="S5" s="98"/>
    </row>
    <row r="6" spans="2:24" x14ac:dyDescent="0.25">
      <c r="D6" s="228" t="s">
        <v>64</v>
      </c>
      <c r="E6" s="228"/>
      <c r="F6" s="228"/>
      <c r="G6" s="228"/>
      <c r="H6" s="228"/>
      <c r="I6" s="228"/>
      <c r="J6" s="228"/>
      <c r="K6" s="99"/>
      <c r="L6" s="99"/>
    </row>
    <row r="7" spans="2:24" s="12" customFormat="1" ht="46.5" customHeight="1" x14ac:dyDescent="0.25">
      <c r="B7" s="100" t="s">
        <v>3</v>
      </c>
      <c r="C7" s="100" t="s">
        <v>6</v>
      </c>
      <c r="D7" s="103" t="s">
        <v>65</v>
      </c>
      <c r="E7" s="103" t="s">
        <v>66</v>
      </c>
      <c r="F7" s="103" t="s">
        <v>67</v>
      </c>
      <c r="G7" s="103" t="s">
        <v>68</v>
      </c>
      <c r="H7" s="103" t="s">
        <v>69</v>
      </c>
      <c r="I7" s="103" t="s">
        <v>70</v>
      </c>
      <c r="J7" s="103" t="s">
        <v>71</v>
      </c>
      <c r="K7" s="103" t="s">
        <v>72</v>
      </c>
      <c r="L7" s="103" t="s">
        <v>73</v>
      </c>
      <c r="M7" s="101" t="s">
        <v>52</v>
      </c>
      <c r="N7" s="102" t="s">
        <v>12</v>
      </c>
      <c r="O7" s="102" t="s">
        <v>53</v>
      </c>
      <c r="P7" s="100" t="s">
        <v>14</v>
      </c>
      <c r="Q7" s="100" t="s">
        <v>74</v>
      </c>
      <c r="R7" s="100" t="s">
        <v>15</v>
      </c>
      <c r="S7" s="100" t="s">
        <v>59</v>
      </c>
      <c r="T7" s="100" t="s">
        <v>60</v>
      </c>
    </row>
    <row r="8" spans="2:24" ht="19.5" customHeight="1" x14ac:dyDescent="0.25">
      <c r="B8" s="24">
        <v>1</v>
      </c>
      <c r="C8" s="25">
        <v>45764</v>
      </c>
      <c r="D8" s="20"/>
      <c r="E8" s="114"/>
      <c r="F8" s="114"/>
      <c r="G8" s="114"/>
      <c r="H8" s="114"/>
      <c r="I8" s="114"/>
      <c r="J8" s="114"/>
      <c r="K8" s="114"/>
      <c r="L8" s="114">
        <v>1000</v>
      </c>
      <c r="M8" s="20">
        <f>SUM(D8:L8)</f>
        <v>1000</v>
      </c>
      <c r="N8" s="20">
        <v>43</v>
      </c>
      <c r="O8" s="30">
        <f>+M8*N8</f>
        <v>43000</v>
      </c>
      <c r="P8" s="22">
        <v>51</v>
      </c>
      <c r="Q8" s="23">
        <v>43000</v>
      </c>
      <c r="R8" s="104" t="s">
        <v>16</v>
      </c>
      <c r="S8" s="115">
        <v>45762</v>
      </c>
      <c r="T8" s="238"/>
      <c r="U8" s="1" t="s">
        <v>61</v>
      </c>
    </row>
    <row r="9" spans="2:24" ht="19.5" customHeight="1" x14ac:dyDescent="0.25">
      <c r="B9" s="24">
        <f>+B8+1</f>
        <v>2</v>
      </c>
      <c r="C9" s="25">
        <v>45764</v>
      </c>
      <c r="D9" s="20"/>
      <c r="E9" s="114"/>
      <c r="F9" s="114"/>
      <c r="G9" s="114">
        <v>542.70000000000005</v>
      </c>
      <c r="H9" s="114"/>
      <c r="I9" s="114"/>
      <c r="J9" s="114"/>
      <c r="K9" s="114"/>
      <c r="L9" s="114"/>
      <c r="M9" s="20">
        <f t="shared" ref="M9:M10" si="0">SUM(D9:L9)</f>
        <v>542.70000000000005</v>
      </c>
      <c r="N9" s="20">
        <v>43</v>
      </c>
      <c r="O9" s="30">
        <f t="shared" ref="O9:O14" si="1">+M9*N9</f>
        <v>23336.100000000002</v>
      </c>
      <c r="P9" s="22">
        <v>52</v>
      </c>
      <c r="Q9" s="23">
        <v>23336.1</v>
      </c>
      <c r="R9" s="104" t="s">
        <v>16</v>
      </c>
      <c r="S9" s="115">
        <v>45762</v>
      </c>
      <c r="T9" s="239"/>
      <c r="U9" s="1" t="s">
        <v>61</v>
      </c>
    </row>
    <row r="10" spans="2:24" ht="19.5" customHeight="1" x14ac:dyDescent="0.25">
      <c r="B10" s="24">
        <f t="shared" ref="B10:B13" si="2">+B9+1</f>
        <v>3</v>
      </c>
      <c r="C10" s="25">
        <v>45840</v>
      </c>
      <c r="D10" s="20"/>
      <c r="E10" s="114"/>
      <c r="F10" s="114"/>
      <c r="G10" s="114"/>
      <c r="H10" s="114"/>
      <c r="I10" s="114"/>
      <c r="J10" s="114"/>
      <c r="K10" s="114"/>
      <c r="L10" s="114">
        <v>2000</v>
      </c>
      <c r="M10" s="20">
        <f t="shared" si="0"/>
        <v>2000</v>
      </c>
      <c r="N10" s="20">
        <v>43</v>
      </c>
      <c r="O10" s="30">
        <f t="shared" si="1"/>
        <v>86000</v>
      </c>
      <c r="P10" s="22">
        <v>324</v>
      </c>
      <c r="Q10" s="23">
        <v>86000</v>
      </c>
      <c r="R10" s="104" t="s">
        <v>16</v>
      </c>
      <c r="S10" s="115">
        <v>45841</v>
      </c>
      <c r="T10" s="240"/>
      <c r="U10" s="1" t="s">
        <v>61</v>
      </c>
    </row>
    <row r="11" spans="2:24" ht="19.5" customHeight="1" x14ac:dyDescent="0.25">
      <c r="B11" s="24">
        <f t="shared" si="2"/>
        <v>4</v>
      </c>
      <c r="C11" s="25">
        <v>45939</v>
      </c>
      <c r="D11" s="20"/>
      <c r="E11" s="114"/>
      <c r="F11" s="114"/>
      <c r="G11" s="114"/>
      <c r="H11" s="114"/>
      <c r="I11" s="114"/>
      <c r="J11" s="114"/>
      <c r="K11" s="114"/>
      <c r="L11" s="114">
        <v>2323.65</v>
      </c>
      <c r="M11" s="20">
        <f>SUM(D11:L11)</f>
        <v>2323.65</v>
      </c>
      <c r="N11" s="20">
        <v>43</v>
      </c>
      <c r="O11" s="30">
        <f t="shared" si="1"/>
        <v>99916.95</v>
      </c>
      <c r="P11" s="22">
        <v>671</v>
      </c>
      <c r="Q11" s="23">
        <v>99916.95</v>
      </c>
      <c r="R11" s="104" t="s">
        <v>16</v>
      </c>
      <c r="S11" s="115">
        <v>45937</v>
      </c>
      <c r="T11" s="237"/>
      <c r="U11" s="1" t="s">
        <v>61</v>
      </c>
      <c r="X11" s="1">
        <f>+W11/1000</f>
        <v>0</v>
      </c>
    </row>
    <row r="12" spans="2:24" ht="19.5" customHeight="1" x14ac:dyDescent="0.25">
      <c r="B12" s="24">
        <f t="shared" si="2"/>
        <v>5</v>
      </c>
      <c r="C12" s="25">
        <v>45939</v>
      </c>
      <c r="D12" s="114"/>
      <c r="E12" s="20"/>
      <c r="F12" s="114"/>
      <c r="G12" s="114">
        <v>1088.25</v>
      </c>
      <c r="H12" s="114"/>
      <c r="I12" s="114"/>
      <c r="J12" s="114"/>
      <c r="K12" s="114"/>
      <c r="L12" s="114"/>
      <c r="M12" s="20">
        <f t="shared" ref="M12:M21" si="3">SUM(D12:L12)</f>
        <v>1088.25</v>
      </c>
      <c r="N12" s="20">
        <v>50</v>
      </c>
      <c r="O12" s="30">
        <f t="shared" si="1"/>
        <v>54412.5</v>
      </c>
      <c r="P12" s="24">
        <v>673</v>
      </c>
      <c r="Q12" s="23">
        <v>54412.5</v>
      </c>
      <c r="R12" s="104" t="s">
        <v>16</v>
      </c>
      <c r="S12" s="115">
        <v>45937</v>
      </c>
      <c r="T12" s="237"/>
      <c r="U12" s="1" t="s">
        <v>61</v>
      </c>
    </row>
    <row r="13" spans="2:24" ht="19.5" customHeight="1" x14ac:dyDescent="0.25">
      <c r="B13" s="24">
        <f t="shared" si="2"/>
        <v>6</v>
      </c>
      <c r="C13" s="25">
        <v>45969</v>
      </c>
      <c r="D13" s="114"/>
      <c r="E13" s="114"/>
      <c r="F13" s="114"/>
      <c r="G13" s="20"/>
      <c r="H13" s="20"/>
      <c r="I13" s="20"/>
      <c r="J13" s="114">
        <v>302.10000000000002</v>
      </c>
      <c r="K13" s="114"/>
      <c r="L13" s="114"/>
      <c r="M13" s="20">
        <f>SUM(D13:L13)</f>
        <v>302.10000000000002</v>
      </c>
      <c r="N13" s="20">
        <v>49</v>
      </c>
      <c r="O13" s="30">
        <f t="shared" si="1"/>
        <v>14802.900000000001</v>
      </c>
      <c r="P13" s="24">
        <v>781</v>
      </c>
      <c r="Q13" s="23">
        <v>14802.9</v>
      </c>
      <c r="R13" s="104" t="s">
        <v>16</v>
      </c>
      <c r="S13" s="115">
        <v>45971</v>
      </c>
      <c r="T13" s="237"/>
      <c r="U13" s="1" t="s">
        <v>61</v>
      </c>
    </row>
    <row r="14" spans="2:24" ht="19.5" customHeight="1" x14ac:dyDescent="0.25">
      <c r="B14" s="24">
        <f>+B13+1</f>
        <v>7</v>
      </c>
      <c r="C14" s="25">
        <v>46016</v>
      </c>
      <c r="D14" s="114"/>
      <c r="E14" s="114"/>
      <c r="F14" s="114"/>
      <c r="G14" s="20"/>
      <c r="H14" s="20"/>
      <c r="I14" s="20"/>
      <c r="J14" s="114"/>
      <c r="K14" s="114"/>
      <c r="L14" s="114">
        <v>229.8</v>
      </c>
      <c r="M14" s="20">
        <f t="shared" si="3"/>
        <v>229.8</v>
      </c>
      <c r="N14" s="20">
        <v>0</v>
      </c>
      <c r="O14" s="30">
        <f t="shared" si="1"/>
        <v>0</v>
      </c>
      <c r="P14" s="24" t="s">
        <v>105</v>
      </c>
      <c r="Q14" s="23">
        <v>0</v>
      </c>
      <c r="R14" s="104" t="s">
        <v>154</v>
      </c>
      <c r="S14" s="191" t="s">
        <v>105</v>
      </c>
      <c r="T14" s="237"/>
    </row>
    <row r="15" spans="2:24" ht="19.5" customHeight="1" x14ac:dyDescent="0.25">
      <c r="B15" s="24">
        <f t="shared" ref="B15:B21" si="4">+B14+1</f>
        <v>8</v>
      </c>
      <c r="C15" s="25">
        <v>46041</v>
      </c>
      <c r="D15" s="116"/>
      <c r="E15" s="116"/>
      <c r="F15" s="116"/>
      <c r="G15" s="116"/>
      <c r="H15" s="116"/>
      <c r="I15" s="116"/>
      <c r="J15" s="116"/>
      <c r="K15" s="116"/>
      <c r="L15" s="116">
        <v>1041.4000000000001</v>
      </c>
      <c r="M15" s="20">
        <f t="shared" si="3"/>
        <v>1041.4000000000001</v>
      </c>
      <c r="N15" s="116">
        <v>48</v>
      </c>
      <c r="O15" s="28">
        <f>+M15*N15</f>
        <v>49987.200000000004</v>
      </c>
      <c r="P15" s="24">
        <v>1046</v>
      </c>
      <c r="Q15" s="23">
        <v>49987.199999999997</v>
      </c>
      <c r="R15" s="104" t="s">
        <v>16</v>
      </c>
      <c r="S15" s="115">
        <v>46051</v>
      </c>
      <c r="T15" s="105"/>
      <c r="U15" s="1" t="s">
        <v>61</v>
      </c>
    </row>
    <row r="16" spans="2:24" ht="19.5" customHeight="1" x14ac:dyDescent="0.25">
      <c r="B16" s="24">
        <f t="shared" si="4"/>
        <v>9</v>
      </c>
      <c r="C16" s="25">
        <v>46136</v>
      </c>
      <c r="D16" s="20"/>
      <c r="E16" s="114"/>
      <c r="F16" s="114"/>
      <c r="G16" s="114"/>
      <c r="H16" s="114"/>
      <c r="I16" s="114"/>
      <c r="J16" s="114"/>
      <c r="K16" s="114"/>
      <c r="L16" s="114">
        <v>2000</v>
      </c>
      <c r="M16" s="20">
        <f t="shared" si="3"/>
        <v>2000</v>
      </c>
      <c r="N16" s="20">
        <v>45</v>
      </c>
      <c r="O16" s="28">
        <f>+M16*N16</f>
        <v>90000</v>
      </c>
      <c r="P16" s="24">
        <v>77</v>
      </c>
      <c r="Q16" s="23">
        <v>90000</v>
      </c>
      <c r="R16" s="104" t="s">
        <v>16</v>
      </c>
      <c r="S16" s="115">
        <v>46135</v>
      </c>
      <c r="T16" s="105"/>
      <c r="U16" s="1" t="s">
        <v>61</v>
      </c>
    </row>
    <row r="17" spans="2:20" ht="19.5" customHeight="1" x14ac:dyDescent="0.25">
      <c r="B17" s="24">
        <f t="shared" si="4"/>
        <v>10</v>
      </c>
      <c r="C17" s="25">
        <v>46155</v>
      </c>
      <c r="D17" s="116"/>
      <c r="E17" s="116"/>
      <c r="F17" s="116"/>
      <c r="G17" s="116">
        <v>1090.05</v>
      </c>
      <c r="H17" s="116"/>
      <c r="I17" s="116"/>
      <c r="J17" s="116"/>
      <c r="K17" s="116">
        <v>527.95000000000005</v>
      </c>
      <c r="L17" s="116"/>
      <c r="M17" s="20">
        <f t="shared" si="3"/>
        <v>1618</v>
      </c>
      <c r="N17" s="116">
        <v>46</v>
      </c>
      <c r="O17" s="28">
        <f t="shared" ref="O17" si="5">+M17*N17</f>
        <v>74428</v>
      </c>
      <c r="P17" s="24">
        <v>172</v>
      </c>
      <c r="Q17" s="23"/>
      <c r="R17" s="104"/>
      <c r="S17" s="115"/>
      <c r="T17" s="105"/>
    </row>
    <row r="18" spans="2:20" ht="19.5" customHeight="1" x14ac:dyDescent="0.25">
      <c r="B18" s="24">
        <f t="shared" si="4"/>
        <v>11</v>
      </c>
      <c r="C18" s="25"/>
      <c r="D18" s="116"/>
      <c r="E18" s="116"/>
      <c r="F18" s="116"/>
      <c r="G18" s="116"/>
      <c r="H18" s="116"/>
      <c r="I18" s="116"/>
      <c r="J18" s="116"/>
      <c r="K18" s="116"/>
      <c r="L18" s="116">
        <v>1301.1500000000001</v>
      </c>
      <c r="M18" s="20">
        <f t="shared" si="3"/>
        <v>1301.1500000000001</v>
      </c>
      <c r="N18" s="116">
        <v>45</v>
      </c>
      <c r="O18" s="28">
        <f>+M18*N18</f>
        <v>58551.750000000007</v>
      </c>
      <c r="P18" s="24">
        <v>361</v>
      </c>
      <c r="Q18" s="23"/>
      <c r="R18" s="104"/>
      <c r="S18" s="115"/>
      <c r="T18" s="105"/>
    </row>
    <row r="19" spans="2:20" ht="19.5" customHeight="1" x14ac:dyDescent="0.25">
      <c r="B19" s="24">
        <f t="shared" si="4"/>
        <v>12</v>
      </c>
      <c r="C19" s="25"/>
      <c r="D19" s="116"/>
      <c r="E19" s="116"/>
      <c r="F19" s="116"/>
      <c r="G19" s="116"/>
      <c r="H19" s="116"/>
      <c r="I19" s="116"/>
      <c r="J19" s="116"/>
      <c r="K19" s="116"/>
      <c r="L19" s="116"/>
      <c r="M19" s="20">
        <f t="shared" si="3"/>
        <v>0</v>
      </c>
      <c r="N19" s="116"/>
      <c r="O19" s="28">
        <f>+M19*N19</f>
        <v>0</v>
      </c>
      <c r="P19" s="24"/>
      <c r="Q19" s="23"/>
      <c r="R19" s="104"/>
      <c r="S19" s="115"/>
      <c r="T19" s="105"/>
    </row>
    <row r="20" spans="2:20" ht="19.5" customHeight="1" x14ac:dyDescent="0.25">
      <c r="B20" s="24">
        <f t="shared" si="4"/>
        <v>13</v>
      </c>
      <c r="C20" s="25"/>
      <c r="D20" s="116"/>
      <c r="E20" s="116"/>
      <c r="F20" s="116"/>
      <c r="G20" s="116"/>
      <c r="H20" s="116"/>
      <c r="I20" s="116"/>
      <c r="J20" s="116"/>
      <c r="K20" s="116"/>
      <c r="L20" s="116"/>
      <c r="M20" s="20">
        <f t="shared" si="3"/>
        <v>0</v>
      </c>
      <c r="N20" s="116"/>
      <c r="O20" s="28">
        <f>+M20*N20</f>
        <v>0</v>
      </c>
      <c r="P20" s="24"/>
      <c r="Q20" s="23"/>
      <c r="R20" s="104"/>
      <c r="S20" s="115"/>
      <c r="T20" s="105"/>
    </row>
    <row r="21" spans="2:20" ht="19.5" customHeight="1" x14ac:dyDescent="0.25">
      <c r="B21" s="24">
        <f t="shared" si="4"/>
        <v>14</v>
      </c>
      <c r="C21" s="25"/>
      <c r="D21" s="116"/>
      <c r="E21" s="116"/>
      <c r="F21" s="116"/>
      <c r="G21" s="116"/>
      <c r="H21" s="116"/>
      <c r="I21" s="116"/>
      <c r="J21" s="116"/>
      <c r="K21" s="116"/>
      <c r="L21" s="116"/>
      <c r="M21" s="20">
        <f t="shared" si="3"/>
        <v>0</v>
      </c>
      <c r="N21" s="116"/>
      <c r="O21" s="28"/>
      <c r="P21" s="24"/>
      <c r="Q21" s="23"/>
      <c r="R21" s="104"/>
      <c r="S21" s="115"/>
      <c r="T21" s="105"/>
    </row>
    <row r="22" spans="2:20" ht="19.5" customHeight="1" x14ac:dyDescent="0.25">
      <c r="B22" s="221" t="s">
        <v>21</v>
      </c>
      <c r="C22" s="223"/>
      <c r="D22" s="32">
        <f>SUM(D8:D21)</f>
        <v>0</v>
      </c>
      <c r="E22" s="32">
        <f t="shared" ref="E22:M22" si="6">SUM(E8:E21)</f>
        <v>0</v>
      </c>
      <c r="F22" s="32">
        <f t="shared" si="6"/>
        <v>0</v>
      </c>
      <c r="G22" s="32">
        <f t="shared" si="6"/>
        <v>2721</v>
      </c>
      <c r="H22" s="32">
        <f t="shared" si="6"/>
        <v>0</v>
      </c>
      <c r="I22" s="32">
        <f t="shared" si="6"/>
        <v>0</v>
      </c>
      <c r="J22" s="32">
        <f t="shared" si="6"/>
        <v>302.10000000000002</v>
      </c>
      <c r="K22" s="32">
        <f t="shared" si="6"/>
        <v>527.95000000000005</v>
      </c>
      <c r="L22" s="32">
        <f t="shared" si="6"/>
        <v>9896</v>
      </c>
      <c r="M22" s="32">
        <f t="shared" si="6"/>
        <v>13447.050000000001</v>
      </c>
      <c r="N22" s="121"/>
      <c r="O22" s="32">
        <f>SUM(O8:O21)</f>
        <v>594435.4</v>
      </c>
      <c r="P22" s="33"/>
      <c r="Q22" s="32">
        <f>SUM(Q8:Q21)</f>
        <v>461455.65</v>
      </c>
      <c r="R22" s="122"/>
      <c r="S22" s="85"/>
      <c r="T22" s="105"/>
    </row>
    <row r="23" spans="2:20" ht="18" x14ac:dyDescent="0.25">
      <c r="Q23" s="123">
        <f>+O22-Q22</f>
        <v>132979.75</v>
      </c>
      <c r="R23" s="236" t="s">
        <v>75</v>
      </c>
      <c r="S23" s="236"/>
    </row>
  </sheetData>
  <mergeCells count="9">
    <mergeCell ref="R23:S23"/>
    <mergeCell ref="B22:C22"/>
    <mergeCell ref="T13:T14"/>
    <mergeCell ref="B2:S2"/>
    <mergeCell ref="B3:S3"/>
    <mergeCell ref="B4:S4"/>
    <mergeCell ref="D6:J6"/>
    <mergeCell ref="T8:T10"/>
    <mergeCell ref="T11:T1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97B4-6F27-435F-B1AF-EE7B64263CE5}">
  <dimension ref="B2:W31"/>
  <sheetViews>
    <sheetView topLeftCell="B1" workbookViewId="0">
      <pane xSplit="3" ySplit="7" topLeftCell="E8" activePane="bottomRight" state="frozen"/>
      <selection activeCell="A20" sqref="A20"/>
      <selection pane="topRight" activeCell="A20" sqref="A20"/>
      <selection pane="bottomLeft" activeCell="A20" sqref="A20"/>
      <selection pane="bottomRight" activeCell="K9" sqref="K9"/>
    </sheetView>
  </sheetViews>
  <sheetFormatPr baseColWidth="10" defaultRowHeight="14.25" x14ac:dyDescent="0.25"/>
  <cols>
    <col min="1" max="1" width="5.42578125" style="1" customWidth="1"/>
    <col min="2" max="2" width="4.140625" style="1" customWidth="1"/>
    <col min="3" max="4" width="12.7109375" style="1" customWidth="1"/>
    <col min="5" max="13" width="14.42578125" style="1" customWidth="1"/>
    <col min="14" max="14" width="11.5703125" style="1" bestFit="1" customWidth="1"/>
    <col min="15" max="15" width="13.42578125" style="1" bestFit="1" customWidth="1"/>
    <col min="16" max="16" width="15.140625" style="1" customWidth="1"/>
    <col min="17" max="17" width="14.5703125" style="1" customWidth="1"/>
    <col min="18" max="18" width="14.85546875" style="1" customWidth="1"/>
    <col min="19" max="19" width="13" style="1" bestFit="1" customWidth="1"/>
    <col min="20" max="20" width="4.85546875" style="1" customWidth="1"/>
    <col min="21" max="21" width="9.5703125" style="1" customWidth="1"/>
    <col min="22" max="16384" width="11.42578125" style="1"/>
  </cols>
  <sheetData>
    <row r="2" spans="2:23" x14ac:dyDescent="0.25">
      <c r="B2" s="224" t="s">
        <v>49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</row>
    <row r="3" spans="2:23" x14ac:dyDescent="0.25">
      <c r="B3" s="224" t="s">
        <v>76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2:23" x14ac:dyDescent="0.25">
      <c r="B4" s="224" t="s">
        <v>48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</row>
    <row r="5" spans="2:23" x14ac:dyDescent="0.25">
      <c r="B5" s="98"/>
      <c r="C5" s="98"/>
      <c r="D5" s="98"/>
      <c r="E5" s="98"/>
      <c r="F5" s="98"/>
      <c r="G5" s="98"/>
      <c r="H5" s="98"/>
      <c r="I5" s="98"/>
      <c r="J5" s="98"/>
      <c r="K5" s="185"/>
      <c r="L5" s="185"/>
      <c r="M5" s="98"/>
      <c r="N5" s="98"/>
      <c r="O5" s="98"/>
      <c r="P5" s="98"/>
      <c r="Q5" s="98"/>
      <c r="R5" s="98"/>
    </row>
    <row r="6" spans="2:23" x14ac:dyDescent="0.25">
      <c r="E6" s="228" t="s">
        <v>51</v>
      </c>
      <c r="F6" s="228"/>
      <c r="G6" s="228"/>
      <c r="H6" s="228"/>
      <c r="I6" s="228"/>
      <c r="J6" s="228"/>
      <c r="K6" s="228"/>
      <c r="L6" s="228"/>
      <c r="M6" s="228"/>
    </row>
    <row r="7" spans="2:23" s="12" customFormat="1" ht="42.75" x14ac:dyDescent="0.25">
      <c r="B7" s="100" t="s">
        <v>3</v>
      </c>
      <c r="C7" s="100" t="s">
        <v>6</v>
      </c>
      <c r="D7" s="100" t="s">
        <v>77</v>
      </c>
      <c r="E7" s="103" t="s">
        <v>78</v>
      </c>
      <c r="F7" s="103" t="s">
        <v>79</v>
      </c>
      <c r="G7" s="103" t="s">
        <v>80</v>
      </c>
      <c r="H7" s="103" t="s">
        <v>81</v>
      </c>
      <c r="I7" s="103" t="s">
        <v>82</v>
      </c>
      <c r="J7" s="103" t="s">
        <v>158</v>
      </c>
      <c r="K7" s="103" t="s">
        <v>83</v>
      </c>
      <c r="L7" s="103" t="s">
        <v>157</v>
      </c>
      <c r="M7" s="103" t="s">
        <v>152</v>
      </c>
      <c r="N7" s="101" t="s">
        <v>52</v>
      </c>
      <c r="O7" s="102" t="s">
        <v>12</v>
      </c>
      <c r="P7" s="100" t="s">
        <v>84</v>
      </c>
      <c r="Q7" s="100" t="s">
        <v>15</v>
      </c>
      <c r="R7" s="100" t="s">
        <v>59</v>
      </c>
    </row>
    <row r="8" spans="2:23" ht="19.5" customHeight="1" x14ac:dyDescent="0.25">
      <c r="B8" s="85">
        <v>1</v>
      </c>
      <c r="C8" s="26">
        <v>45998</v>
      </c>
      <c r="D8" s="24">
        <v>225</v>
      </c>
      <c r="E8" s="21"/>
      <c r="F8" s="21"/>
      <c r="G8" s="21"/>
      <c r="H8" s="21"/>
      <c r="I8" s="21"/>
      <c r="J8" s="21">
        <v>206.4</v>
      </c>
      <c r="K8" s="187"/>
      <c r="L8" s="187">
        <v>300.89999999999998</v>
      </c>
      <c r="M8" s="21">
        <v>250.8</v>
      </c>
      <c r="N8" s="21">
        <f>SUM(E8:M8)</f>
        <v>758.09999999999991</v>
      </c>
      <c r="O8" s="21">
        <v>29</v>
      </c>
      <c r="P8" s="23">
        <f>+N8*O8</f>
        <v>21984.899999999998</v>
      </c>
      <c r="Q8" s="104" t="s">
        <v>16</v>
      </c>
      <c r="R8" s="124"/>
    </row>
    <row r="9" spans="2:23" ht="19.5" customHeight="1" x14ac:dyDescent="0.25">
      <c r="B9" s="85">
        <f>1+B8</f>
        <v>2</v>
      </c>
      <c r="C9" s="26">
        <v>46127</v>
      </c>
      <c r="D9" s="24">
        <v>310</v>
      </c>
      <c r="E9" s="21"/>
      <c r="F9" s="21">
        <v>297.2</v>
      </c>
      <c r="G9" s="21"/>
      <c r="H9" s="21"/>
      <c r="I9" s="21"/>
      <c r="J9" s="21"/>
      <c r="K9" s="187">
        <v>298.2</v>
      </c>
      <c r="L9" s="187">
        <v>300.60000000000002</v>
      </c>
      <c r="M9" s="21"/>
      <c r="N9" s="192">
        <f>SUM(E9:M9)</f>
        <v>896</v>
      </c>
      <c r="O9" s="192">
        <v>29</v>
      </c>
      <c r="P9" s="23">
        <f t="shared" ref="P9:P26" si="0">+N9*O9</f>
        <v>25984</v>
      </c>
      <c r="Q9" s="104"/>
      <c r="R9" s="124"/>
      <c r="U9" s="31">
        <f>SUM(G9:H10)</f>
        <v>305.8</v>
      </c>
      <c r="V9" s="1">
        <f>+U9*4</f>
        <v>1223.2</v>
      </c>
      <c r="W9" s="1">
        <f>+V9/1000</f>
        <v>1.2232000000000001</v>
      </c>
    </row>
    <row r="10" spans="2:23" ht="19.5" customHeight="1" x14ac:dyDescent="0.25">
      <c r="B10" s="85">
        <f t="shared" ref="B10:B26" si="1">1+B9</f>
        <v>3</v>
      </c>
      <c r="C10" s="26">
        <v>46127</v>
      </c>
      <c r="D10" s="24">
        <v>310</v>
      </c>
      <c r="E10" s="21"/>
      <c r="F10" s="21"/>
      <c r="G10" s="21"/>
      <c r="H10" s="21">
        <v>305.8</v>
      </c>
      <c r="I10" s="21">
        <v>201.4</v>
      </c>
      <c r="J10" s="21"/>
      <c r="K10" s="187"/>
      <c r="L10" s="187"/>
      <c r="M10" s="21"/>
      <c r="N10" s="21">
        <f>SUM(E10:M10)</f>
        <v>507.20000000000005</v>
      </c>
      <c r="O10" s="21">
        <v>35.5</v>
      </c>
      <c r="P10" s="23">
        <f t="shared" si="0"/>
        <v>18005.600000000002</v>
      </c>
      <c r="Q10" s="104"/>
      <c r="R10" s="124"/>
    </row>
    <row r="11" spans="2:23" ht="19.5" hidden="1" customHeight="1" x14ac:dyDescent="0.25">
      <c r="B11" s="85">
        <f t="shared" si="1"/>
        <v>4</v>
      </c>
      <c r="C11" s="26"/>
      <c r="D11" s="24"/>
      <c r="E11" s="21"/>
      <c r="F11" s="21"/>
      <c r="G11" s="21"/>
      <c r="H11" s="21"/>
      <c r="I11" s="21"/>
      <c r="J11" s="21"/>
      <c r="K11" s="187"/>
      <c r="L11" s="187"/>
      <c r="M11" s="21"/>
      <c r="N11" s="21">
        <f t="shared" ref="N11:N26" si="2">SUM(E11:M11)</f>
        <v>0</v>
      </c>
      <c r="O11" s="21"/>
      <c r="P11" s="23">
        <f t="shared" si="0"/>
        <v>0</v>
      </c>
      <c r="Q11" s="104"/>
      <c r="R11" s="124"/>
    </row>
    <row r="12" spans="2:23" ht="19.5" hidden="1" customHeight="1" x14ac:dyDescent="0.25">
      <c r="B12" s="85">
        <f t="shared" si="1"/>
        <v>5</v>
      </c>
      <c r="C12" s="18"/>
      <c r="D12" s="24"/>
      <c r="E12" s="21"/>
      <c r="F12" s="21"/>
      <c r="G12" s="21"/>
      <c r="H12" s="21"/>
      <c r="I12" s="21"/>
      <c r="J12" s="21"/>
      <c r="K12" s="187"/>
      <c r="L12" s="187"/>
      <c r="M12" s="21"/>
      <c r="N12" s="21">
        <f t="shared" si="2"/>
        <v>0</v>
      </c>
      <c r="O12" s="21"/>
      <c r="P12" s="23">
        <f t="shared" si="0"/>
        <v>0</v>
      </c>
      <c r="Q12" s="104"/>
      <c r="R12" s="125"/>
    </row>
    <row r="13" spans="2:23" ht="19.5" hidden="1" customHeight="1" x14ac:dyDescent="0.25">
      <c r="B13" s="85">
        <f t="shared" si="1"/>
        <v>6</v>
      </c>
      <c r="C13" s="18"/>
      <c r="D13" s="24"/>
      <c r="E13" s="21"/>
      <c r="F13" s="21"/>
      <c r="G13" s="21"/>
      <c r="H13" s="21"/>
      <c r="I13" s="21"/>
      <c r="J13" s="21"/>
      <c r="K13" s="187"/>
      <c r="L13" s="187"/>
      <c r="M13" s="21"/>
      <c r="N13" s="21">
        <f t="shared" si="2"/>
        <v>0</v>
      </c>
      <c r="O13" s="21"/>
      <c r="P13" s="23">
        <f t="shared" si="0"/>
        <v>0</v>
      </c>
      <c r="Q13" s="217"/>
      <c r="R13" s="244"/>
      <c r="S13" s="241"/>
    </row>
    <row r="14" spans="2:23" ht="19.5" hidden="1" customHeight="1" x14ac:dyDescent="0.25">
      <c r="B14" s="85">
        <f t="shared" si="1"/>
        <v>7</v>
      </c>
      <c r="C14" s="18"/>
      <c r="D14" s="24"/>
      <c r="E14" s="21"/>
      <c r="F14" s="21"/>
      <c r="G14" s="21"/>
      <c r="H14" s="21"/>
      <c r="I14" s="21"/>
      <c r="J14" s="21"/>
      <c r="K14" s="187"/>
      <c r="L14" s="187"/>
      <c r="M14" s="21"/>
      <c r="N14" s="21">
        <f t="shared" si="2"/>
        <v>0</v>
      </c>
      <c r="O14" s="21"/>
      <c r="P14" s="23">
        <f t="shared" si="0"/>
        <v>0</v>
      </c>
      <c r="Q14" s="218"/>
      <c r="R14" s="245"/>
      <c r="S14" s="241"/>
    </row>
    <row r="15" spans="2:23" ht="19.5" hidden="1" customHeight="1" x14ac:dyDescent="0.25">
      <c r="B15" s="85">
        <f t="shared" si="1"/>
        <v>8</v>
      </c>
      <c r="C15" s="18"/>
      <c r="D15" s="24"/>
      <c r="E15" s="21"/>
      <c r="F15" s="21"/>
      <c r="G15" s="21"/>
      <c r="H15" s="21"/>
      <c r="I15" s="21"/>
      <c r="J15" s="21"/>
      <c r="K15" s="187"/>
      <c r="L15" s="187"/>
      <c r="M15" s="21"/>
      <c r="N15" s="21">
        <f t="shared" si="2"/>
        <v>0</v>
      </c>
      <c r="O15" s="21"/>
      <c r="P15" s="23">
        <f t="shared" si="0"/>
        <v>0</v>
      </c>
      <c r="Q15" s="104"/>
      <c r="R15" s="125"/>
    </row>
    <row r="16" spans="2:23" ht="19.5" hidden="1" customHeight="1" x14ac:dyDescent="0.25">
      <c r="B16" s="85">
        <f t="shared" si="1"/>
        <v>9</v>
      </c>
      <c r="C16" s="26"/>
      <c r="D16" s="24"/>
      <c r="E16" s="21"/>
      <c r="F16" s="21"/>
      <c r="G16" s="21"/>
      <c r="H16" s="21"/>
      <c r="I16" s="21"/>
      <c r="J16" s="21"/>
      <c r="K16" s="187"/>
      <c r="L16" s="187"/>
      <c r="M16" s="21"/>
      <c r="N16" s="21">
        <f t="shared" si="2"/>
        <v>0</v>
      </c>
      <c r="O16" s="21"/>
      <c r="P16" s="23">
        <f t="shared" si="0"/>
        <v>0</v>
      </c>
      <c r="Q16" s="104"/>
      <c r="R16" s="18"/>
    </row>
    <row r="17" spans="2:20" ht="19.5" hidden="1" customHeight="1" x14ac:dyDescent="0.25">
      <c r="B17" s="85">
        <f t="shared" si="1"/>
        <v>10</v>
      </c>
      <c r="C17" s="26"/>
      <c r="D17" s="24"/>
      <c r="E17" s="21"/>
      <c r="F17" s="21"/>
      <c r="G17" s="21"/>
      <c r="H17" s="21"/>
      <c r="I17" s="21"/>
      <c r="J17" s="21"/>
      <c r="K17" s="187"/>
      <c r="L17" s="187"/>
      <c r="M17" s="21"/>
      <c r="N17" s="21">
        <f t="shared" si="2"/>
        <v>0</v>
      </c>
      <c r="O17" s="21"/>
      <c r="P17" s="23">
        <f t="shared" si="0"/>
        <v>0</v>
      </c>
      <c r="Q17" s="104"/>
      <c r="R17" s="205"/>
      <c r="S17" s="242"/>
      <c r="T17" s="243"/>
    </row>
    <row r="18" spans="2:20" ht="19.5" hidden="1" customHeight="1" x14ac:dyDescent="0.25">
      <c r="B18" s="85">
        <f t="shared" si="1"/>
        <v>11</v>
      </c>
      <c r="C18" s="26"/>
      <c r="D18" s="24"/>
      <c r="E18" s="21"/>
      <c r="F18" s="21"/>
      <c r="G18" s="21"/>
      <c r="H18" s="21"/>
      <c r="I18" s="21"/>
      <c r="J18" s="21"/>
      <c r="K18" s="187"/>
      <c r="L18" s="187"/>
      <c r="M18" s="21"/>
      <c r="N18" s="21">
        <f t="shared" si="2"/>
        <v>0</v>
      </c>
      <c r="O18" s="21"/>
      <c r="P18" s="23">
        <f t="shared" si="0"/>
        <v>0</v>
      </c>
      <c r="Q18" s="104"/>
      <c r="R18" s="207"/>
      <c r="S18" s="242"/>
      <c r="T18" s="243"/>
    </row>
    <row r="19" spans="2:20" ht="19.5" hidden="1" customHeight="1" x14ac:dyDescent="0.25">
      <c r="B19" s="85">
        <f t="shared" si="1"/>
        <v>12</v>
      </c>
      <c r="C19" s="26"/>
      <c r="D19" s="24"/>
      <c r="E19" s="21"/>
      <c r="F19" s="21"/>
      <c r="G19" s="21"/>
      <c r="H19" s="21"/>
      <c r="I19" s="21"/>
      <c r="J19" s="21"/>
      <c r="K19" s="187"/>
      <c r="L19" s="187"/>
      <c r="M19" s="21"/>
      <c r="N19" s="21">
        <f t="shared" si="2"/>
        <v>0</v>
      </c>
      <c r="O19" s="21"/>
      <c r="P19" s="23">
        <f t="shared" si="0"/>
        <v>0</v>
      </c>
      <c r="Q19" s="104"/>
      <c r="R19" s="18"/>
    </row>
    <row r="20" spans="2:20" ht="19.5" hidden="1" customHeight="1" x14ac:dyDescent="0.25">
      <c r="B20" s="85">
        <f t="shared" si="1"/>
        <v>13</v>
      </c>
      <c r="C20" s="26"/>
      <c r="D20" s="24"/>
      <c r="E20" s="21"/>
      <c r="F20" s="21"/>
      <c r="G20" s="21"/>
      <c r="H20" s="21"/>
      <c r="I20" s="21"/>
      <c r="J20" s="21"/>
      <c r="K20" s="187"/>
      <c r="L20" s="187"/>
      <c r="M20" s="21"/>
      <c r="N20" s="21">
        <f t="shared" si="2"/>
        <v>0</v>
      </c>
      <c r="O20" s="21"/>
      <c r="P20" s="23">
        <f t="shared" si="0"/>
        <v>0</v>
      </c>
      <c r="Q20" s="104"/>
      <c r="R20" s="18"/>
    </row>
    <row r="21" spans="2:20" ht="19.5" hidden="1" customHeight="1" x14ac:dyDescent="0.25">
      <c r="B21" s="85">
        <f t="shared" si="1"/>
        <v>14</v>
      </c>
      <c r="C21" s="26"/>
      <c r="D21" s="24"/>
      <c r="E21" s="21"/>
      <c r="F21" s="21"/>
      <c r="G21" s="21"/>
      <c r="H21" s="21"/>
      <c r="I21" s="21"/>
      <c r="J21" s="21"/>
      <c r="K21" s="187"/>
      <c r="L21" s="187"/>
      <c r="M21" s="21"/>
      <c r="N21" s="21">
        <f t="shared" si="2"/>
        <v>0</v>
      </c>
      <c r="O21" s="21"/>
      <c r="P21" s="23">
        <f t="shared" si="0"/>
        <v>0</v>
      </c>
      <c r="Q21" s="104"/>
      <c r="R21" s="18"/>
    </row>
    <row r="22" spans="2:20" ht="19.5" hidden="1" customHeight="1" x14ac:dyDescent="0.25">
      <c r="B22" s="85">
        <f t="shared" si="1"/>
        <v>15</v>
      </c>
      <c r="C22" s="26"/>
      <c r="D22" s="24"/>
      <c r="E22" s="21"/>
      <c r="F22" s="21"/>
      <c r="G22" s="21"/>
      <c r="H22" s="21"/>
      <c r="I22" s="21"/>
      <c r="J22" s="21"/>
      <c r="K22" s="187"/>
      <c r="L22" s="187"/>
      <c r="M22" s="21"/>
      <c r="N22" s="21">
        <f t="shared" si="2"/>
        <v>0</v>
      </c>
      <c r="O22" s="21"/>
      <c r="P22" s="23">
        <f t="shared" si="0"/>
        <v>0</v>
      </c>
      <c r="Q22" s="104"/>
      <c r="R22" s="18"/>
    </row>
    <row r="23" spans="2:20" ht="19.5" hidden="1" customHeight="1" x14ac:dyDescent="0.25">
      <c r="B23" s="85">
        <f t="shared" si="1"/>
        <v>16</v>
      </c>
      <c r="C23" s="26"/>
      <c r="D23" s="24"/>
      <c r="E23" s="21"/>
      <c r="F23" s="21"/>
      <c r="G23" s="21"/>
      <c r="H23" s="21"/>
      <c r="I23" s="21"/>
      <c r="J23" s="21"/>
      <c r="K23" s="187"/>
      <c r="L23" s="187"/>
      <c r="M23" s="21"/>
      <c r="N23" s="21">
        <f t="shared" si="2"/>
        <v>0</v>
      </c>
      <c r="O23" s="21"/>
      <c r="P23" s="23">
        <f t="shared" si="0"/>
        <v>0</v>
      </c>
      <c r="Q23" s="104"/>
      <c r="R23" s="18"/>
    </row>
    <row r="24" spans="2:20" ht="19.5" hidden="1" customHeight="1" x14ac:dyDescent="0.25">
      <c r="B24" s="85">
        <f t="shared" si="1"/>
        <v>17</v>
      </c>
      <c r="C24" s="26"/>
      <c r="D24" s="24"/>
      <c r="E24" s="21"/>
      <c r="F24" s="21"/>
      <c r="G24" s="21"/>
      <c r="H24" s="21"/>
      <c r="I24" s="21"/>
      <c r="J24" s="21"/>
      <c r="K24" s="187"/>
      <c r="L24" s="187"/>
      <c r="M24" s="21"/>
      <c r="N24" s="21">
        <f t="shared" si="2"/>
        <v>0</v>
      </c>
      <c r="O24" s="21"/>
      <c r="P24" s="23">
        <f t="shared" si="0"/>
        <v>0</v>
      </c>
      <c r="Q24" s="104"/>
      <c r="R24" s="18"/>
    </row>
    <row r="25" spans="2:20" ht="19.5" hidden="1" customHeight="1" x14ac:dyDescent="0.25">
      <c r="B25" s="85">
        <f t="shared" si="1"/>
        <v>18</v>
      </c>
      <c r="C25" s="26"/>
      <c r="D25" s="24"/>
      <c r="E25" s="21"/>
      <c r="F25" s="21"/>
      <c r="G25" s="21"/>
      <c r="H25" s="21"/>
      <c r="I25" s="21"/>
      <c r="J25" s="21"/>
      <c r="K25" s="187"/>
      <c r="L25" s="187"/>
      <c r="M25" s="21"/>
      <c r="N25" s="21">
        <f t="shared" si="2"/>
        <v>0</v>
      </c>
      <c r="O25" s="21"/>
      <c r="P25" s="23">
        <f t="shared" si="0"/>
        <v>0</v>
      </c>
      <c r="Q25" s="104"/>
      <c r="R25" s="18"/>
    </row>
    <row r="26" spans="2:20" ht="19.5" customHeight="1" x14ac:dyDescent="0.25">
      <c r="B26" s="85">
        <f t="shared" si="1"/>
        <v>19</v>
      </c>
      <c r="C26" s="26"/>
      <c r="D26" s="24"/>
      <c r="E26" s="21"/>
      <c r="F26" s="21"/>
      <c r="G26" s="21"/>
      <c r="H26" s="21"/>
      <c r="I26" s="21"/>
      <c r="J26" s="21"/>
      <c r="K26" s="187"/>
      <c r="L26" s="187"/>
      <c r="M26" s="21"/>
      <c r="N26" s="21">
        <f t="shared" si="2"/>
        <v>0</v>
      </c>
      <c r="O26" s="21"/>
      <c r="P26" s="23">
        <f t="shared" si="0"/>
        <v>0</v>
      </c>
      <c r="Q26" s="104"/>
      <c r="R26" s="18"/>
    </row>
    <row r="27" spans="2:20" ht="19.5" customHeight="1" x14ac:dyDescent="0.25">
      <c r="B27" s="221" t="s">
        <v>21</v>
      </c>
      <c r="C27" s="223"/>
      <c r="D27" s="95"/>
      <c r="E27" s="32">
        <f t="shared" ref="E27:N27" si="3">SUM(E8:E26)</f>
        <v>0</v>
      </c>
      <c r="F27" s="32"/>
      <c r="G27" s="32">
        <f t="shared" si="3"/>
        <v>0</v>
      </c>
      <c r="H27" s="32">
        <f t="shared" si="3"/>
        <v>305.8</v>
      </c>
      <c r="I27" s="32">
        <f t="shared" si="3"/>
        <v>201.4</v>
      </c>
      <c r="J27" s="32">
        <f t="shared" si="3"/>
        <v>206.4</v>
      </c>
      <c r="K27" s="32">
        <f t="shared" ref="K27:L27" si="4">SUM(K8:K26)</f>
        <v>298.2</v>
      </c>
      <c r="L27" s="32">
        <f t="shared" si="4"/>
        <v>601.5</v>
      </c>
      <c r="M27" s="32">
        <f t="shared" si="3"/>
        <v>250.8</v>
      </c>
      <c r="N27" s="32">
        <f t="shared" si="3"/>
        <v>2161.3000000000002</v>
      </c>
      <c r="O27" s="126"/>
      <c r="P27" s="32">
        <f>SUM(P8:P26)</f>
        <v>65974.5</v>
      </c>
      <c r="Q27" s="122"/>
      <c r="R27" s="85"/>
    </row>
    <row r="29" spans="2:20" x14ac:dyDescent="0.25">
      <c r="P29" s="31"/>
    </row>
    <row r="31" spans="2:20" x14ac:dyDescent="0.25">
      <c r="O31" s="127" t="s">
        <v>16</v>
      </c>
      <c r="P31" s="128"/>
      <c r="Q31" s="31"/>
    </row>
  </sheetData>
  <mergeCells count="11">
    <mergeCell ref="B2:R2"/>
    <mergeCell ref="B3:R3"/>
    <mergeCell ref="B4:R4"/>
    <mergeCell ref="E6:M6"/>
    <mergeCell ref="Q13:Q14"/>
    <mergeCell ref="R13:R14"/>
    <mergeCell ref="S13:S14"/>
    <mergeCell ref="R17:R18"/>
    <mergeCell ref="S17:S18"/>
    <mergeCell ref="T17:T18"/>
    <mergeCell ref="B27:C2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9C6B-B9E8-4C73-9004-E7E3140EA562}">
  <dimension ref="B2:U31"/>
  <sheetViews>
    <sheetView topLeftCell="B1" workbookViewId="0">
      <pane xSplit="3" ySplit="7" topLeftCell="E8" activePane="bottomRight" state="frozen"/>
      <selection activeCell="A20" sqref="A20"/>
      <selection pane="topRight" activeCell="A20" sqref="A20"/>
      <selection pane="bottomLeft" activeCell="A20" sqref="A20"/>
      <selection pane="bottomRight" activeCell="F7" sqref="F7"/>
    </sheetView>
  </sheetViews>
  <sheetFormatPr baseColWidth="10" defaultRowHeight="14.25" x14ac:dyDescent="0.25"/>
  <cols>
    <col min="1" max="1" width="5.42578125" style="1" customWidth="1"/>
    <col min="2" max="2" width="4.140625" style="1" customWidth="1"/>
    <col min="3" max="4" width="12.7109375" style="1" customWidth="1"/>
    <col min="5" max="9" width="14.42578125" style="1" customWidth="1"/>
    <col min="10" max="11" width="14.42578125" style="1" hidden="1" customWidth="1"/>
    <col min="12" max="12" width="11.5703125" style="1" bestFit="1" customWidth="1"/>
    <col min="13" max="13" width="13.42578125" style="1" bestFit="1" customWidth="1"/>
    <col min="14" max="14" width="15.140625" style="1" customWidth="1"/>
    <col min="15" max="15" width="14.5703125" style="1" customWidth="1"/>
    <col min="16" max="16" width="14.85546875" style="1" customWidth="1"/>
    <col min="17" max="17" width="13" style="1" bestFit="1" customWidth="1"/>
    <col min="18" max="18" width="4.85546875" style="1" customWidth="1"/>
    <col min="19" max="19" width="9.5703125" style="1" customWidth="1"/>
    <col min="20" max="16384" width="11.42578125" style="1"/>
  </cols>
  <sheetData>
    <row r="2" spans="2:21" x14ac:dyDescent="0.25">
      <c r="B2" s="224" t="s">
        <v>49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</row>
    <row r="3" spans="2:21" x14ac:dyDescent="0.25">
      <c r="B3" s="224" t="s">
        <v>106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</row>
    <row r="4" spans="2:21" x14ac:dyDescent="0.25">
      <c r="B4" s="224" t="s">
        <v>48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</row>
    <row r="5" spans="2:21" x14ac:dyDescent="0.25"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</row>
    <row r="6" spans="2:21" x14ac:dyDescent="0.25">
      <c r="E6" s="228" t="s">
        <v>51</v>
      </c>
      <c r="F6" s="228"/>
      <c r="G6" s="228"/>
      <c r="H6" s="228"/>
      <c r="I6" s="228"/>
      <c r="J6" s="228"/>
      <c r="K6" s="228"/>
    </row>
    <row r="7" spans="2:21" s="12" customFormat="1" ht="42.75" x14ac:dyDescent="0.25">
      <c r="B7" s="100" t="s">
        <v>3</v>
      </c>
      <c r="C7" s="100" t="s">
        <v>6</v>
      </c>
      <c r="D7" s="100" t="s">
        <v>77</v>
      </c>
      <c r="E7" s="103" t="s">
        <v>82</v>
      </c>
      <c r="F7" s="103" t="s">
        <v>109</v>
      </c>
      <c r="G7" s="103" t="s">
        <v>110</v>
      </c>
      <c r="H7" s="103" t="s">
        <v>111</v>
      </c>
      <c r="I7" s="103" t="s">
        <v>112</v>
      </c>
      <c r="J7" s="103"/>
      <c r="K7" s="103"/>
      <c r="L7" s="101" t="s">
        <v>52</v>
      </c>
      <c r="M7" s="102" t="s">
        <v>12</v>
      </c>
      <c r="N7" s="100" t="s">
        <v>84</v>
      </c>
      <c r="O7" s="100" t="s">
        <v>15</v>
      </c>
      <c r="P7" s="100" t="s">
        <v>59</v>
      </c>
    </row>
    <row r="8" spans="2:21" ht="19.5" customHeight="1" x14ac:dyDescent="0.25">
      <c r="B8" s="85">
        <v>1</v>
      </c>
      <c r="C8" s="26">
        <v>45869</v>
      </c>
      <c r="D8" s="24">
        <v>268</v>
      </c>
      <c r="E8" s="21">
        <v>277.2</v>
      </c>
      <c r="F8" s="21"/>
      <c r="G8" s="21"/>
      <c r="H8" s="21"/>
      <c r="I8" s="21"/>
      <c r="J8" s="21"/>
      <c r="K8" s="21"/>
      <c r="L8" s="21">
        <f>SUM(E8:K8)</f>
        <v>277.2</v>
      </c>
      <c r="M8" s="21">
        <v>32</v>
      </c>
      <c r="N8" s="23">
        <f>+L8*M8</f>
        <v>8870.4</v>
      </c>
      <c r="O8" s="104" t="s">
        <v>16</v>
      </c>
      <c r="P8" s="124">
        <v>45867</v>
      </c>
      <c r="Q8" s="1" t="s">
        <v>62</v>
      </c>
    </row>
    <row r="9" spans="2:21" ht="19.5" customHeight="1" x14ac:dyDescent="0.25">
      <c r="B9" s="85">
        <f>1+B8</f>
        <v>2</v>
      </c>
      <c r="C9" s="26">
        <v>45889</v>
      </c>
      <c r="D9" s="24">
        <v>196</v>
      </c>
      <c r="E9" s="21"/>
      <c r="F9" s="21">
        <v>311.05</v>
      </c>
      <c r="G9" s="21">
        <v>284</v>
      </c>
      <c r="H9" s="149"/>
      <c r="I9" s="149"/>
      <c r="J9" s="149"/>
      <c r="K9" s="149"/>
      <c r="L9" s="21">
        <f t="shared" ref="L9:L26" si="0">SUM(E9:K9)</f>
        <v>595.04999999999995</v>
      </c>
      <c r="M9" s="21">
        <v>33</v>
      </c>
      <c r="N9" s="23">
        <f t="shared" ref="N9:N26" si="1">+L9*M9</f>
        <v>19636.649999999998</v>
      </c>
      <c r="O9" s="104" t="s">
        <v>16</v>
      </c>
      <c r="P9" s="246">
        <v>45892</v>
      </c>
      <c r="Q9" s="241" t="s">
        <v>61</v>
      </c>
      <c r="S9" s="31"/>
      <c r="U9" s="1">
        <f>+T9/1000</f>
        <v>0</v>
      </c>
    </row>
    <row r="10" spans="2:21" ht="19.5" customHeight="1" x14ac:dyDescent="0.25">
      <c r="B10" s="85">
        <f t="shared" ref="B10:B26" si="2">1+B9</f>
        <v>3</v>
      </c>
      <c r="C10" s="26">
        <v>45889</v>
      </c>
      <c r="D10" s="24">
        <v>197</v>
      </c>
      <c r="E10" s="21"/>
      <c r="F10" s="21"/>
      <c r="G10" s="21"/>
      <c r="H10" s="149">
        <v>245.05</v>
      </c>
      <c r="I10" s="149">
        <v>315.8</v>
      </c>
      <c r="J10" s="149"/>
      <c r="K10" s="149"/>
      <c r="L10" s="21">
        <f>SUM(E10:K10)</f>
        <v>560.85</v>
      </c>
      <c r="M10" s="21">
        <v>33</v>
      </c>
      <c r="N10" s="23">
        <f t="shared" si="1"/>
        <v>18508.05</v>
      </c>
      <c r="O10" s="104" t="s">
        <v>16</v>
      </c>
      <c r="P10" s="247"/>
      <c r="Q10" s="241"/>
    </row>
    <row r="11" spans="2:21" ht="19.5" hidden="1" customHeight="1" x14ac:dyDescent="0.25">
      <c r="B11" s="85">
        <f t="shared" si="2"/>
        <v>4</v>
      </c>
      <c r="C11" s="26"/>
      <c r="D11" s="24"/>
      <c r="E11" s="21"/>
      <c r="F11" s="21"/>
      <c r="G11" s="21"/>
      <c r="H11" s="149"/>
      <c r="I11" s="149"/>
      <c r="J11" s="149"/>
      <c r="K11" s="149"/>
      <c r="L11" s="21">
        <f t="shared" si="0"/>
        <v>0</v>
      </c>
      <c r="M11" s="21"/>
      <c r="N11" s="23">
        <f t="shared" si="1"/>
        <v>0</v>
      </c>
      <c r="O11" s="104"/>
      <c r="P11" s="124"/>
    </row>
    <row r="12" spans="2:21" ht="19.5" hidden="1" customHeight="1" x14ac:dyDescent="0.25">
      <c r="B12" s="85">
        <f t="shared" si="2"/>
        <v>5</v>
      </c>
      <c r="C12" s="18"/>
      <c r="D12" s="24"/>
      <c r="E12" s="21"/>
      <c r="F12" s="21"/>
      <c r="G12" s="21"/>
      <c r="H12" s="149"/>
      <c r="I12" s="149"/>
      <c r="J12" s="149"/>
      <c r="K12" s="149"/>
      <c r="L12" s="21">
        <f t="shared" si="0"/>
        <v>0</v>
      </c>
      <c r="M12" s="21"/>
      <c r="N12" s="23">
        <f t="shared" si="1"/>
        <v>0</v>
      </c>
      <c r="O12" s="104"/>
      <c r="P12" s="125"/>
    </row>
    <row r="13" spans="2:21" ht="19.5" hidden="1" customHeight="1" x14ac:dyDescent="0.25">
      <c r="B13" s="85">
        <f t="shared" si="2"/>
        <v>6</v>
      </c>
      <c r="C13" s="18"/>
      <c r="D13" s="24"/>
      <c r="E13" s="21"/>
      <c r="F13" s="21"/>
      <c r="G13" s="21"/>
      <c r="H13" s="149"/>
      <c r="I13" s="149"/>
      <c r="J13" s="149"/>
      <c r="K13" s="149"/>
      <c r="L13" s="21">
        <f t="shared" si="0"/>
        <v>0</v>
      </c>
      <c r="M13" s="21"/>
      <c r="N13" s="23">
        <f t="shared" si="1"/>
        <v>0</v>
      </c>
      <c r="O13" s="217"/>
      <c r="P13" s="244"/>
      <c r="Q13" s="241"/>
    </row>
    <row r="14" spans="2:21" ht="19.5" hidden="1" customHeight="1" x14ac:dyDescent="0.25">
      <c r="B14" s="85">
        <f t="shared" si="2"/>
        <v>7</v>
      </c>
      <c r="C14" s="18"/>
      <c r="D14" s="24"/>
      <c r="E14" s="21"/>
      <c r="F14" s="21"/>
      <c r="G14" s="21"/>
      <c r="H14" s="149"/>
      <c r="I14" s="149"/>
      <c r="J14" s="149"/>
      <c r="K14" s="149"/>
      <c r="L14" s="21">
        <f t="shared" si="0"/>
        <v>0</v>
      </c>
      <c r="M14" s="21"/>
      <c r="N14" s="23">
        <f t="shared" si="1"/>
        <v>0</v>
      </c>
      <c r="O14" s="218"/>
      <c r="P14" s="245"/>
      <c r="Q14" s="241"/>
    </row>
    <row r="15" spans="2:21" ht="19.5" hidden="1" customHeight="1" x14ac:dyDescent="0.25">
      <c r="B15" s="85">
        <f t="shared" si="2"/>
        <v>8</v>
      </c>
      <c r="C15" s="18"/>
      <c r="D15" s="24"/>
      <c r="E15" s="21"/>
      <c r="F15" s="21"/>
      <c r="G15" s="21"/>
      <c r="H15" s="149"/>
      <c r="I15" s="149"/>
      <c r="J15" s="149"/>
      <c r="K15" s="149"/>
      <c r="L15" s="21">
        <f t="shared" si="0"/>
        <v>0</v>
      </c>
      <c r="M15" s="21"/>
      <c r="N15" s="23">
        <f t="shared" si="1"/>
        <v>0</v>
      </c>
      <c r="O15" s="104"/>
      <c r="P15" s="125"/>
    </row>
    <row r="16" spans="2:21" ht="19.5" hidden="1" customHeight="1" x14ac:dyDescent="0.25">
      <c r="B16" s="85">
        <f t="shared" si="2"/>
        <v>9</v>
      </c>
      <c r="C16" s="26"/>
      <c r="D16" s="24"/>
      <c r="E16" s="21"/>
      <c r="F16" s="21"/>
      <c r="G16" s="21"/>
      <c r="H16" s="149"/>
      <c r="I16" s="149"/>
      <c r="J16" s="149"/>
      <c r="K16" s="149"/>
      <c r="L16" s="21">
        <f t="shared" si="0"/>
        <v>0</v>
      </c>
      <c r="M16" s="21"/>
      <c r="N16" s="23">
        <f t="shared" si="1"/>
        <v>0</v>
      </c>
      <c r="O16" s="104"/>
      <c r="P16" s="18"/>
    </row>
    <row r="17" spans="2:18" ht="19.5" hidden="1" customHeight="1" x14ac:dyDescent="0.25">
      <c r="B17" s="85">
        <f t="shared" si="2"/>
        <v>10</v>
      </c>
      <c r="C17" s="26"/>
      <c r="D17" s="24"/>
      <c r="E17" s="21"/>
      <c r="F17" s="21"/>
      <c r="G17" s="21"/>
      <c r="H17" s="149"/>
      <c r="I17" s="149"/>
      <c r="J17" s="149"/>
      <c r="K17" s="149"/>
      <c r="L17" s="21">
        <f t="shared" si="0"/>
        <v>0</v>
      </c>
      <c r="M17" s="21"/>
      <c r="N17" s="23">
        <f t="shared" si="1"/>
        <v>0</v>
      </c>
      <c r="O17" s="104"/>
      <c r="P17" s="205"/>
      <c r="Q17" s="242"/>
      <c r="R17" s="243"/>
    </row>
    <row r="18" spans="2:18" ht="19.5" hidden="1" customHeight="1" x14ac:dyDescent="0.25">
      <c r="B18" s="85">
        <f t="shared" si="2"/>
        <v>11</v>
      </c>
      <c r="C18" s="26"/>
      <c r="D18" s="24"/>
      <c r="E18" s="21"/>
      <c r="F18" s="21"/>
      <c r="G18" s="21"/>
      <c r="H18" s="149"/>
      <c r="I18" s="149"/>
      <c r="J18" s="149"/>
      <c r="K18" s="149"/>
      <c r="L18" s="21">
        <f t="shared" si="0"/>
        <v>0</v>
      </c>
      <c r="M18" s="21"/>
      <c r="N18" s="23">
        <f t="shared" si="1"/>
        <v>0</v>
      </c>
      <c r="O18" s="104"/>
      <c r="P18" s="207"/>
      <c r="Q18" s="242"/>
      <c r="R18" s="243"/>
    </row>
    <row r="19" spans="2:18" ht="19.5" hidden="1" customHeight="1" x14ac:dyDescent="0.25">
      <c r="B19" s="85">
        <f t="shared" si="2"/>
        <v>12</v>
      </c>
      <c r="C19" s="26"/>
      <c r="D19" s="24"/>
      <c r="E19" s="21"/>
      <c r="F19" s="21"/>
      <c r="G19" s="21"/>
      <c r="H19" s="149"/>
      <c r="I19" s="149"/>
      <c r="J19" s="149"/>
      <c r="K19" s="149"/>
      <c r="L19" s="21">
        <f t="shared" si="0"/>
        <v>0</v>
      </c>
      <c r="M19" s="21"/>
      <c r="N19" s="23">
        <f t="shared" si="1"/>
        <v>0</v>
      </c>
      <c r="O19" s="104"/>
      <c r="P19" s="18"/>
    </row>
    <row r="20" spans="2:18" ht="19.5" hidden="1" customHeight="1" x14ac:dyDescent="0.25">
      <c r="B20" s="85">
        <f t="shared" si="2"/>
        <v>13</v>
      </c>
      <c r="C20" s="26"/>
      <c r="D20" s="24"/>
      <c r="E20" s="21"/>
      <c r="F20" s="21"/>
      <c r="G20" s="21"/>
      <c r="H20" s="149"/>
      <c r="I20" s="149"/>
      <c r="J20" s="149"/>
      <c r="K20" s="149"/>
      <c r="L20" s="21">
        <f t="shared" si="0"/>
        <v>0</v>
      </c>
      <c r="M20" s="21"/>
      <c r="N20" s="23">
        <f t="shared" si="1"/>
        <v>0</v>
      </c>
      <c r="O20" s="104"/>
      <c r="P20" s="18"/>
    </row>
    <row r="21" spans="2:18" ht="19.5" hidden="1" customHeight="1" x14ac:dyDescent="0.25">
      <c r="B21" s="85">
        <f t="shared" si="2"/>
        <v>14</v>
      </c>
      <c r="C21" s="26"/>
      <c r="D21" s="24"/>
      <c r="E21" s="21"/>
      <c r="F21" s="21"/>
      <c r="G21" s="21"/>
      <c r="H21" s="149"/>
      <c r="I21" s="149"/>
      <c r="J21" s="149"/>
      <c r="K21" s="149"/>
      <c r="L21" s="21">
        <f t="shared" si="0"/>
        <v>0</v>
      </c>
      <c r="M21" s="21"/>
      <c r="N21" s="23">
        <f t="shared" si="1"/>
        <v>0</v>
      </c>
      <c r="O21" s="104"/>
      <c r="P21" s="18"/>
    </row>
    <row r="22" spans="2:18" ht="19.5" hidden="1" customHeight="1" x14ac:dyDescent="0.25">
      <c r="B22" s="85">
        <f t="shared" si="2"/>
        <v>15</v>
      </c>
      <c r="C22" s="26"/>
      <c r="D22" s="24"/>
      <c r="E22" s="21"/>
      <c r="F22" s="21"/>
      <c r="G22" s="21"/>
      <c r="H22" s="149"/>
      <c r="I22" s="149"/>
      <c r="J22" s="149"/>
      <c r="K22" s="149"/>
      <c r="L22" s="21">
        <f t="shared" si="0"/>
        <v>0</v>
      </c>
      <c r="M22" s="21"/>
      <c r="N22" s="23">
        <f t="shared" si="1"/>
        <v>0</v>
      </c>
      <c r="O22" s="104"/>
      <c r="P22" s="18"/>
    </row>
    <row r="23" spans="2:18" ht="19.5" hidden="1" customHeight="1" x14ac:dyDescent="0.25">
      <c r="B23" s="85">
        <f t="shared" si="2"/>
        <v>16</v>
      </c>
      <c r="C23" s="26"/>
      <c r="D23" s="24"/>
      <c r="E23" s="21"/>
      <c r="F23" s="21"/>
      <c r="G23" s="21"/>
      <c r="H23" s="149"/>
      <c r="I23" s="149"/>
      <c r="J23" s="149"/>
      <c r="K23" s="149"/>
      <c r="L23" s="21">
        <f t="shared" si="0"/>
        <v>0</v>
      </c>
      <c r="M23" s="21"/>
      <c r="N23" s="23">
        <f t="shared" si="1"/>
        <v>0</v>
      </c>
      <c r="O23" s="104"/>
      <c r="P23" s="18"/>
    </row>
    <row r="24" spans="2:18" ht="19.5" hidden="1" customHeight="1" x14ac:dyDescent="0.25">
      <c r="B24" s="85">
        <f t="shared" si="2"/>
        <v>17</v>
      </c>
      <c r="C24" s="26"/>
      <c r="D24" s="24"/>
      <c r="E24" s="21"/>
      <c r="F24" s="21"/>
      <c r="G24" s="21"/>
      <c r="H24" s="149"/>
      <c r="I24" s="149"/>
      <c r="J24" s="149"/>
      <c r="K24" s="149"/>
      <c r="L24" s="21">
        <f t="shared" si="0"/>
        <v>0</v>
      </c>
      <c r="M24" s="21"/>
      <c r="N24" s="23">
        <f t="shared" si="1"/>
        <v>0</v>
      </c>
      <c r="O24" s="104"/>
      <c r="P24" s="18"/>
    </row>
    <row r="25" spans="2:18" ht="19.5" hidden="1" customHeight="1" x14ac:dyDescent="0.25">
      <c r="B25" s="85">
        <f t="shared" si="2"/>
        <v>18</v>
      </c>
      <c r="C25" s="26"/>
      <c r="D25" s="24"/>
      <c r="E25" s="21"/>
      <c r="F25" s="21"/>
      <c r="G25" s="21"/>
      <c r="H25" s="149"/>
      <c r="I25" s="149"/>
      <c r="J25" s="149"/>
      <c r="K25" s="149"/>
      <c r="L25" s="21">
        <f t="shared" si="0"/>
        <v>0</v>
      </c>
      <c r="M25" s="21"/>
      <c r="N25" s="23">
        <f t="shared" si="1"/>
        <v>0</v>
      </c>
      <c r="O25" s="104"/>
      <c r="P25" s="18"/>
    </row>
    <row r="26" spans="2:18" ht="19.5" customHeight="1" x14ac:dyDescent="0.25">
      <c r="B26" s="85">
        <f t="shared" si="2"/>
        <v>19</v>
      </c>
      <c r="C26" s="26"/>
      <c r="D26" s="24"/>
      <c r="E26" s="21"/>
      <c r="F26" s="21"/>
      <c r="G26" s="21"/>
      <c r="H26" s="149"/>
      <c r="I26" s="149"/>
      <c r="J26" s="149"/>
      <c r="K26" s="149"/>
      <c r="L26" s="21">
        <f t="shared" si="0"/>
        <v>0</v>
      </c>
      <c r="M26" s="21"/>
      <c r="N26" s="23">
        <f t="shared" si="1"/>
        <v>0</v>
      </c>
      <c r="O26" s="104"/>
      <c r="P26" s="18"/>
    </row>
    <row r="27" spans="2:18" ht="19.5" customHeight="1" x14ac:dyDescent="0.25">
      <c r="B27" s="221" t="s">
        <v>21</v>
      </c>
      <c r="C27" s="223"/>
      <c r="D27" s="146"/>
      <c r="E27" s="32">
        <f t="shared" ref="E27:L27" si="3">SUM(E8:E26)</f>
        <v>277.2</v>
      </c>
      <c r="F27" s="32">
        <f t="shared" si="3"/>
        <v>311.05</v>
      </c>
      <c r="G27" s="32">
        <f t="shared" si="3"/>
        <v>284</v>
      </c>
      <c r="H27" s="32">
        <f t="shared" si="3"/>
        <v>245.05</v>
      </c>
      <c r="I27" s="32">
        <f t="shared" si="3"/>
        <v>315.8</v>
      </c>
      <c r="J27" s="32">
        <f t="shared" si="3"/>
        <v>0</v>
      </c>
      <c r="K27" s="32">
        <f t="shared" si="3"/>
        <v>0</v>
      </c>
      <c r="L27" s="32">
        <f t="shared" si="3"/>
        <v>1433.1</v>
      </c>
      <c r="M27" s="126"/>
      <c r="N27" s="32">
        <f>SUM(N8:N26)</f>
        <v>47015.099999999991</v>
      </c>
      <c r="O27" s="122"/>
      <c r="P27" s="85"/>
    </row>
    <row r="29" spans="2:18" x14ac:dyDescent="0.25">
      <c r="N29" s="31"/>
    </row>
    <row r="31" spans="2:18" x14ac:dyDescent="0.25">
      <c r="N31" s="151" t="s">
        <v>16</v>
      </c>
      <c r="O31" s="150">
        <f>SUM(N8:N10)</f>
        <v>47015.099999999991</v>
      </c>
    </row>
  </sheetData>
  <mergeCells count="13">
    <mergeCell ref="B27:C27"/>
    <mergeCell ref="B2:P2"/>
    <mergeCell ref="B3:P3"/>
    <mergeCell ref="B4:P4"/>
    <mergeCell ref="E6:K6"/>
    <mergeCell ref="O13:O14"/>
    <mergeCell ref="P13:P14"/>
    <mergeCell ref="P9:P10"/>
    <mergeCell ref="Q9:Q10"/>
    <mergeCell ref="Q13:Q14"/>
    <mergeCell ref="P17:P18"/>
    <mergeCell ref="Q17:Q18"/>
    <mergeCell ref="R17:R1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A584-A7E8-4A1B-876E-46355279F109}">
  <dimension ref="B1:O16"/>
  <sheetViews>
    <sheetView workbookViewId="0">
      <pane xSplit="1" ySplit="7" topLeftCell="B8" activePane="bottomRight" state="frozen"/>
      <selection activeCell="A20" sqref="A20"/>
      <selection pane="topRight" activeCell="A20" sqref="A20"/>
      <selection pane="bottomLeft" activeCell="A20" sqref="A20"/>
      <selection pane="bottomRight" activeCell="G13" sqref="G13"/>
    </sheetView>
  </sheetViews>
  <sheetFormatPr baseColWidth="10" defaultRowHeight="14.25" x14ac:dyDescent="0.25"/>
  <cols>
    <col min="1" max="1" width="5.42578125" style="1" customWidth="1"/>
    <col min="2" max="2" width="4.140625" style="3" customWidth="1"/>
    <col min="3" max="4" width="12.7109375" style="3" customWidth="1"/>
    <col min="5" max="5" width="11.140625" style="1" customWidth="1"/>
    <col min="6" max="6" width="11.7109375" style="1" customWidth="1"/>
    <col min="7" max="7" width="12.28515625" style="1" customWidth="1"/>
    <col min="8" max="8" width="12" style="113" customWidth="1"/>
    <col min="9" max="9" width="14.28515625" style="1" customWidth="1"/>
    <col min="10" max="10" width="7.42578125" style="3" customWidth="1"/>
    <col min="11" max="11" width="16.42578125" style="1" customWidth="1"/>
    <col min="12" max="12" width="13.5703125" style="1" customWidth="1"/>
    <col min="13" max="13" width="14.7109375" style="1" customWidth="1"/>
    <col min="14" max="14" width="15" style="1" hidden="1" customWidth="1"/>
    <col min="15" max="16384" width="11.42578125" style="1"/>
  </cols>
  <sheetData>
    <row r="1" spans="2:15" ht="8.25" customHeight="1" x14ac:dyDescent="0.25"/>
    <row r="2" spans="2:15" x14ac:dyDescent="0.25">
      <c r="B2" s="224" t="s">
        <v>49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</row>
    <row r="3" spans="2:15" x14ac:dyDescent="0.25">
      <c r="B3" s="224" t="s">
        <v>85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</row>
    <row r="4" spans="2:15" x14ac:dyDescent="0.25">
      <c r="B4" s="224" t="s">
        <v>48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</row>
    <row r="5" spans="2:15" ht="4.5" customHeight="1" x14ac:dyDescent="0.25">
      <c r="B5" s="98"/>
      <c r="C5" s="98"/>
      <c r="D5" s="98"/>
      <c r="E5" s="98"/>
      <c r="F5" s="98"/>
      <c r="G5" s="98"/>
      <c r="H5" s="96"/>
      <c r="I5" s="98"/>
      <c r="J5" s="98"/>
      <c r="K5" s="98"/>
      <c r="L5" s="98"/>
      <c r="M5" s="98"/>
    </row>
    <row r="6" spans="2:15" x14ac:dyDescent="0.25">
      <c r="E6" s="228" t="s">
        <v>86</v>
      </c>
      <c r="F6" s="228"/>
    </row>
    <row r="7" spans="2:15" s="12" customFormat="1" ht="46.5" customHeight="1" x14ac:dyDescent="0.25">
      <c r="B7" s="100" t="s">
        <v>3</v>
      </c>
      <c r="C7" s="100" t="s">
        <v>6</v>
      </c>
      <c r="D7" s="100" t="s">
        <v>87</v>
      </c>
      <c r="E7" s="103" t="s">
        <v>88</v>
      </c>
      <c r="F7" s="103" t="s">
        <v>89</v>
      </c>
      <c r="G7" s="101" t="s">
        <v>52</v>
      </c>
      <c r="H7" s="102" t="s">
        <v>12</v>
      </c>
      <c r="I7" s="102" t="s">
        <v>53</v>
      </c>
      <c r="J7" s="100" t="s">
        <v>14</v>
      </c>
      <c r="K7" s="100" t="s">
        <v>74</v>
      </c>
      <c r="L7" s="100" t="s">
        <v>15</v>
      </c>
      <c r="M7" s="100" t="s">
        <v>59</v>
      </c>
      <c r="N7" s="100" t="s">
        <v>60</v>
      </c>
    </row>
    <row r="8" spans="2:15" ht="19.5" customHeight="1" x14ac:dyDescent="0.25">
      <c r="B8" s="24">
        <v>1</v>
      </c>
      <c r="C8" s="129">
        <v>45631</v>
      </c>
      <c r="D8" s="24">
        <v>541</v>
      </c>
      <c r="E8" s="116">
        <v>1000</v>
      </c>
      <c r="F8" s="116"/>
      <c r="G8" s="28">
        <f t="shared" ref="G8:G14" si="0">SUM(E8:F8)</f>
        <v>1000</v>
      </c>
      <c r="H8" s="116">
        <v>27.9</v>
      </c>
      <c r="I8" s="110">
        <f>+G8*H8</f>
        <v>27900</v>
      </c>
      <c r="J8" s="24">
        <v>125</v>
      </c>
      <c r="K8" s="23">
        <v>27900</v>
      </c>
      <c r="L8" s="104" t="s">
        <v>16</v>
      </c>
      <c r="M8" s="115">
        <v>45742</v>
      </c>
      <c r="N8" s="105"/>
      <c r="O8" s="1" t="s">
        <v>61</v>
      </c>
    </row>
    <row r="9" spans="2:15" ht="19.5" customHeight="1" x14ac:dyDescent="0.25">
      <c r="B9" s="24">
        <f>1+B8</f>
        <v>2</v>
      </c>
      <c r="C9" s="25">
        <v>45743</v>
      </c>
      <c r="D9" s="24">
        <v>571</v>
      </c>
      <c r="E9" s="116">
        <v>1000</v>
      </c>
      <c r="F9" s="116"/>
      <c r="G9" s="28">
        <f t="shared" si="0"/>
        <v>1000</v>
      </c>
      <c r="H9" s="116">
        <v>27.9</v>
      </c>
      <c r="I9" s="110">
        <f>+G9*H9</f>
        <v>27900</v>
      </c>
      <c r="J9" s="24">
        <v>161</v>
      </c>
      <c r="K9" s="23">
        <v>27900</v>
      </c>
      <c r="L9" s="104" t="s">
        <v>16</v>
      </c>
      <c r="M9" s="115">
        <v>45831</v>
      </c>
      <c r="N9" s="105"/>
      <c r="O9" s="1" t="s">
        <v>61</v>
      </c>
    </row>
    <row r="10" spans="2:15" ht="19.5" customHeight="1" x14ac:dyDescent="0.25">
      <c r="B10" s="24">
        <f t="shared" ref="B10:B14" si="1">1+B9</f>
        <v>3</v>
      </c>
      <c r="C10" s="25">
        <v>45834</v>
      </c>
      <c r="D10" s="24">
        <v>597</v>
      </c>
      <c r="E10" s="116">
        <v>1000</v>
      </c>
      <c r="F10" s="116"/>
      <c r="G10" s="28">
        <f t="shared" si="0"/>
        <v>1000</v>
      </c>
      <c r="H10" s="116">
        <v>38.200000000000003</v>
      </c>
      <c r="I10" s="110">
        <f t="shared" ref="I10:I14" si="2">+G10*H10</f>
        <v>38200</v>
      </c>
      <c r="J10" s="24">
        <v>185</v>
      </c>
      <c r="K10" s="23">
        <v>38200</v>
      </c>
      <c r="L10" s="104" t="s">
        <v>16</v>
      </c>
      <c r="M10" s="115">
        <v>45897</v>
      </c>
      <c r="N10" s="105"/>
      <c r="O10" s="1" t="s">
        <v>61</v>
      </c>
    </row>
    <row r="11" spans="2:15" ht="19.5" customHeight="1" x14ac:dyDescent="0.25">
      <c r="B11" s="24">
        <f t="shared" si="1"/>
        <v>4</v>
      </c>
      <c r="C11" s="25">
        <v>45901</v>
      </c>
      <c r="D11" s="24">
        <v>612</v>
      </c>
      <c r="E11" s="116">
        <v>1000</v>
      </c>
      <c r="F11" s="116"/>
      <c r="G11" s="28">
        <f t="shared" si="0"/>
        <v>1000</v>
      </c>
      <c r="H11" s="116">
        <v>38.200000000000003</v>
      </c>
      <c r="I11" s="110">
        <f t="shared" si="2"/>
        <v>38200</v>
      </c>
      <c r="J11" s="24">
        <v>204</v>
      </c>
      <c r="K11" s="23">
        <v>38200</v>
      </c>
      <c r="L11" s="104" t="s">
        <v>16</v>
      </c>
      <c r="M11" s="115">
        <v>45938</v>
      </c>
      <c r="N11" s="105"/>
      <c r="O11" s="1" t="s">
        <v>61</v>
      </c>
    </row>
    <row r="12" spans="2:15" ht="19.5" customHeight="1" x14ac:dyDescent="0.25">
      <c r="B12" s="24">
        <f t="shared" si="1"/>
        <v>5</v>
      </c>
      <c r="C12" s="205">
        <v>45939</v>
      </c>
      <c r="D12" s="202">
        <v>1120</v>
      </c>
      <c r="E12" s="116">
        <v>1000</v>
      </c>
      <c r="F12" s="116"/>
      <c r="G12" s="28">
        <f t="shared" si="0"/>
        <v>1000</v>
      </c>
      <c r="H12" s="116">
        <v>38.200000000000003</v>
      </c>
      <c r="I12" s="110">
        <f t="shared" si="2"/>
        <v>38200</v>
      </c>
      <c r="J12" s="24">
        <v>218</v>
      </c>
      <c r="K12" s="23">
        <v>38200</v>
      </c>
      <c r="L12" s="104" t="s">
        <v>16</v>
      </c>
      <c r="M12" s="115">
        <v>46071</v>
      </c>
      <c r="N12" s="105"/>
    </row>
    <row r="13" spans="2:15" ht="19.5" customHeight="1" x14ac:dyDescent="0.25">
      <c r="B13" s="24">
        <f t="shared" si="1"/>
        <v>6</v>
      </c>
      <c r="C13" s="207"/>
      <c r="D13" s="204"/>
      <c r="E13" s="116">
        <v>200</v>
      </c>
      <c r="F13" s="116"/>
      <c r="G13" s="28">
        <f t="shared" si="0"/>
        <v>200</v>
      </c>
      <c r="H13" s="116">
        <v>0</v>
      </c>
      <c r="I13" s="110">
        <f t="shared" si="2"/>
        <v>0</v>
      </c>
      <c r="J13" s="24" t="s">
        <v>105</v>
      </c>
      <c r="K13" s="117"/>
      <c r="L13" s="118"/>
      <c r="M13" s="115"/>
      <c r="N13" s="105"/>
    </row>
    <row r="14" spans="2:15" ht="19.5" customHeight="1" x14ac:dyDescent="0.25">
      <c r="B14" s="24">
        <f t="shared" si="1"/>
        <v>7</v>
      </c>
      <c r="C14" s="25"/>
      <c r="D14" s="24"/>
      <c r="E14" s="116"/>
      <c r="F14" s="116"/>
      <c r="G14" s="28">
        <f t="shared" si="0"/>
        <v>0</v>
      </c>
      <c r="H14" s="116"/>
      <c r="I14" s="110">
        <f t="shared" si="2"/>
        <v>0</v>
      </c>
      <c r="J14" s="24"/>
      <c r="K14" s="117"/>
      <c r="L14" s="118"/>
      <c r="M14" s="115"/>
      <c r="N14" s="105"/>
    </row>
    <row r="15" spans="2:15" ht="19.5" customHeight="1" x14ac:dyDescent="0.25">
      <c r="B15" s="93" t="s">
        <v>21</v>
      </c>
      <c r="C15" s="94"/>
      <c r="D15" s="94"/>
      <c r="E15" s="32">
        <f>SUM(E8:E14)</f>
        <v>5200</v>
      </c>
      <c r="F15" s="32">
        <f>SUM(F8:F14)</f>
        <v>0</v>
      </c>
      <c r="G15" s="120"/>
      <c r="H15" s="121"/>
      <c r="I15" s="32">
        <f>SUM(I8:I14)</f>
        <v>170400</v>
      </c>
      <c r="J15" s="33"/>
      <c r="K15" s="32">
        <f>SUM(K8:K14)</f>
        <v>170400</v>
      </c>
      <c r="L15" s="122"/>
      <c r="M15" s="115"/>
      <c r="N15" s="105"/>
    </row>
    <row r="16" spans="2:15" ht="18" x14ac:dyDescent="0.25">
      <c r="K16" s="123">
        <f>+I15-K15</f>
        <v>0</v>
      </c>
      <c r="L16" s="236" t="s">
        <v>75</v>
      </c>
      <c r="M16" s="236"/>
    </row>
  </sheetData>
  <mergeCells count="7">
    <mergeCell ref="L16:M16"/>
    <mergeCell ref="B2:M2"/>
    <mergeCell ref="B3:M3"/>
    <mergeCell ref="B4:M4"/>
    <mergeCell ref="E6:F6"/>
    <mergeCell ref="D12:D13"/>
    <mergeCell ref="C12:C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C8B9-427C-4FE6-9C64-93364B37D60F}">
  <dimension ref="B2:N29"/>
  <sheetViews>
    <sheetView topLeftCell="A2" workbookViewId="0">
      <pane ySplit="6" topLeftCell="A14" activePane="bottomLeft" state="frozen"/>
      <selection activeCell="A20" sqref="A20"/>
      <selection pane="bottomLeft" activeCell="J13" sqref="J13:J18"/>
    </sheetView>
  </sheetViews>
  <sheetFormatPr baseColWidth="10" defaultRowHeight="14.25" x14ac:dyDescent="0.25"/>
  <cols>
    <col min="1" max="1" width="5.42578125" style="1" customWidth="1"/>
    <col min="2" max="2" width="4.140625" style="1" customWidth="1"/>
    <col min="3" max="4" width="12.7109375" style="1" customWidth="1"/>
    <col min="5" max="6" width="14.42578125" style="1" customWidth="1"/>
    <col min="7" max="7" width="11.5703125" style="1" bestFit="1" customWidth="1"/>
    <col min="8" max="8" width="13.42578125" style="1" bestFit="1" customWidth="1"/>
    <col min="9" max="10" width="15.140625" style="1" customWidth="1"/>
    <col min="11" max="11" width="18.140625" style="1" customWidth="1"/>
    <col min="12" max="12" width="14.85546875" style="1" customWidth="1"/>
    <col min="13" max="16384" width="11.42578125" style="1"/>
  </cols>
  <sheetData>
    <row r="2" spans="2:14" x14ac:dyDescent="0.25">
      <c r="B2" s="224" t="s">
        <v>49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3" spans="2:14" x14ac:dyDescent="0.25">
      <c r="B3" s="224" t="s">
        <v>90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</row>
    <row r="4" spans="2:14" x14ac:dyDescent="0.25">
      <c r="B4" s="224" t="s">
        <v>48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</row>
    <row r="5" spans="2:14" x14ac:dyDescent="0.25"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2:14" x14ac:dyDescent="0.25">
      <c r="E6" s="228" t="s">
        <v>91</v>
      </c>
      <c r="F6" s="228"/>
    </row>
    <row r="7" spans="2:14" s="12" customFormat="1" ht="42.75" x14ac:dyDescent="0.25">
      <c r="B7" s="100" t="s">
        <v>3</v>
      </c>
      <c r="C7" s="100" t="s">
        <v>6</v>
      </c>
      <c r="D7" s="100" t="s">
        <v>77</v>
      </c>
      <c r="E7" s="103" t="s">
        <v>92</v>
      </c>
      <c r="F7" s="103" t="s">
        <v>86</v>
      </c>
      <c r="G7" s="101" t="s">
        <v>52</v>
      </c>
      <c r="H7" s="102" t="s">
        <v>12</v>
      </c>
      <c r="I7" s="100" t="s">
        <v>84</v>
      </c>
      <c r="J7" s="100" t="s">
        <v>93</v>
      </c>
      <c r="K7" s="100" t="s">
        <v>15</v>
      </c>
      <c r="L7" s="100" t="s">
        <v>59</v>
      </c>
    </row>
    <row r="8" spans="2:14" ht="19.5" customHeight="1" x14ac:dyDescent="0.25">
      <c r="B8" s="85">
        <v>1</v>
      </c>
      <c r="C8" s="26">
        <v>45701</v>
      </c>
      <c r="D8" s="152">
        <v>0</v>
      </c>
      <c r="E8" s="21"/>
      <c r="F8" s="21">
        <v>2</v>
      </c>
      <c r="G8" s="21">
        <f>SUM(E8:F8)</f>
        <v>2</v>
      </c>
      <c r="H8" s="21"/>
      <c r="I8" s="23">
        <v>25700</v>
      </c>
      <c r="J8" s="23">
        <v>25700</v>
      </c>
      <c r="K8" s="130" t="s">
        <v>16</v>
      </c>
      <c r="L8" s="18">
        <v>45701</v>
      </c>
      <c r="M8" s="1" t="s">
        <v>62</v>
      </c>
    </row>
    <row r="9" spans="2:14" ht="45" customHeight="1" x14ac:dyDescent="0.25">
      <c r="B9" s="85">
        <v>2</v>
      </c>
      <c r="C9" s="205">
        <v>45834</v>
      </c>
      <c r="D9" s="258">
        <v>3956</v>
      </c>
      <c r="E9" s="208">
        <v>13211</v>
      </c>
      <c r="F9" s="208"/>
      <c r="G9" s="208">
        <f>SUM(E9:F9)</f>
        <v>13211</v>
      </c>
      <c r="H9" s="208">
        <v>10</v>
      </c>
      <c r="I9" s="251">
        <f t="shared" ref="I9" si="0">+G9*H9</f>
        <v>132110</v>
      </c>
      <c r="J9" s="23">
        <v>15430.4</v>
      </c>
      <c r="K9" s="143" t="s">
        <v>103</v>
      </c>
      <c r="L9" s="18">
        <v>45832</v>
      </c>
    </row>
    <row r="10" spans="2:14" ht="19.5" customHeight="1" x14ac:dyDescent="0.25">
      <c r="B10" s="85">
        <v>3</v>
      </c>
      <c r="C10" s="206"/>
      <c r="D10" s="259"/>
      <c r="E10" s="209"/>
      <c r="F10" s="209"/>
      <c r="G10" s="209"/>
      <c r="H10" s="209"/>
      <c r="I10" s="252"/>
      <c r="J10" s="23">
        <v>30000</v>
      </c>
      <c r="K10" s="248" t="s">
        <v>38</v>
      </c>
      <c r="L10" s="18">
        <v>45832</v>
      </c>
      <c r="M10" s="241" t="s">
        <v>104</v>
      </c>
    </row>
    <row r="11" spans="2:14" ht="19.5" customHeight="1" x14ac:dyDescent="0.25">
      <c r="B11" s="85">
        <v>4</v>
      </c>
      <c r="C11" s="206"/>
      <c r="D11" s="259"/>
      <c r="E11" s="209"/>
      <c r="F11" s="209"/>
      <c r="G11" s="209"/>
      <c r="H11" s="209"/>
      <c r="I11" s="252"/>
      <c r="J11" s="23">
        <v>30000</v>
      </c>
      <c r="K11" s="249"/>
      <c r="L11" s="18">
        <v>45832</v>
      </c>
      <c r="M11" s="241"/>
    </row>
    <row r="12" spans="2:14" ht="19.5" customHeight="1" x14ac:dyDescent="0.25">
      <c r="B12" s="85">
        <v>5</v>
      </c>
      <c r="C12" s="207"/>
      <c r="D12" s="260"/>
      <c r="E12" s="210"/>
      <c r="F12" s="210"/>
      <c r="G12" s="210"/>
      <c r="H12" s="210"/>
      <c r="I12" s="253"/>
      <c r="J12" s="23">
        <v>45000</v>
      </c>
      <c r="K12" s="250"/>
      <c r="L12" s="18">
        <v>45832</v>
      </c>
      <c r="M12" s="241"/>
    </row>
    <row r="13" spans="2:14" ht="19.5" customHeight="1" x14ac:dyDescent="0.25">
      <c r="B13" s="85">
        <v>5</v>
      </c>
      <c r="C13" s="205">
        <v>45891</v>
      </c>
      <c r="D13" s="258">
        <v>2914</v>
      </c>
      <c r="E13" s="208">
        <v>22492</v>
      </c>
      <c r="F13" s="208"/>
      <c r="G13" s="257">
        <f>SUM(E13:F13)</f>
        <v>22492</v>
      </c>
      <c r="H13" s="254">
        <f>+I13/G13</f>
        <v>8.799599857727193</v>
      </c>
      <c r="I13" s="251">
        <f>SUM(J13:J18)</f>
        <v>197920.6</v>
      </c>
      <c r="J13" s="23">
        <v>36146</v>
      </c>
      <c r="K13" s="248" t="s">
        <v>16</v>
      </c>
      <c r="L13" s="18">
        <v>45887</v>
      </c>
      <c r="M13" s="1" t="s">
        <v>61</v>
      </c>
      <c r="N13" s="1" t="s">
        <v>113</v>
      </c>
    </row>
    <row r="14" spans="2:14" ht="19.5" customHeight="1" x14ac:dyDescent="0.25">
      <c r="B14" s="85">
        <v>5</v>
      </c>
      <c r="C14" s="206"/>
      <c r="D14" s="259"/>
      <c r="E14" s="209"/>
      <c r="F14" s="209"/>
      <c r="G14" s="257"/>
      <c r="H14" s="255"/>
      <c r="I14" s="252"/>
      <c r="J14" s="23">
        <v>33854</v>
      </c>
      <c r="K14" s="249"/>
      <c r="L14" s="18">
        <v>45887</v>
      </c>
      <c r="M14" s="1" t="s">
        <v>61</v>
      </c>
      <c r="N14" s="1" t="s">
        <v>114</v>
      </c>
    </row>
    <row r="15" spans="2:14" ht="19.5" customHeight="1" x14ac:dyDescent="0.25">
      <c r="B15" s="85"/>
      <c r="C15" s="206"/>
      <c r="D15" s="259"/>
      <c r="E15" s="209"/>
      <c r="F15" s="209"/>
      <c r="G15" s="257"/>
      <c r="H15" s="255"/>
      <c r="I15" s="252"/>
      <c r="J15" s="23">
        <v>30000</v>
      </c>
      <c r="K15" s="249"/>
      <c r="L15" s="18">
        <v>45887</v>
      </c>
      <c r="M15" s="1" t="s">
        <v>61</v>
      </c>
      <c r="N15" s="1" t="s">
        <v>115</v>
      </c>
    </row>
    <row r="16" spans="2:14" ht="19.5" customHeight="1" x14ac:dyDescent="0.25">
      <c r="B16" s="85"/>
      <c r="C16" s="206"/>
      <c r="D16" s="259"/>
      <c r="E16" s="209"/>
      <c r="F16" s="209"/>
      <c r="G16" s="257"/>
      <c r="H16" s="255"/>
      <c r="I16" s="252"/>
      <c r="J16" s="23">
        <v>30000</v>
      </c>
      <c r="K16" s="249"/>
      <c r="L16" s="18">
        <v>45888</v>
      </c>
      <c r="M16" s="1" t="s">
        <v>61</v>
      </c>
      <c r="N16" s="1" t="s">
        <v>114</v>
      </c>
    </row>
    <row r="17" spans="2:14" ht="19.5" customHeight="1" x14ac:dyDescent="0.25">
      <c r="B17" s="85"/>
      <c r="C17" s="206"/>
      <c r="D17" s="259"/>
      <c r="E17" s="209"/>
      <c r="F17" s="209"/>
      <c r="G17" s="257"/>
      <c r="H17" s="255"/>
      <c r="I17" s="252"/>
      <c r="J17" s="23">
        <v>30000</v>
      </c>
      <c r="K17" s="249"/>
      <c r="L17" s="18">
        <v>45888</v>
      </c>
      <c r="M17" s="1" t="s">
        <v>61</v>
      </c>
      <c r="N17" s="1" t="s">
        <v>115</v>
      </c>
    </row>
    <row r="18" spans="2:14" ht="19.5" customHeight="1" x14ac:dyDescent="0.25">
      <c r="B18" s="85"/>
      <c r="C18" s="207"/>
      <c r="D18" s="260"/>
      <c r="E18" s="210"/>
      <c r="F18" s="210"/>
      <c r="G18" s="257"/>
      <c r="H18" s="256"/>
      <c r="I18" s="253"/>
      <c r="J18" s="23">
        <v>37920.6</v>
      </c>
      <c r="K18" s="250"/>
      <c r="L18" s="18">
        <v>45889</v>
      </c>
      <c r="M18" s="1" t="s">
        <v>61</v>
      </c>
      <c r="N18" s="1" t="s">
        <v>116</v>
      </c>
    </row>
    <row r="19" spans="2:14" ht="19.5" customHeight="1" x14ac:dyDescent="0.25">
      <c r="B19" s="85"/>
      <c r="C19" s="144"/>
      <c r="D19" s="153"/>
      <c r="E19" s="21"/>
      <c r="F19" s="21"/>
      <c r="G19" s="30"/>
      <c r="H19" s="145"/>
      <c r="I19" s="23"/>
      <c r="J19" s="23"/>
      <c r="K19" s="118"/>
      <c r="L19" s="18"/>
    </row>
    <row r="20" spans="2:14" ht="19.5" customHeight="1" x14ac:dyDescent="0.25">
      <c r="B20" s="85"/>
      <c r="C20" s="144"/>
      <c r="D20" s="153"/>
      <c r="E20" s="21"/>
      <c r="F20" s="21"/>
      <c r="G20" s="30"/>
      <c r="H20" s="145"/>
      <c r="I20" s="23"/>
      <c r="J20" s="23"/>
      <c r="K20" s="118"/>
      <c r="L20" s="18"/>
    </row>
    <row r="21" spans="2:14" ht="19.5" customHeight="1" x14ac:dyDescent="0.25">
      <c r="B21" s="85"/>
      <c r="C21" s="144"/>
      <c r="D21" s="153"/>
      <c r="E21" s="21"/>
      <c r="F21" s="21"/>
      <c r="G21" s="30"/>
      <c r="H21" s="145"/>
      <c r="I21" s="23"/>
      <c r="J21" s="23"/>
      <c r="K21" s="118"/>
      <c r="L21" s="18"/>
    </row>
    <row r="22" spans="2:14" ht="19.5" customHeight="1" x14ac:dyDescent="0.25">
      <c r="B22" s="85"/>
      <c r="C22" s="144"/>
      <c r="D22" s="153"/>
      <c r="E22" s="21"/>
      <c r="F22" s="21"/>
      <c r="G22" s="30"/>
      <c r="H22" s="145"/>
      <c r="I22" s="23"/>
      <c r="J22" s="23"/>
      <c r="K22" s="118"/>
      <c r="L22" s="18"/>
    </row>
    <row r="23" spans="2:14" ht="19.5" customHeight="1" x14ac:dyDescent="0.25">
      <c r="B23" s="85">
        <v>5</v>
      </c>
      <c r="C23" s="144"/>
      <c r="D23" s="153"/>
      <c r="E23" s="21"/>
      <c r="F23" s="21"/>
      <c r="G23" s="30"/>
      <c r="H23" s="145"/>
      <c r="I23" s="23"/>
      <c r="J23" s="23"/>
      <c r="K23" s="118"/>
      <c r="L23" s="18"/>
    </row>
    <row r="24" spans="2:14" ht="19.5" customHeight="1" x14ac:dyDescent="0.25">
      <c r="B24" s="85">
        <v>5</v>
      </c>
      <c r="C24" s="144"/>
      <c r="D24" s="153"/>
      <c r="E24" s="21"/>
      <c r="F24" s="21"/>
      <c r="G24" s="30"/>
      <c r="H24" s="145"/>
      <c r="I24" s="23"/>
      <c r="J24" s="23"/>
      <c r="K24" s="118"/>
      <c r="L24" s="18"/>
    </row>
    <row r="25" spans="2:14" ht="19.5" customHeight="1" x14ac:dyDescent="0.25">
      <c r="B25" s="85">
        <v>5</v>
      </c>
      <c r="C25" s="144"/>
      <c r="D25" s="153"/>
      <c r="E25" s="21"/>
      <c r="F25" s="21"/>
      <c r="G25" s="30">
        <f t="shared" ref="G25" si="1">SUM(E25:F25)</f>
        <v>0</v>
      </c>
      <c r="H25" s="145"/>
      <c r="I25" s="23"/>
      <c r="J25" s="23"/>
      <c r="K25" s="118"/>
      <c r="L25" s="18"/>
    </row>
    <row r="26" spans="2:14" ht="19.5" customHeight="1" x14ac:dyDescent="0.25">
      <c r="B26" s="221" t="s">
        <v>21</v>
      </c>
      <c r="C26" s="223"/>
      <c r="D26" s="95"/>
      <c r="E26" s="32">
        <f>SUM(E8:E12)</f>
        <v>13211</v>
      </c>
      <c r="F26" s="32">
        <f>SUM(F8:F12)</f>
        <v>2</v>
      </c>
      <c r="G26" s="126"/>
      <c r="H26" s="126"/>
      <c r="I26" s="32">
        <f>SUM(I8:I25)</f>
        <v>355730.6</v>
      </c>
      <c r="J26" s="32">
        <f>SUM(J8:J25)</f>
        <v>344051</v>
      </c>
      <c r="K26" s="112">
        <f>+I26-J26</f>
        <v>11679.599999999977</v>
      </c>
      <c r="L26" s="85"/>
    </row>
    <row r="28" spans="2:14" x14ac:dyDescent="0.25">
      <c r="K28" s="31"/>
    </row>
    <row r="29" spans="2:14" x14ac:dyDescent="0.25">
      <c r="G29" s="1">
        <f>+G13/24</f>
        <v>937.16666666666663</v>
      </c>
    </row>
  </sheetData>
  <mergeCells count="22">
    <mergeCell ref="M10:M12"/>
    <mergeCell ref="B26:C26"/>
    <mergeCell ref="B2:L2"/>
    <mergeCell ref="B3:L3"/>
    <mergeCell ref="B4:L4"/>
    <mergeCell ref="E6:F6"/>
    <mergeCell ref="G9:G12"/>
    <mergeCell ref="H9:H12"/>
    <mergeCell ref="I9:I12"/>
    <mergeCell ref="E9:E12"/>
    <mergeCell ref="F9:F12"/>
    <mergeCell ref="D9:D12"/>
    <mergeCell ref="C9:C12"/>
    <mergeCell ref="K10:K12"/>
    <mergeCell ref="D13:D18"/>
    <mergeCell ref="C13:C18"/>
    <mergeCell ref="E13:E18"/>
    <mergeCell ref="K13:K18"/>
    <mergeCell ref="I13:I18"/>
    <mergeCell ref="H13:H18"/>
    <mergeCell ref="G13:G18"/>
    <mergeCell ref="F13:F18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E01E-B5E2-4768-B34D-542E22DC6DF5}">
  <dimension ref="B1:Q13"/>
  <sheetViews>
    <sheetView workbookViewId="0">
      <pane xSplit="1" ySplit="7" topLeftCell="B8" activePane="bottomRight" state="frozen"/>
      <selection activeCell="A20" sqref="A20"/>
      <selection pane="topRight" activeCell="A20" sqref="A20"/>
      <selection pane="bottomLeft" activeCell="A20" sqref="A20"/>
      <selection pane="bottomRight" activeCell="A15" sqref="A12:XFD15"/>
    </sheetView>
  </sheetViews>
  <sheetFormatPr baseColWidth="10" defaultRowHeight="14.25" x14ac:dyDescent="0.25"/>
  <cols>
    <col min="1" max="1" width="5.42578125" style="1" customWidth="1"/>
    <col min="2" max="2" width="4.140625" style="3" customWidth="1"/>
    <col min="3" max="4" width="12.7109375" style="3" customWidth="1"/>
    <col min="5" max="5" width="11.140625" style="1" customWidth="1"/>
    <col min="6" max="7" width="12" style="1" customWidth="1"/>
    <col min="8" max="8" width="12.28515625" style="1" customWidth="1"/>
    <col min="9" max="9" width="12" style="113" customWidth="1"/>
    <col min="10" max="10" width="13.5703125" style="113" customWidth="1"/>
    <col min="11" max="11" width="14.28515625" style="1" customWidth="1"/>
    <col min="12" max="12" width="11.5703125" style="3" bestFit="1" customWidth="1"/>
    <col min="13" max="13" width="16.42578125" style="1" customWidth="1"/>
    <col min="14" max="14" width="13.5703125" style="1" customWidth="1"/>
    <col min="15" max="15" width="18.5703125" style="1" bestFit="1" customWidth="1"/>
    <col min="16" max="16" width="15" style="1" hidden="1" customWidth="1"/>
    <col min="17" max="16384" width="11.42578125" style="1"/>
  </cols>
  <sheetData>
    <row r="1" spans="2:17" ht="8.25" customHeight="1" x14ac:dyDescent="0.25"/>
    <row r="2" spans="2:17" x14ac:dyDescent="0.25">
      <c r="B2" s="224" t="s">
        <v>49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</row>
    <row r="3" spans="2:17" x14ac:dyDescent="0.25">
      <c r="B3" s="224" t="s">
        <v>94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</row>
    <row r="4" spans="2:17" x14ac:dyDescent="0.25">
      <c r="B4" s="224" t="s">
        <v>48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</row>
    <row r="5" spans="2:17" ht="4.5" customHeight="1" x14ac:dyDescent="0.25">
      <c r="B5" s="98"/>
      <c r="C5" s="98"/>
      <c r="D5" s="98"/>
      <c r="E5" s="98"/>
      <c r="F5" s="98"/>
      <c r="G5" s="98"/>
      <c r="H5" s="98"/>
      <c r="I5" s="96"/>
      <c r="J5" s="96"/>
      <c r="K5" s="98"/>
      <c r="L5" s="98"/>
      <c r="M5" s="98"/>
      <c r="N5" s="98"/>
      <c r="O5" s="98"/>
    </row>
    <row r="6" spans="2:17" x14ac:dyDescent="0.25">
      <c r="E6" s="228" t="s">
        <v>86</v>
      </c>
      <c r="F6" s="228"/>
      <c r="G6" s="99"/>
    </row>
    <row r="7" spans="2:17" s="12" customFormat="1" ht="46.5" customHeight="1" x14ac:dyDescent="0.25">
      <c r="B7" s="100" t="s">
        <v>3</v>
      </c>
      <c r="C7" s="100" t="s">
        <v>4</v>
      </c>
      <c r="D7" s="100" t="s">
        <v>6</v>
      </c>
      <c r="E7" s="103" t="s">
        <v>153</v>
      </c>
      <c r="F7" s="103" t="s">
        <v>155</v>
      </c>
      <c r="G7" s="103" t="s">
        <v>95</v>
      </c>
      <c r="H7" s="101" t="s">
        <v>96</v>
      </c>
      <c r="I7" s="102" t="s">
        <v>12</v>
      </c>
      <c r="J7" s="102" t="s">
        <v>97</v>
      </c>
      <c r="K7" s="102" t="s">
        <v>53</v>
      </c>
      <c r="L7" s="100" t="s">
        <v>14</v>
      </c>
      <c r="M7" s="100" t="s">
        <v>74</v>
      </c>
      <c r="N7" s="100" t="s">
        <v>15</v>
      </c>
      <c r="O7" s="100" t="s">
        <v>59</v>
      </c>
      <c r="P7" s="100" t="s">
        <v>60</v>
      </c>
    </row>
    <row r="8" spans="2:17" ht="19.5" customHeight="1" x14ac:dyDescent="0.25">
      <c r="B8" s="24">
        <v>1</v>
      </c>
      <c r="C8" s="25" t="s">
        <v>105</v>
      </c>
      <c r="D8" s="25">
        <v>46001</v>
      </c>
      <c r="E8" s="116">
        <v>5</v>
      </c>
      <c r="F8" s="116"/>
      <c r="G8" s="116"/>
      <c r="H8" s="20">
        <f t="shared" ref="H8:H10" si="0">SUM(E8:G8)</f>
        <v>5</v>
      </c>
      <c r="I8" s="116">
        <v>6875.99</v>
      </c>
      <c r="J8" s="116">
        <v>8595</v>
      </c>
      <c r="K8" s="28">
        <f t="shared" ref="K8:K10" si="1">+H8*I8-J8</f>
        <v>25784.949999999997</v>
      </c>
      <c r="L8" s="24">
        <v>4743</v>
      </c>
      <c r="M8" s="188">
        <v>25784.95</v>
      </c>
      <c r="N8" s="104" t="s">
        <v>16</v>
      </c>
      <c r="O8" s="189">
        <v>46001</v>
      </c>
      <c r="P8" s="186"/>
      <c r="Q8" s="190" t="s">
        <v>61</v>
      </c>
    </row>
    <row r="9" spans="2:17" ht="19.5" customHeight="1" x14ac:dyDescent="0.25">
      <c r="B9" s="24">
        <f t="shared" ref="B9:B10" si="2">1+B8</f>
        <v>2</v>
      </c>
      <c r="C9" s="25" t="s">
        <v>105</v>
      </c>
      <c r="D9" s="25">
        <v>46008</v>
      </c>
      <c r="E9" s="116"/>
      <c r="F9" s="116">
        <v>1</v>
      </c>
      <c r="G9" s="116"/>
      <c r="H9" s="20">
        <f t="shared" si="0"/>
        <v>1</v>
      </c>
      <c r="I9" s="116">
        <v>2635.3</v>
      </c>
      <c r="J9" s="116">
        <f>+I9-K9</f>
        <v>510.64000000000033</v>
      </c>
      <c r="K9" s="28">
        <v>2124.66</v>
      </c>
      <c r="L9" s="24">
        <v>4859</v>
      </c>
      <c r="M9" s="188">
        <v>2124.66</v>
      </c>
      <c r="N9" s="104" t="s">
        <v>16</v>
      </c>
      <c r="O9" s="189">
        <v>46007</v>
      </c>
      <c r="P9" s="186"/>
      <c r="Q9" s="190" t="s">
        <v>61</v>
      </c>
    </row>
    <row r="10" spans="2:17" ht="19.5" customHeight="1" x14ac:dyDescent="0.25">
      <c r="B10" s="24">
        <f t="shared" si="2"/>
        <v>3</v>
      </c>
      <c r="C10" s="25"/>
      <c r="D10" s="25">
        <v>46066</v>
      </c>
      <c r="E10" s="116"/>
      <c r="F10" s="116"/>
      <c r="G10" s="116">
        <v>2</v>
      </c>
      <c r="H10" s="20">
        <f t="shared" si="0"/>
        <v>2</v>
      </c>
      <c r="I10" s="116">
        <v>2635.34</v>
      </c>
      <c r="J10" s="116">
        <v>1021.36</v>
      </c>
      <c r="K10" s="28">
        <f t="shared" si="1"/>
        <v>4249.3200000000006</v>
      </c>
      <c r="L10" s="24">
        <v>809</v>
      </c>
      <c r="M10" s="188">
        <v>4249.32</v>
      </c>
      <c r="N10" s="104" t="s">
        <v>16</v>
      </c>
      <c r="O10" s="189">
        <v>46066</v>
      </c>
      <c r="P10" s="186"/>
      <c r="Q10" s="190" t="s">
        <v>61</v>
      </c>
    </row>
    <row r="11" spans="2:17" ht="19.5" customHeight="1" x14ac:dyDescent="0.25">
      <c r="B11" s="24">
        <v>4</v>
      </c>
      <c r="C11" s="25"/>
      <c r="D11" s="25"/>
      <c r="E11" s="116"/>
      <c r="F11" s="116"/>
      <c r="G11" s="116"/>
      <c r="H11" s="20"/>
      <c r="I11" s="116"/>
      <c r="J11" s="116"/>
      <c r="K11" s="28"/>
      <c r="L11" s="24"/>
      <c r="M11" s="106"/>
      <c r="N11" s="118"/>
      <c r="O11" s="18"/>
      <c r="P11" s="196"/>
    </row>
    <row r="12" spans="2:17" ht="19.5" customHeight="1" x14ac:dyDescent="0.25">
      <c r="B12" s="154" t="s">
        <v>21</v>
      </c>
      <c r="C12" s="94"/>
      <c r="D12" s="94"/>
      <c r="E12" s="32">
        <f>SUM(E8:E11)</f>
        <v>5</v>
      </c>
      <c r="F12" s="32">
        <f>SUM(F8:F11)</f>
        <v>1</v>
      </c>
      <c r="G12" s="119"/>
      <c r="H12" s="120"/>
      <c r="I12" s="121"/>
      <c r="J12" s="121"/>
      <c r="K12" s="32">
        <f>SUM(K8:K11)</f>
        <v>32158.929999999997</v>
      </c>
      <c r="L12" s="33"/>
      <c r="M12" s="32">
        <f>SUM(M8:M11)</f>
        <v>32158.93</v>
      </c>
      <c r="N12" s="122"/>
      <c r="O12" s="85"/>
      <c r="P12" s="105"/>
    </row>
    <row r="13" spans="2:17" ht="18" x14ac:dyDescent="0.25">
      <c r="M13" s="123">
        <f>+K12-M12</f>
        <v>0</v>
      </c>
      <c r="N13" s="236" t="s">
        <v>75</v>
      </c>
      <c r="O13" s="236"/>
    </row>
  </sheetData>
  <mergeCells count="5">
    <mergeCell ref="N13:O13"/>
    <mergeCell ref="B2:O2"/>
    <mergeCell ref="B3:O3"/>
    <mergeCell ref="B4:O4"/>
    <mergeCell ref="E6:F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VINTO</vt:lpstr>
      <vt:lpstr>DERQUI</vt:lpstr>
      <vt:lpstr>Hoja1</vt:lpstr>
      <vt:lpstr>MULTIFLEX</vt:lpstr>
      <vt:lpstr>COLMAFLEX</vt:lpstr>
      <vt:lpstr>D ARTEPLAST</vt:lpstr>
      <vt:lpstr>DISPROQUIMICOS</vt:lpstr>
      <vt:lpstr>WILED PAPER</vt:lpstr>
      <vt:lpstr>MONOPOL</vt:lpstr>
      <vt:lpstr>Hoja1!Área_de_impresión</vt:lpstr>
      <vt:lpstr>VINTO!Área_de_impresión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 TECHNOLOGY</dc:creator>
  <cp:lastModifiedBy>FATEC TECHNOLOGY</cp:lastModifiedBy>
  <cp:lastPrinted>2026-01-13T16:40:07Z</cp:lastPrinted>
  <dcterms:created xsi:type="dcterms:W3CDTF">2025-04-07T16:42:32Z</dcterms:created>
  <dcterms:modified xsi:type="dcterms:W3CDTF">2026-09-25T14:12:19Z</dcterms:modified>
</cp:coreProperties>
</file>