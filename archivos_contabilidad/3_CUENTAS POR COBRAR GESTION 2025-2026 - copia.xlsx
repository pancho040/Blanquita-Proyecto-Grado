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omments2.xml" ContentType="application/vnd.openxmlformats-officedocument.spreadsheetml.comments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3.xml" ContentType="application/vnd.openxmlformats-officedocument.spreadsheetml.comments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omments4.xml" ContentType="application/vnd.openxmlformats-officedocument.spreadsheetml.comments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omments5.xml" ContentType="application/vnd.openxmlformats-officedocument.spreadsheetml.comments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Shema Asociados SRL\1_GESTION 09-2023\CUENTAS POR COBRAR - CLIENTES\"/>
    </mc:Choice>
  </mc:AlternateContent>
  <xr:revisionPtr revIDLastSave="0" documentId="13_ncr:1_{18A4C98F-06D1-4CBD-A139-18FA13A79E25}" xr6:coauthVersionLast="47" xr6:coauthVersionMax="47" xr10:uidLastSave="{00000000-0000-0000-0000-000000000000}"/>
  <bookViews>
    <workbookView xWindow="-120" yWindow="-120" windowWidth="20730" windowHeight="11160" tabRatio="930" firstSheet="21" activeTab="21" xr2:uid="{00000000-000D-0000-FFFF-FFFF00000000}"/>
  </bookViews>
  <sheets>
    <sheet name="1" sheetId="15" state="hidden" r:id="rId1"/>
    <sheet name="2" sheetId="6" state="hidden" r:id="rId2"/>
    <sheet name="RECAU. JULIO 2025" sheetId="78" state="hidden" r:id="rId3"/>
    <sheet name="3-Fausto C" sheetId="16" state="hidden" r:id="rId4"/>
    <sheet name="4" sheetId="11" state="hidden" r:id="rId5"/>
    <sheet name="5" sheetId="12" state="hidden" r:id="rId6"/>
    <sheet name="6" sheetId="7" state="hidden" r:id="rId7"/>
    <sheet name="7" sheetId="2" state="hidden" r:id="rId8"/>
    <sheet name="8" sheetId="22" state="hidden" r:id="rId9"/>
    <sheet name="9" sheetId="21" state="hidden" r:id="rId10"/>
    <sheet name="10" sheetId="8" state="hidden" r:id="rId11"/>
    <sheet name="11" sheetId="18" state="hidden" r:id="rId12"/>
    <sheet name="12" sheetId="4" state="hidden" r:id="rId13"/>
    <sheet name="13" sheetId="19" state="hidden" r:id="rId14"/>
    <sheet name="14" sheetId="5" state="hidden" r:id="rId15"/>
    <sheet name="15" sheetId="3" state="hidden" r:id="rId16"/>
    <sheet name="RECAU. ABRIL 2025" sheetId="73" state="hidden" r:id="rId17"/>
    <sheet name="RECAU. MAYO 2025" sheetId="76" state="hidden" r:id="rId18"/>
    <sheet name="RECAU. JUNIO 2025" sheetId="77" state="hidden" r:id="rId19"/>
    <sheet name="EMAPA" sheetId="13" state="hidden" r:id="rId20"/>
    <sheet name="RECAU. AGOSTO 2025" sheetId="81" state="hidden" r:id="rId21"/>
    <sheet name="CXC" sheetId="1" r:id="rId22"/>
    <sheet name="RECAU. Diciembre 2025" sheetId="100" state="hidden" r:id="rId23"/>
    <sheet name="RECAU. ENERO 2026" sheetId="106" state="hidden" r:id="rId24"/>
    <sheet name="RECAU. FEBRERO 2026" sheetId="107" state="hidden" r:id="rId25"/>
    <sheet name="GAMS" sheetId="30" r:id="rId26"/>
    <sheet name="Gustavo Tellez" sheetId="9" state="hidden" r:id="rId27"/>
    <sheet name="Ambulante EDUARDO" sheetId="93" r:id="rId28"/>
    <sheet name="Oscar G. Paceña SUCRE" sheetId="103" r:id="rId29"/>
    <sheet name="Supermencado SAS" sheetId="91" r:id="rId30"/>
    <sheet name="SOLAR Supermercado" sheetId="96" r:id="rId31"/>
    <sheet name="LIDER Supermercado" sheetId="95" r:id="rId32"/>
    <sheet name="MERCAMAX SRL" sheetId="104" r:id="rId33"/>
    <sheet name="FARMACIA SAN AGUSTIN" sheetId="94" r:id="rId34"/>
    <sheet name="Supermercado POMPEYA" sheetId="97" r:id="rId35"/>
    <sheet name="RECAU. Noviembre" sheetId="92" state="hidden" r:id="rId36"/>
    <sheet name="RUTH ZARATE" sheetId="88" state="hidden" r:id="rId37"/>
    <sheet name="Cristhian Murillo" sheetId="14" state="hidden" r:id="rId38"/>
    <sheet name="Sebastian Miranda" sheetId="10" state="hidden" r:id="rId39"/>
    <sheet name="Norha Choque" sheetId="17" state="hidden" r:id="rId40"/>
    <sheet name="Marlene Paicho" sheetId="20" state="hidden" r:id="rId41"/>
    <sheet name="Orlando Aldunate" sheetId="23" state="hidden" r:id="rId42"/>
    <sheet name="Pulperia USFX" sheetId="105" r:id="rId43"/>
    <sheet name="RECAU. SEPT 2025" sheetId="85" state="hidden" r:id="rId44"/>
    <sheet name="Rene Cahuana" sheetId="42" state="hidden" r:id="rId45"/>
    <sheet name="Yobana - Chapare" sheetId="39" state="hidden" r:id="rId46"/>
    <sheet name="Kevin - Oruro" sheetId="34" state="hidden" r:id="rId47"/>
    <sheet name="Ines A - Villazon" sheetId="41" state="hidden" r:id="rId48"/>
    <sheet name="Hernan - Pisiga" sheetId="44" state="hidden" r:id="rId49"/>
    <sheet name="Freddy - Oruro" sheetId="51" state="hidden" r:id="rId50"/>
    <sheet name="Gabriela - Pando" sheetId="58" state="hidden" r:id="rId51"/>
    <sheet name="Sergio  - Sucre" sheetId="59" state="hidden" r:id="rId52"/>
    <sheet name="David Choque - Katerine" sheetId="52" state="hidden" r:id="rId53"/>
    <sheet name="RECAU. OCT 2025" sheetId="86" state="hidden" r:id="rId54"/>
    <sheet name="Patricia Romero" sheetId="69" state="hidden" r:id="rId55"/>
    <sheet name="Miguel Calle" sheetId="68" state="hidden" r:id="rId56"/>
    <sheet name="Silvia Gomez" sheetId="70" state="hidden" r:id="rId57"/>
    <sheet name="Jorge - Hector La Paz" sheetId="89" state="hidden" r:id="rId58"/>
    <sheet name="Paul Yamani" sheetId="72" state="hidden" r:id="rId59"/>
    <sheet name="GRUPO ULTRA STA CRUZ" sheetId="79" state="hidden" r:id="rId60"/>
    <sheet name="YOELMA" sheetId="82" state="hidden" r:id="rId61"/>
    <sheet name="LINA CARACOLLO" sheetId="83" state="hidden" r:id="rId62"/>
    <sheet name="RUTH CARANAVI" sheetId="84" state="hidden" r:id="rId63"/>
    <sheet name="ALEJANDRO CHILE" sheetId="74" state="hidden" r:id="rId64"/>
    <sheet name="SANDRA CHILE" sheetId="75" state="hidden" r:id="rId65"/>
  </sheets>
  <definedNames>
    <definedName name="_xlnm._FilterDatabase" localSheetId="21" hidden="1">CXC!$B$6:$G$7</definedName>
    <definedName name="_xlnm._FilterDatabase" localSheetId="19" hidden="1">EMAPA!$B$10:$K$142</definedName>
    <definedName name="_xlnm._FilterDatabase" localSheetId="16" hidden="1">'RECAU. ABRIL 2025'!$B$7:$C$25</definedName>
    <definedName name="_xlnm._FilterDatabase" localSheetId="20" hidden="1">'RECAU. AGOSTO 2025'!$B$7:$C$25</definedName>
    <definedName name="_xlnm._FilterDatabase" localSheetId="22" hidden="1">'RECAU. Diciembre 2025'!$B$7:$C$24</definedName>
    <definedName name="_xlnm._FilterDatabase" localSheetId="23" hidden="1">'RECAU. ENERO 2026'!$B$7:$C$24</definedName>
    <definedName name="_xlnm._FilterDatabase" localSheetId="24" hidden="1">'RECAU. FEBRERO 2026'!$B$7:$C$24</definedName>
    <definedName name="_xlnm._FilterDatabase" localSheetId="2" hidden="1">'RECAU. JULIO 2025'!$B$7:$C$25</definedName>
    <definedName name="_xlnm._FilterDatabase" localSheetId="18" hidden="1">'RECAU. JUNIO 2025'!$B$7:$C$25</definedName>
    <definedName name="_xlnm._FilterDatabase" localSheetId="17" hidden="1">'RECAU. MAYO 2025'!$B$7:$C$25</definedName>
    <definedName name="_xlnm._FilterDatabase" localSheetId="35" hidden="1">'RECAU. Noviembre'!$B$7:$C$24</definedName>
    <definedName name="_xlnm._FilterDatabase" localSheetId="53" hidden="1">'RECAU. OCT 2025'!$B$7:$C$24</definedName>
    <definedName name="_xlnm._FilterDatabase" localSheetId="43" hidden="1">'RECAU. SEPT 2025'!$B$7:$C$24</definedName>
    <definedName name="_xlnm.Print_Area" localSheetId="13">'13'!$A$1:$K$20</definedName>
    <definedName name="_xlnm.Print_Area" localSheetId="3">'3-Fausto C'!$A$1:$K$21</definedName>
    <definedName name="_xlnm.Print_Area" localSheetId="27">'Ambulante EDUARDO'!$A$1:$J$51</definedName>
    <definedName name="_xlnm.Print_Area" localSheetId="37">'Cristhian Murillo'!$A$1:$K$167</definedName>
    <definedName name="_xlnm.Print_Area" localSheetId="33">'FARMACIA SAN AGUSTIN'!$A$1:$J$26</definedName>
    <definedName name="_xlnm.Print_Area" localSheetId="59">'GRUPO ULTRA STA CRUZ'!$A$1:$K$69</definedName>
    <definedName name="_xlnm.Print_Area" localSheetId="26">'Gustavo Tellez'!$A$1:$K$72</definedName>
    <definedName name="_xlnm.Print_Area" localSheetId="31">'LIDER Supermercado'!$A$1:$J$25</definedName>
    <definedName name="_xlnm.Print_Area" localSheetId="40">'Marlene Paicho'!$A$1:$K$26</definedName>
    <definedName name="_xlnm.Print_Area" localSheetId="32">'MERCAMAX SRL'!$A$1:$J$25</definedName>
    <definedName name="_xlnm.Print_Area" localSheetId="39">'Norha Choque'!$A$1:$K$38</definedName>
    <definedName name="_xlnm.Print_Area" localSheetId="28">'Oscar G. Paceña SUCRE'!$A$1:$J$25</definedName>
    <definedName name="_xlnm.Print_Area" localSheetId="42">'Pulperia USFX'!$A$1:$J$25</definedName>
    <definedName name="_xlnm.Print_Area" localSheetId="36">'RUTH ZARATE'!$A$1:$K$59</definedName>
    <definedName name="_xlnm.Print_Area" localSheetId="38">'Sebastian Miranda'!$A$1:$K$132</definedName>
    <definedName name="_xlnm.Print_Area" localSheetId="30">'SOLAR Supermercado'!$A$1:$J$25</definedName>
    <definedName name="_xlnm.Print_Area" localSheetId="29">'Supermencado SAS'!$A$1:$J$62</definedName>
    <definedName name="_xlnm.Print_Area" localSheetId="34">'Supermercado POMPEYA'!$A$1:$J$25</definedName>
    <definedName name="_xlnm.Print_Titles" localSheetId="37">'Cristhian Murillo'!$10:$10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93" l="1"/>
  <c r="H40" i="93"/>
  <c r="H41" i="93" s="1"/>
  <c r="H42" i="93" s="1"/>
  <c r="H43" i="93" s="1"/>
  <c r="H44" i="93" s="1"/>
  <c r="H45" i="93" s="1"/>
  <c r="H46" i="93" s="1"/>
  <c r="H47" i="93" s="1"/>
  <c r="H48" i="93" s="1"/>
  <c r="H22" i="30" l="1"/>
  <c r="H23" i="30" s="1"/>
  <c r="H24" i="30" s="1"/>
  <c r="H25" i="30" s="1"/>
  <c r="H26" i="30" s="1"/>
  <c r="H27" i="30" s="1"/>
  <c r="H28" i="30" s="1"/>
  <c r="L25" i="91" l="1"/>
  <c r="L21" i="91"/>
  <c r="AG29" i="107"/>
  <c r="F30" i="30" l="1"/>
  <c r="E30" i="30"/>
  <c r="L20" i="30"/>
  <c r="N20" i="30" s="1"/>
  <c r="AG41" i="107" l="1"/>
  <c r="AG42" i="107"/>
  <c r="AG38" i="107"/>
  <c r="AG44" i="107"/>
  <c r="AG33" i="107"/>
  <c r="AH33" i="107" s="1"/>
  <c r="AI33" i="107" s="1"/>
  <c r="AG32" i="107"/>
  <c r="AG36" i="107"/>
  <c r="AG31" i="107"/>
  <c r="AG30" i="107"/>
  <c r="AG37" i="107"/>
  <c r="AG43" i="107"/>
  <c r="AH43" i="107" s="1"/>
  <c r="AI43" i="107" s="1"/>
  <c r="K12" i="103"/>
  <c r="K18" i="93"/>
  <c r="AG27" i="107"/>
  <c r="AH27" i="107" s="1"/>
  <c r="AG35" i="107"/>
  <c r="X50" i="107"/>
  <c r="L50" i="107"/>
  <c r="F50" i="107"/>
  <c r="E50" i="107"/>
  <c r="D50" i="107"/>
  <c r="AF49" i="107"/>
  <c r="AE49" i="107"/>
  <c r="AD49" i="107"/>
  <c r="AB49" i="107"/>
  <c r="AA49" i="107"/>
  <c r="AA50" i="107" s="1"/>
  <c r="Z49" i="107"/>
  <c r="Z50" i="107" s="1"/>
  <c r="Y49" i="107"/>
  <c r="Y50" i="107" s="1"/>
  <c r="X49" i="107"/>
  <c r="W49" i="107"/>
  <c r="AC49" i="107" s="1"/>
  <c r="U49" i="107"/>
  <c r="T49" i="107"/>
  <c r="V49" i="107" s="1"/>
  <c r="S49" i="107"/>
  <c r="R49" i="107"/>
  <c r="Q49" i="107"/>
  <c r="P49" i="107"/>
  <c r="N49" i="107"/>
  <c r="N50" i="107" s="1"/>
  <c r="M49" i="107"/>
  <c r="M50" i="107" s="1"/>
  <c r="L49" i="107"/>
  <c r="K49" i="107"/>
  <c r="J49" i="107"/>
  <c r="I49" i="107"/>
  <c r="O49" i="107" s="1"/>
  <c r="H49" i="107"/>
  <c r="G49" i="107"/>
  <c r="AH48" i="107"/>
  <c r="AC48" i="107"/>
  <c r="V48" i="107"/>
  <c r="O48" i="107"/>
  <c r="H48" i="107"/>
  <c r="AH47" i="107"/>
  <c r="AC47" i="107"/>
  <c r="V47" i="107"/>
  <c r="AI47" i="107" s="1"/>
  <c r="O47" i="107"/>
  <c r="H47" i="107"/>
  <c r="AH46" i="107"/>
  <c r="AI46" i="107" s="1"/>
  <c r="AH45" i="107"/>
  <c r="AI45" i="107" s="1"/>
  <c r="AH44" i="107"/>
  <c r="AI44" i="107" s="1"/>
  <c r="AH42" i="107"/>
  <c r="AI42" i="107" s="1"/>
  <c r="AH41" i="107"/>
  <c r="AI41" i="107" s="1"/>
  <c r="AH40" i="107"/>
  <c r="AI40" i="107" s="1"/>
  <c r="AH39" i="107"/>
  <c r="AI39" i="107" s="1"/>
  <c r="AH38" i="107"/>
  <c r="AI38" i="107" s="1"/>
  <c r="AH37" i="107"/>
  <c r="AC37" i="107"/>
  <c r="V37" i="107"/>
  <c r="O37" i="107"/>
  <c r="H37" i="107"/>
  <c r="AH36" i="107"/>
  <c r="AC36" i="107"/>
  <c r="V36" i="107"/>
  <c r="O36" i="107"/>
  <c r="H36" i="107"/>
  <c r="AC35" i="107"/>
  <c r="V35" i="107"/>
  <c r="O35" i="107"/>
  <c r="H35" i="107"/>
  <c r="AC34" i="107"/>
  <c r="V34" i="107"/>
  <c r="O34" i="107"/>
  <c r="H34" i="107"/>
  <c r="AC33" i="107"/>
  <c r="V33" i="107"/>
  <c r="O33" i="107"/>
  <c r="H33" i="107"/>
  <c r="AH32" i="107"/>
  <c r="AC32" i="107"/>
  <c r="V32" i="107"/>
  <c r="O32" i="107"/>
  <c r="H32" i="107"/>
  <c r="AH31" i="107"/>
  <c r="AC31" i="107"/>
  <c r="V31" i="107"/>
  <c r="O31" i="107"/>
  <c r="H31" i="107"/>
  <c r="AI31" i="107" s="1"/>
  <c r="AH30" i="107"/>
  <c r="AC30" i="107"/>
  <c r="V30" i="107"/>
  <c r="O30" i="107"/>
  <c r="H30" i="107"/>
  <c r="AH29" i="107"/>
  <c r="AC29" i="107"/>
  <c r="V29" i="107"/>
  <c r="O29" i="107"/>
  <c r="H29" i="107"/>
  <c r="AH28" i="107"/>
  <c r="AC28" i="107"/>
  <c r="AI28" i="107" s="1"/>
  <c r="V28" i="107"/>
  <c r="O28" i="107"/>
  <c r="H28" i="107"/>
  <c r="AC27" i="107"/>
  <c r="V27" i="107"/>
  <c r="O27" i="107"/>
  <c r="H27" i="107"/>
  <c r="A27" i="107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A38" i="107" s="1"/>
  <c r="A39" i="107" s="1"/>
  <c r="A40" i="107" s="1"/>
  <c r="A41" i="107" s="1"/>
  <c r="A42" i="107" s="1"/>
  <c r="A43" i="107" s="1"/>
  <c r="A44" i="107" s="1"/>
  <c r="A45" i="107" s="1"/>
  <c r="A46" i="107" s="1"/>
  <c r="A47" i="107" s="1"/>
  <c r="A48" i="107" s="1"/>
  <c r="AI26" i="107"/>
  <c r="AH26" i="107"/>
  <c r="AC26" i="107"/>
  <c r="V26" i="107"/>
  <c r="O26" i="107"/>
  <c r="H26" i="107"/>
  <c r="A26" i="107"/>
  <c r="AH25" i="107"/>
  <c r="AC25" i="107"/>
  <c r="V25" i="107"/>
  <c r="O25" i="107"/>
  <c r="H25" i="107"/>
  <c r="AI25" i="107" s="1"/>
  <c r="A25" i="107"/>
  <c r="AH24" i="107"/>
  <c r="AC24" i="107"/>
  <c r="V24" i="107"/>
  <c r="O24" i="107"/>
  <c r="H24" i="107"/>
  <c r="AI24" i="107" s="1"/>
  <c r="AG23" i="107"/>
  <c r="AD23" i="107"/>
  <c r="AH23" i="107" s="1"/>
  <c r="AC23" i="107"/>
  <c r="AB23" i="107"/>
  <c r="AB50" i="107" s="1"/>
  <c r="AA23" i="107"/>
  <c r="Z23" i="107"/>
  <c r="Y23" i="107"/>
  <c r="X23" i="107"/>
  <c r="W23" i="107"/>
  <c r="W50" i="107" s="1"/>
  <c r="U23" i="107"/>
  <c r="U50" i="107" s="1"/>
  <c r="T23" i="107"/>
  <c r="T50" i="107" s="1"/>
  <c r="S23" i="107"/>
  <c r="S50" i="107" s="1"/>
  <c r="R23" i="107"/>
  <c r="R50" i="107" s="1"/>
  <c r="Q23" i="107"/>
  <c r="Q50" i="107" s="1"/>
  <c r="P23" i="107"/>
  <c r="P50" i="107" s="1"/>
  <c r="N23" i="107"/>
  <c r="M23" i="107"/>
  <c r="L23" i="107"/>
  <c r="K23" i="107"/>
  <c r="K50" i="107" s="1"/>
  <c r="J23" i="107"/>
  <c r="J50" i="107" s="1"/>
  <c r="I23" i="107"/>
  <c r="I50" i="107" s="1"/>
  <c r="G23" i="107"/>
  <c r="H23" i="107" s="1"/>
  <c r="AH22" i="107"/>
  <c r="AI22" i="107" s="1"/>
  <c r="AC22" i="107"/>
  <c r="V22" i="107"/>
  <c r="O22" i="107"/>
  <c r="H22" i="107"/>
  <c r="AH21" i="107"/>
  <c r="AC21" i="107"/>
  <c r="V21" i="107"/>
  <c r="O21" i="107"/>
  <c r="H21" i="107"/>
  <c r="AI21" i="107" s="1"/>
  <c r="AI20" i="107"/>
  <c r="AH20" i="107"/>
  <c r="AC20" i="107"/>
  <c r="V20" i="107"/>
  <c r="O20" i="107"/>
  <c r="H20" i="107"/>
  <c r="AH19" i="107"/>
  <c r="AC19" i="107"/>
  <c r="V19" i="107"/>
  <c r="O19" i="107"/>
  <c r="H19" i="107"/>
  <c r="AI19" i="107" s="1"/>
  <c r="AH18" i="107"/>
  <c r="AC18" i="107"/>
  <c r="V18" i="107"/>
  <c r="O18" i="107"/>
  <c r="H18" i="107"/>
  <c r="AI18" i="107" s="1"/>
  <c r="AH17" i="107"/>
  <c r="AC17" i="107"/>
  <c r="V17" i="107"/>
  <c r="AI17" i="107" s="1"/>
  <c r="O17" i="107"/>
  <c r="H17" i="107"/>
  <c r="AH16" i="107"/>
  <c r="AC16" i="107"/>
  <c r="V16" i="107"/>
  <c r="O16" i="107"/>
  <c r="H16" i="107"/>
  <c r="AI16" i="107" s="1"/>
  <c r="AH15" i="107"/>
  <c r="AI15" i="107" s="1"/>
  <c r="AC15" i="107"/>
  <c r="V15" i="107"/>
  <c r="O15" i="107"/>
  <c r="H15" i="107"/>
  <c r="AH14" i="107"/>
  <c r="AC14" i="107"/>
  <c r="V14" i="107"/>
  <c r="O14" i="107"/>
  <c r="H14" i="107"/>
  <c r="AI14" i="107" s="1"/>
  <c r="AH13" i="107"/>
  <c r="AC13" i="107"/>
  <c r="V13" i="107"/>
  <c r="O13" i="107"/>
  <c r="H13" i="107"/>
  <c r="AI13" i="107" s="1"/>
  <c r="AH12" i="107"/>
  <c r="AC12" i="107"/>
  <c r="V12" i="107"/>
  <c r="O12" i="107"/>
  <c r="H12" i="107"/>
  <c r="AI12" i="107" s="1"/>
  <c r="AH11" i="107"/>
  <c r="AC11" i="107"/>
  <c r="V11" i="107"/>
  <c r="O11" i="107"/>
  <c r="H11" i="107"/>
  <c r="AI11" i="107" s="1"/>
  <c r="AH10" i="107"/>
  <c r="AI10" i="107" s="1"/>
  <c r="AC10" i="107"/>
  <c r="V10" i="107"/>
  <c r="O10" i="107"/>
  <c r="H10" i="107"/>
  <c r="AH9" i="107"/>
  <c r="AC9" i="107"/>
  <c r="V9" i="107"/>
  <c r="O9" i="107"/>
  <c r="H9" i="107"/>
  <c r="AI9" i="107" s="1"/>
  <c r="A9" i="107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I8" i="107"/>
  <c r="AH8" i="107"/>
  <c r="AC8" i="107"/>
  <c r="V8" i="107"/>
  <c r="O8" i="107"/>
  <c r="H8" i="107"/>
  <c r="AI29" i="107" l="1"/>
  <c r="AH35" i="107"/>
  <c r="AI35" i="107" s="1"/>
  <c r="AI36" i="107"/>
  <c r="AI48" i="107"/>
  <c r="AI32" i="107"/>
  <c r="AI27" i="107"/>
  <c r="AI37" i="107"/>
  <c r="AI30" i="107"/>
  <c r="V50" i="107"/>
  <c r="AI23" i="107"/>
  <c r="O50" i="107"/>
  <c r="AC50" i="107"/>
  <c r="G50" i="107"/>
  <c r="H50" i="107" s="1"/>
  <c r="O23" i="107"/>
  <c r="V23" i="107"/>
  <c r="AD50" i="107"/>
  <c r="AH50" i="107" s="1"/>
  <c r="H14" i="94" l="1"/>
  <c r="H15" i="94" s="1"/>
  <c r="H16" i="94" s="1"/>
  <c r="H13" i="94"/>
  <c r="H12" i="94"/>
  <c r="F21" i="93" l="1"/>
  <c r="K22" i="93" s="1"/>
  <c r="AG34" i="107" l="1"/>
  <c r="AH34" i="107" l="1"/>
  <c r="AI34" i="107" s="1"/>
  <c r="AI49" i="107" s="1"/>
  <c r="AI50" i="107" s="1"/>
  <c r="AG49" i="107"/>
  <c r="AH49" i="107" s="1"/>
  <c r="AI49" i="106"/>
  <c r="L12" i="95" l="1"/>
  <c r="F50" i="106"/>
  <c r="E50" i="106"/>
  <c r="D50" i="106"/>
  <c r="AG49" i="106"/>
  <c r="AF49" i="106"/>
  <c r="AE49" i="106"/>
  <c r="AD49" i="106"/>
  <c r="AB49" i="106"/>
  <c r="AA49" i="106"/>
  <c r="Z49" i="106"/>
  <c r="Y49" i="106"/>
  <c r="X49" i="106"/>
  <c r="W49" i="106"/>
  <c r="AC49" i="106" s="1"/>
  <c r="U49" i="106"/>
  <c r="T49" i="106"/>
  <c r="S49" i="106"/>
  <c r="R49" i="106"/>
  <c r="Q49" i="106"/>
  <c r="P49" i="106"/>
  <c r="N49" i="106"/>
  <c r="M49" i="106"/>
  <c r="L49" i="106"/>
  <c r="K49" i="106"/>
  <c r="J49" i="106"/>
  <c r="J50" i="106" s="1"/>
  <c r="I49" i="106"/>
  <c r="G49" i="106"/>
  <c r="H49" i="106" s="1"/>
  <c r="AH48" i="106"/>
  <c r="AC48" i="106"/>
  <c r="V48" i="106"/>
  <c r="O48" i="106"/>
  <c r="H48" i="106"/>
  <c r="AH47" i="106"/>
  <c r="AC47" i="106"/>
  <c r="V47" i="106"/>
  <c r="O47" i="106"/>
  <c r="H47" i="106"/>
  <c r="AH46" i="106"/>
  <c r="AI46" i="106" s="1"/>
  <c r="AH45" i="106"/>
  <c r="AI45" i="106" s="1"/>
  <c r="AH44" i="106"/>
  <c r="AI44" i="106" s="1"/>
  <c r="AH43" i="106"/>
  <c r="AI43" i="106" s="1"/>
  <c r="AH42" i="106"/>
  <c r="AI42" i="106" s="1"/>
  <c r="AH41" i="106"/>
  <c r="AI41" i="106" s="1"/>
  <c r="AH40" i="106"/>
  <c r="AI40" i="106" s="1"/>
  <c r="AH39" i="106"/>
  <c r="AI39" i="106" s="1"/>
  <c r="AH38" i="106"/>
  <c r="AI38" i="106" s="1"/>
  <c r="AH37" i="106"/>
  <c r="AC37" i="106"/>
  <c r="V37" i="106"/>
  <c r="O37" i="106"/>
  <c r="H37" i="106"/>
  <c r="AI37" i="106" s="1"/>
  <c r="AI36" i="106"/>
  <c r="AH36" i="106"/>
  <c r="AC36" i="106"/>
  <c r="V36" i="106"/>
  <c r="O36" i="106"/>
  <c r="H36" i="106"/>
  <c r="AH35" i="106"/>
  <c r="AC35" i="106"/>
  <c r="V35" i="106"/>
  <c r="O35" i="106"/>
  <c r="H35" i="106"/>
  <c r="AI35" i="106" s="1"/>
  <c r="AH34" i="106"/>
  <c r="AC34" i="106"/>
  <c r="V34" i="106"/>
  <c r="O34" i="106"/>
  <c r="H34" i="106"/>
  <c r="AH33" i="106"/>
  <c r="AC33" i="106"/>
  <c r="V33" i="106"/>
  <c r="O33" i="106"/>
  <c r="H33" i="106"/>
  <c r="AH32" i="106"/>
  <c r="AC32" i="106"/>
  <c r="V32" i="106"/>
  <c r="O32" i="106"/>
  <c r="H32" i="106"/>
  <c r="AH31" i="106"/>
  <c r="AC31" i="106"/>
  <c r="V31" i="106"/>
  <c r="O31" i="106"/>
  <c r="H31" i="106"/>
  <c r="AH30" i="106"/>
  <c r="AC30" i="106"/>
  <c r="V30" i="106"/>
  <c r="O30" i="106"/>
  <c r="H30" i="106"/>
  <c r="AI30" i="106" s="1"/>
  <c r="AH29" i="106"/>
  <c r="AI29" i="106" s="1"/>
  <c r="AC29" i="106"/>
  <c r="V29" i="106"/>
  <c r="O29" i="106"/>
  <c r="H29" i="106"/>
  <c r="AH28" i="106"/>
  <c r="AC28" i="106"/>
  <c r="V28" i="106"/>
  <c r="O28" i="106"/>
  <c r="H28" i="106"/>
  <c r="AI28" i="106" s="1"/>
  <c r="AH27" i="106"/>
  <c r="AC27" i="106"/>
  <c r="V27" i="106"/>
  <c r="O27" i="106"/>
  <c r="H27" i="106"/>
  <c r="AH26" i="106"/>
  <c r="AC26" i="106"/>
  <c r="V26" i="106"/>
  <c r="O26" i="106"/>
  <c r="H26" i="106"/>
  <c r="AH25" i="106"/>
  <c r="AC25" i="106"/>
  <c r="V25" i="106"/>
  <c r="O25" i="106"/>
  <c r="H25" i="106"/>
  <c r="A25" i="106"/>
  <c r="A26" i="106" s="1"/>
  <c r="A27" i="106" s="1"/>
  <c r="A28" i="106" s="1"/>
  <c r="A29" i="106" s="1"/>
  <c r="A30" i="106" s="1"/>
  <c r="A31" i="106" s="1"/>
  <c r="A32" i="106" s="1"/>
  <c r="A33" i="106" s="1"/>
  <c r="A34" i="106" s="1"/>
  <c r="A35" i="106" s="1"/>
  <c r="A36" i="106" s="1"/>
  <c r="A37" i="106" s="1"/>
  <c r="A38" i="106" s="1"/>
  <c r="A39" i="106" s="1"/>
  <c r="A40" i="106" s="1"/>
  <c r="A41" i="106" s="1"/>
  <c r="A42" i="106" s="1"/>
  <c r="A43" i="106" s="1"/>
  <c r="A44" i="106" s="1"/>
  <c r="A45" i="106" s="1"/>
  <c r="A46" i="106" s="1"/>
  <c r="A47" i="106" s="1"/>
  <c r="A48" i="106" s="1"/>
  <c r="AH24" i="106"/>
  <c r="AC24" i="106"/>
  <c r="V24" i="106"/>
  <c r="O24" i="106"/>
  <c r="H24" i="106"/>
  <c r="AG23" i="106"/>
  <c r="AD23" i="106"/>
  <c r="AD50" i="106" s="1"/>
  <c r="AH50" i="106" s="1"/>
  <c r="AB23" i="106"/>
  <c r="AB50" i="106" s="1"/>
  <c r="AA23" i="106"/>
  <c r="AA50" i="106" s="1"/>
  <c r="Z23" i="106"/>
  <c r="Z50" i="106" s="1"/>
  <c r="Y23" i="106"/>
  <c r="Y50" i="106" s="1"/>
  <c r="X23" i="106"/>
  <c r="X50" i="106" s="1"/>
  <c r="W23" i="106"/>
  <c r="AC23" i="106" s="1"/>
  <c r="U23" i="106"/>
  <c r="T23" i="106"/>
  <c r="T50" i="106" s="1"/>
  <c r="S23" i="106"/>
  <c r="R23" i="106"/>
  <c r="R50" i="106" s="1"/>
  <c r="Q23" i="106"/>
  <c r="Q50" i="106" s="1"/>
  <c r="P23" i="106"/>
  <c r="V23" i="106" s="1"/>
  <c r="O23" i="106"/>
  <c r="N23" i="106"/>
  <c r="N50" i="106" s="1"/>
  <c r="M23" i="106"/>
  <c r="M50" i="106" s="1"/>
  <c r="L23" i="106"/>
  <c r="L50" i="106" s="1"/>
  <c r="K23" i="106"/>
  <c r="K50" i="106" s="1"/>
  <c r="J23" i="106"/>
  <c r="I23" i="106"/>
  <c r="G23" i="106"/>
  <c r="AH22" i="106"/>
  <c r="AC22" i="106"/>
  <c r="V22" i="106"/>
  <c r="O22" i="106"/>
  <c r="H22" i="106"/>
  <c r="AI22" i="106" s="1"/>
  <c r="AH21" i="106"/>
  <c r="AC21" i="106"/>
  <c r="V21" i="106"/>
  <c r="O21" i="106"/>
  <c r="H21" i="106"/>
  <c r="AI21" i="106" s="1"/>
  <c r="AH20" i="106"/>
  <c r="AC20" i="106"/>
  <c r="V20" i="106"/>
  <c r="O20" i="106"/>
  <c r="H20" i="106"/>
  <c r="AI20" i="106" s="1"/>
  <c r="AH19" i="106"/>
  <c r="AC19" i="106"/>
  <c r="V19" i="106"/>
  <c r="O19" i="106"/>
  <c r="H19" i="106"/>
  <c r="AI19" i="106" s="1"/>
  <c r="AI18" i="106"/>
  <c r="AH18" i="106"/>
  <c r="AC18" i="106"/>
  <c r="V18" i="106"/>
  <c r="O18" i="106"/>
  <c r="H18" i="106"/>
  <c r="AH17" i="106"/>
  <c r="AC17" i="106"/>
  <c r="V17" i="106"/>
  <c r="O17" i="106"/>
  <c r="H17" i="106"/>
  <c r="AI17" i="106" s="1"/>
  <c r="AH16" i="106"/>
  <c r="AC16" i="106"/>
  <c r="V16" i="106"/>
  <c r="O16" i="106"/>
  <c r="H16" i="106"/>
  <c r="AI16" i="106" s="1"/>
  <c r="AH15" i="106"/>
  <c r="AC15" i="106"/>
  <c r="V15" i="106"/>
  <c r="O15" i="106"/>
  <c r="AI15" i="106" s="1"/>
  <c r="H15" i="106"/>
  <c r="AH14" i="106"/>
  <c r="AC14" i="106"/>
  <c r="V14" i="106"/>
  <c r="O14" i="106"/>
  <c r="H14" i="106"/>
  <c r="AI14" i="106" s="1"/>
  <c r="AH13" i="106"/>
  <c r="AI13" i="106" s="1"/>
  <c r="AC13" i="106"/>
  <c r="V13" i="106"/>
  <c r="O13" i="106"/>
  <c r="H13" i="106"/>
  <c r="AH12" i="106"/>
  <c r="AC12" i="106"/>
  <c r="V12" i="106"/>
  <c r="O12" i="106"/>
  <c r="H12" i="106"/>
  <c r="AI12" i="106" s="1"/>
  <c r="AI11" i="106"/>
  <c r="AH11" i="106"/>
  <c r="AC11" i="106"/>
  <c r="V11" i="106"/>
  <c r="O11" i="106"/>
  <c r="H11" i="106"/>
  <c r="AH10" i="106"/>
  <c r="AC10" i="106"/>
  <c r="V10" i="106"/>
  <c r="O10" i="106"/>
  <c r="H10" i="106"/>
  <c r="AI10" i="106" s="1"/>
  <c r="AH9" i="106"/>
  <c r="AC9" i="106"/>
  <c r="V9" i="106"/>
  <c r="O9" i="106"/>
  <c r="H9" i="106"/>
  <c r="AI9" i="106" s="1"/>
  <c r="A9" i="106"/>
  <c r="A10" i="106" s="1"/>
  <c r="A11" i="106" s="1"/>
  <c r="A12" i="106" s="1"/>
  <c r="A13" i="106" s="1"/>
  <c r="A14" i="106" s="1"/>
  <c r="A15" i="106" s="1"/>
  <c r="A16" i="106" s="1"/>
  <c r="A17" i="106" s="1"/>
  <c r="A18" i="106" s="1"/>
  <c r="A19" i="106" s="1"/>
  <c r="A20" i="106" s="1"/>
  <c r="A21" i="106" s="1"/>
  <c r="AH8" i="106"/>
  <c r="AC8" i="106"/>
  <c r="V8" i="106"/>
  <c r="O8" i="106"/>
  <c r="H8" i="106"/>
  <c r="AI8" i="106" s="1"/>
  <c r="AI48" i="106" l="1"/>
  <c r="S50" i="106"/>
  <c r="I50" i="106"/>
  <c r="AI31" i="106"/>
  <c r="O49" i="106"/>
  <c r="G50" i="106"/>
  <c r="O50" i="106"/>
  <c r="U50" i="106"/>
  <c r="V49" i="106"/>
  <c r="AI24" i="106"/>
  <c r="AI26" i="106"/>
  <c r="AI33" i="106"/>
  <c r="AI27" i="106"/>
  <c r="AH49" i="106"/>
  <c r="AI25" i="106"/>
  <c r="AI32" i="106"/>
  <c r="AI34" i="106"/>
  <c r="AI47" i="106"/>
  <c r="AI23" i="106"/>
  <c r="H50" i="106"/>
  <c r="W50" i="106"/>
  <c r="AC50" i="106" s="1"/>
  <c r="H23" i="106"/>
  <c r="AH23" i="106"/>
  <c r="P50" i="106"/>
  <c r="V50" i="106" s="1"/>
  <c r="AI50" i="106" l="1"/>
  <c r="F24" i="105" l="1"/>
  <c r="E17" i="1" s="1"/>
  <c r="E24" i="105"/>
  <c r="L16" i="105"/>
  <c r="L13" i="105"/>
  <c r="H11" i="105"/>
  <c r="H12" i="105" s="1"/>
  <c r="H13" i="105" s="1"/>
  <c r="H14" i="105" s="1"/>
  <c r="H15" i="105" s="1"/>
  <c r="H16" i="105" s="1"/>
  <c r="H17" i="105" s="1"/>
  <c r="H18" i="105" s="1"/>
  <c r="H19" i="105" s="1"/>
  <c r="H20" i="105" s="1"/>
  <c r="H21" i="105" s="1"/>
  <c r="H22" i="105" s="1"/>
  <c r="H23" i="105" s="1"/>
  <c r="F24" i="104"/>
  <c r="E14" i="1" s="1"/>
  <c r="E24" i="104"/>
  <c r="H11" i="104"/>
  <c r="H12" i="104" s="1"/>
  <c r="H13" i="104" s="1"/>
  <c r="H14" i="104" s="1"/>
  <c r="H15" i="104" s="1"/>
  <c r="H16" i="104" s="1"/>
  <c r="H17" i="104" s="1"/>
  <c r="H18" i="104" s="1"/>
  <c r="H19" i="104" s="1"/>
  <c r="H20" i="104" s="1"/>
  <c r="H21" i="104" s="1"/>
  <c r="H22" i="104" s="1"/>
  <c r="H23" i="104" s="1"/>
  <c r="F25" i="105" l="1"/>
  <c r="D17" i="1"/>
  <c r="F17" i="1" s="1"/>
  <c r="F25" i="104"/>
  <c r="D14" i="1"/>
  <c r="F14" i="1" s="1"/>
  <c r="F24" i="103" l="1"/>
  <c r="E9" i="1" s="1"/>
  <c r="E24" i="103"/>
  <c r="H11" i="103"/>
  <c r="H12" i="103" s="1"/>
  <c r="H13" i="103" s="1"/>
  <c r="H14" i="103" s="1"/>
  <c r="H15" i="103" s="1"/>
  <c r="H16" i="103" s="1"/>
  <c r="H17" i="103" s="1"/>
  <c r="H18" i="103" s="1"/>
  <c r="H19" i="103" s="1"/>
  <c r="H20" i="103" s="1"/>
  <c r="H21" i="103" s="1"/>
  <c r="H22" i="103" s="1"/>
  <c r="H23" i="103" s="1"/>
  <c r="F25" i="103" l="1"/>
  <c r="D9" i="1"/>
  <c r="F9" i="1" l="1"/>
  <c r="L14" i="91"/>
  <c r="F54" i="88"/>
  <c r="K14" i="93"/>
  <c r="I50" i="100"/>
  <c r="F50" i="100"/>
  <c r="E50" i="100"/>
  <c r="D50" i="100"/>
  <c r="AG49" i="100"/>
  <c r="AF49" i="100"/>
  <c r="AE49" i="100"/>
  <c r="AD49" i="100"/>
  <c r="AB49" i="100"/>
  <c r="AA49" i="100"/>
  <c r="Z49" i="100"/>
  <c r="Z50" i="100" s="1"/>
  <c r="Y49" i="100"/>
  <c r="Y50" i="100" s="1"/>
  <c r="X49" i="100"/>
  <c r="X50" i="100" s="1"/>
  <c r="W49" i="100"/>
  <c r="W50" i="100" s="1"/>
  <c r="AC50" i="100" s="1"/>
  <c r="U49" i="100"/>
  <c r="U50" i="100" s="1"/>
  <c r="T49" i="100"/>
  <c r="S49" i="100"/>
  <c r="R49" i="100"/>
  <c r="Q49" i="100"/>
  <c r="V49" i="100" s="1"/>
  <c r="P49" i="100"/>
  <c r="N49" i="100"/>
  <c r="N50" i="100" s="1"/>
  <c r="M49" i="100"/>
  <c r="M50" i="100" s="1"/>
  <c r="L49" i="100"/>
  <c r="L50" i="100" s="1"/>
  <c r="K49" i="100"/>
  <c r="K50" i="100" s="1"/>
  <c r="J49" i="100"/>
  <c r="J50" i="100" s="1"/>
  <c r="I49" i="100"/>
  <c r="G49" i="100"/>
  <c r="H49" i="100" s="1"/>
  <c r="AH48" i="100"/>
  <c r="AI48" i="100" s="1"/>
  <c r="AC48" i="100"/>
  <c r="V48" i="100"/>
  <c r="O48" i="100"/>
  <c r="H48" i="100"/>
  <c r="AH47" i="100"/>
  <c r="AC47" i="100"/>
  <c r="V47" i="100"/>
  <c r="O47" i="100"/>
  <c r="H47" i="100"/>
  <c r="AI47" i="100" s="1"/>
  <c r="AH46" i="100"/>
  <c r="AI46" i="100" s="1"/>
  <c r="AH45" i="100"/>
  <c r="AI45" i="100" s="1"/>
  <c r="AH44" i="100"/>
  <c r="AI44" i="100" s="1"/>
  <c r="AH43" i="100"/>
  <c r="AI43" i="100" s="1"/>
  <c r="AH42" i="100"/>
  <c r="AI42" i="100" s="1"/>
  <c r="AH41" i="100"/>
  <c r="AI41" i="100" s="1"/>
  <c r="AH40" i="100"/>
  <c r="AI40" i="100" s="1"/>
  <c r="AH39" i="100"/>
  <c r="AI39" i="100" s="1"/>
  <c r="AH38" i="100"/>
  <c r="AI38" i="100" s="1"/>
  <c r="AH37" i="100"/>
  <c r="AC37" i="100"/>
  <c r="V37" i="100"/>
  <c r="O37" i="100"/>
  <c r="H37" i="100"/>
  <c r="AH36" i="100"/>
  <c r="AI36" i="100" s="1"/>
  <c r="AC36" i="100"/>
  <c r="V36" i="100"/>
  <c r="O36" i="100"/>
  <c r="H36" i="100"/>
  <c r="AH35" i="100"/>
  <c r="AC35" i="100"/>
  <c r="V35" i="100"/>
  <c r="O35" i="100"/>
  <c r="H35" i="100"/>
  <c r="AH34" i="100"/>
  <c r="AC34" i="100"/>
  <c r="V34" i="100"/>
  <c r="O34" i="100"/>
  <c r="H34" i="100"/>
  <c r="AI34" i="100" s="1"/>
  <c r="AH33" i="100"/>
  <c r="AC33" i="100"/>
  <c r="V33" i="100"/>
  <c r="AI33" i="100" s="1"/>
  <c r="O33" i="100"/>
  <c r="H33" i="100"/>
  <c r="AH32" i="100"/>
  <c r="AC32" i="100"/>
  <c r="V32" i="100"/>
  <c r="O32" i="100"/>
  <c r="H32" i="100"/>
  <c r="AH31" i="100"/>
  <c r="AI31" i="100" s="1"/>
  <c r="AC31" i="100"/>
  <c r="V31" i="100"/>
  <c r="O31" i="100"/>
  <c r="H31" i="100"/>
  <c r="AH30" i="100"/>
  <c r="AC30" i="100"/>
  <c r="V30" i="100"/>
  <c r="O30" i="100"/>
  <c r="H30" i="100"/>
  <c r="AH29" i="100"/>
  <c r="AC29" i="100"/>
  <c r="V29" i="100"/>
  <c r="O29" i="100"/>
  <c r="H29" i="100"/>
  <c r="AH28" i="100"/>
  <c r="AC28" i="100"/>
  <c r="V28" i="100"/>
  <c r="O28" i="100"/>
  <c r="AI28" i="100" s="1"/>
  <c r="H28" i="100"/>
  <c r="AH27" i="100"/>
  <c r="AC27" i="100"/>
  <c r="V27" i="100"/>
  <c r="O27" i="100"/>
  <c r="H27" i="100"/>
  <c r="AI27" i="100" s="1"/>
  <c r="AH26" i="100"/>
  <c r="AC26" i="100"/>
  <c r="AI26" i="100" s="1"/>
  <c r="V26" i="100"/>
  <c r="O26" i="100"/>
  <c r="H26" i="100"/>
  <c r="AH25" i="100"/>
  <c r="AC25" i="100"/>
  <c r="V25" i="100"/>
  <c r="O25" i="100"/>
  <c r="H25" i="100"/>
  <c r="A25" i="100"/>
  <c r="A26" i="100" s="1"/>
  <c r="A27" i="100" s="1"/>
  <c r="A28" i="100" s="1"/>
  <c r="A29" i="100" s="1"/>
  <c r="A30" i="100" s="1"/>
  <c r="A31" i="100" s="1"/>
  <c r="A32" i="100" s="1"/>
  <c r="A33" i="100" s="1"/>
  <c r="A34" i="100" s="1"/>
  <c r="A35" i="100" s="1"/>
  <c r="A36" i="100" s="1"/>
  <c r="A37" i="100" s="1"/>
  <c r="A38" i="100" s="1"/>
  <c r="A39" i="100" s="1"/>
  <c r="A40" i="100" s="1"/>
  <c r="A41" i="100" s="1"/>
  <c r="A42" i="100" s="1"/>
  <c r="A43" i="100" s="1"/>
  <c r="A44" i="100" s="1"/>
  <c r="A45" i="100" s="1"/>
  <c r="A46" i="100" s="1"/>
  <c r="A47" i="100" s="1"/>
  <c r="A48" i="100" s="1"/>
  <c r="AH24" i="100"/>
  <c r="AI24" i="100" s="1"/>
  <c r="AC24" i="100"/>
  <c r="V24" i="100"/>
  <c r="O24" i="100"/>
  <c r="H24" i="100"/>
  <c r="AG23" i="100"/>
  <c r="AD23" i="100"/>
  <c r="AH23" i="100" s="1"/>
  <c r="AB23" i="100"/>
  <c r="AB50" i="100" s="1"/>
  <c r="AA23" i="100"/>
  <c r="AA50" i="100" s="1"/>
  <c r="Z23" i="100"/>
  <c r="Y23" i="100"/>
  <c r="X23" i="100"/>
  <c r="W23" i="100"/>
  <c r="U23" i="100"/>
  <c r="T23" i="100"/>
  <c r="T50" i="100" s="1"/>
  <c r="S23" i="100"/>
  <c r="S50" i="100" s="1"/>
  <c r="R23" i="100"/>
  <c r="R50" i="100" s="1"/>
  <c r="Q23" i="100"/>
  <c r="Q50" i="100" s="1"/>
  <c r="P23" i="100"/>
  <c r="P50" i="100" s="1"/>
  <c r="O23" i="100"/>
  <c r="N23" i="100"/>
  <c r="M23" i="100"/>
  <c r="L23" i="100"/>
  <c r="K23" i="100"/>
  <c r="J23" i="100"/>
  <c r="I23" i="100"/>
  <c r="G23" i="100"/>
  <c r="G50" i="100" s="1"/>
  <c r="AH22" i="100"/>
  <c r="AC22" i="100"/>
  <c r="V22" i="100"/>
  <c r="AI22" i="100" s="1"/>
  <c r="O22" i="100"/>
  <c r="H22" i="100"/>
  <c r="AH21" i="100"/>
  <c r="AC21" i="100"/>
  <c r="V21" i="100"/>
  <c r="O21" i="100"/>
  <c r="H21" i="100"/>
  <c r="AI21" i="100" s="1"/>
  <c r="AH20" i="100"/>
  <c r="AI20" i="100" s="1"/>
  <c r="AC20" i="100"/>
  <c r="V20" i="100"/>
  <c r="O20" i="100"/>
  <c r="H20" i="100"/>
  <c r="AH19" i="100"/>
  <c r="AC19" i="100"/>
  <c r="V19" i="100"/>
  <c r="O19" i="100"/>
  <c r="H19" i="100"/>
  <c r="AI19" i="100" s="1"/>
  <c r="AH18" i="100"/>
  <c r="AC18" i="100"/>
  <c r="V18" i="100"/>
  <c r="O18" i="100"/>
  <c r="H18" i="100"/>
  <c r="AI18" i="100" s="1"/>
  <c r="AH17" i="100"/>
  <c r="AC17" i="100"/>
  <c r="V17" i="100"/>
  <c r="O17" i="100"/>
  <c r="AI17" i="100" s="1"/>
  <c r="H17" i="100"/>
  <c r="AH16" i="100"/>
  <c r="AC16" i="100"/>
  <c r="V16" i="100"/>
  <c r="O16" i="100"/>
  <c r="H16" i="100"/>
  <c r="AI16" i="100" s="1"/>
  <c r="AH15" i="100"/>
  <c r="AI15" i="100" s="1"/>
  <c r="AC15" i="100"/>
  <c r="V15" i="100"/>
  <c r="O15" i="100"/>
  <c r="H15" i="100"/>
  <c r="AH14" i="100"/>
  <c r="AC14" i="100"/>
  <c r="V14" i="100"/>
  <c r="O14" i="100"/>
  <c r="H14" i="100"/>
  <c r="AI14" i="100" s="1"/>
  <c r="AI13" i="100"/>
  <c r="AH13" i="100"/>
  <c r="AC13" i="100"/>
  <c r="V13" i="100"/>
  <c r="O13" i="100"/>
  <c r="H13" i="100"/>
  <c r="AH12" i="100"/>
  <c r="AC12" i="100"/>
  <c r="V12" i="100"/>
  <c r="O12" i="100"/>
  <c r="H12" i="100"/>
  <c r="AI12" i="100" s="1"/>
  <c r="AH11" i="100"/>
  <c r="AC11" i="100"/>
  <c r="V11" i="100"/>
  <c r="O11" i="100"/>
  <c r="H11" i="100"/>
  <c r="AI11" i="100" s="1"/>
  <c r="AH10" i="100"/>
  <c r="AC10" i="100"/>
  <c r="V10" i="100"/>
  <c r="AI10" i="100" s="1"/>
  <c r="O10" i="100"/>
  <c r="H10" i="100"/>
  <c r="AH9" i="100"/>
  <c r="AC9" i="100"/>
  <c r="V9" i="100"/>
  <c r="O9" i="100"/>
  <c r="H9" i="100"/>
  <c r="AI9" i="100" s="1"/>
  <c r="A9" i="100"/>
  <c r="A10" i="100" s="1"/>
  <c r="A11" i="100" s="1"/>
  <c r="A12" i="100" s="1"/>
  <c r="A13" i="100" s="1"/>
  <c r="A14" i="100" s="1"/>
  <c r="A15" i="100" s="1"/>
  <c r="A16" i="100" s="1"/>
  <c r="A17" i="100" s="1"/>
  <c r="A18" i="100" s="1"/>
  <c r="A19" i="100" s="1"/>
  <c r="A20" i="100" s="1"/>
  <c r="A21" i="100" s="1"/>
  <c r="AH8" i="100"/>
  <c r="AI8" i="100" s="1"/>
  <c r="AC8" i="100"/>
  <c r="V8" i="100"/>
  <c r="O8" i="100"/>
  <c r="H8" i="100"/>
  <c r="AI29" i="100" l="1"/>
  <c r="AI49" i="100" s="1"/>
  <c r="AI50" i="100" s="1"/>
  <c r="AC49" i="100"/>
  <c r="O50" i="100"/>
  <c r="O49" i="100"/>
  <c r="AH49" i="100"/>
  <c r="AI25" i="100"/>
  <c r="AI30" i="100"/>
  <c r="AI37" i="100"/>
  <c r="AI32" i="100"/>
  <c r="AI35" i="100"/>
  <c r="AI23" i="100"/>
  <c r="H50" i="100"/>
  <c r="V50" i="100"/>
  <c r="H23" i="100"/>
  <c r="AD50" i="100"/>
  <c r="AH50" i="100" s="1"/>
  <c r="AC23" i="100"/>
  <c r="V23" i="100"/>
  <c r="F59" i="88" l="1"/>
  <c r="E54" i="88"/>
  <c r="A7" i="1" l="1"/>
  <c r="F24" i="97" l="1"/>
  <c r="E16" i="1" s="1"/>
  <c r="E24" i="97"/>
  <c r="H11" i="97"/>
  <c r="H12" i="97" s="1"/>
  <c r="H13" i="97" s="1"/>
  <c r="H14" i="97" s="1"/>
  <c r="H15" i="97" s="1"/>
  <c r="H16" i="97" s="1"/>
  <c r="H17" i="97" s="1"/>
  <c r="H18" i="97" s="1"/>
  <c r="H19" i="97" s="1"/>
  <c r="H20" i="97" s="1"/>
  <c r="H21" i="97" s="1"/>
  <c r="H22" i="97" s="1"/>
  <c r="H23" i="97" s="1"/>
  <c r="F24" i="96"/>
  <c r="E12" i="1" s="1"/>
  <c r="E24" i="96"/>
  <c r="H11" i="96"/>
  <c r="H12" i="96" s="1"/>
  <c r="F24" i="95"/>
  <c r="E13" i="1" s="1"/>
  <c r="E24" i="95"/>
  <c r="D13" i="1" s="1"/>
  <c r="H11" i="95"/>
  <c r="H12" i="95" s="1"/>
  <c r="H13" i="95" s="1"/>
  <c r="H14" i="95" s="1"/>
  <c r="H15" i="95" s="1"/>
  <c r="H16" i="95" s="1"/>
  <c r="H17" i="95" s="1"/>
  <c r="H18" i="95" s="1"/>
  <c r="H19" i="95" s="1"/>
  <c r="H20" i="95" s="1"/>
  <c r="H21" i="95" s="1"/>
  <c r="H22" i="95" s="1"/>
  <c r="H23" i="95" s="1"/>
  <c r="E50" i="93"/>
  <c r="D10" i="1" s="1"/>
  <c r="E25" i="94"/>
  <c r="D15" i="1" s="1"/>
  <c r="F25" i="94"/>
  <c r="E15" i="1" s="1"/>
  <c r="H11" i="94"/>
  <c r="H17" i="94" s="1"/>
  <c r="H18" i="94" s="1"/>
  <c r="H19" i="94" s="1"/>
  <c r="H20" i="94" s="1"/>
  <c r="H21" i="94" s="1"/>
  <c r="H22" i="94" s="1"/>
  <c r="H23" i="94" s="1"/>
  <c r="H24" i="94" s="1"/>
  <c r="F50" i="93"/>
  <c r="E10" i="1" s="1"/>
  <c r="H11" i="93"/>
  <c r="H12" i="93" s="1"/>
  <c r="H13" i="93" s="1"/>
  <c r="H14" i="93" s="1"/>
  <c r="H15" i="93" s="1"/>
  <c r="H16" i="93" s="1"/>
  <c r="H17" i="93" s="1"/>
  <c r="H18" i="93" s="1"/>
  <c r="H19" i="93" s="1"/>
  <c r="H20" i="93" s="1"/>
  <c r="H21" i="93" s="1"/>
  <c r="H22" i="93" l="1"/>
  <c r="H23" i="93" s="1"/>
  <c r="H24" i="93" s="1"/>
  <c r="H25" i="93" s="1"/>
  <c r="H26" i="93" s="1"/>
  <c r="H27" i="93" s="1"/>
  <c r="H28" i="93" s="1"/>
  <c r="H13" i="96"/>
  <c r="H14" i="96" s="1"/>
  <c r="H15" i="96" s="1"/>
  <c r="H16" i="96" s="1"/>
  <c r="H17" i="96" s="1"/>
  <c r="H18" i="96" s="1"/>
  <c r="H19" i="96" s="1"/>
  <c r="H20" i="96" s="1"/>
  <c r="H21" i="96" s="1"/>
  <c r="H22" i="96" s="1"/>
  <c r="H23" i="96" s="1"/>
  <c r="F15" i="1"/>
  <c r="F10" i="1"/>
  <c r="F25" i="96"/>
  <c r="D12" i="1"/>
  <c r="F12" i="1" s="1"/>
  <c r="F13" i="1"/>
  <c r="F25" i="97"/>
  <c r="D16" i="1"/>
  <c r="F16" i="1" s="1"/>
  <c r="F25" i="95"/>
  <c r="F26" i="94"/>
  <c r="F51" i="93"/>
  <c r="AG48" i="92"/>
  <c r="H29" i="93" l="1"/>
  <c r="H30" i="93" s="1"/>
  <c r="H31" i="93" s="1"/>
  <c r="H32" i="93" s="1"/>
  <c r="L12" i="89"/>
  <c r="F97" i="14"/>
  <c r="Q50" i="92"/>
  <c r="F50" i="92"/>
  <c r="E50" i="92"/>
  <c r="D50" i="92"/>
  <c r="AG49" i="92"/>
  <c r="AH49" i="92" s="1"/>
  <c r="AF49" i="92"/>
  <c r="AE49" i="92"/>
  <c r="AD49" i="92"/>
  <c r="AB49" i="92"/>
  <c r="AA49" i="92"/>
  <c r="AA50" i="92" s="1"/>
  <c r="Z49" i="92"/>
  <c r="Z50" i="92" s="1"/>
  <c r="Y49" i="92"/>
  <c r="X49" i="92"/>
  <c r="W49" i="92"/>
  <c r="AC49" i="92" s="1"/>
  <c r="U49" i="92"/>
  <c r="V49" i="92" s="1"/>
  <c r="T49" i="92"/>
  <c r="S49" i="92"/>
  <c r="R49" i="92"/>
  <c r="Q49" i="92"/>
  <c r="P49" i="92"/>
  <c r="N49" i="92"/>
  <c r="N50" i="92" s="1"/>
  <c r="M49" i="92"/>
  <c r="M50" i="92" s="1"/>
  <c r="L49" i="92"/>
  <c r="K49" i="92"/>
  <c r="J49" i="92"/>
  <c r="I49" i="92"/>
  <c r="O49" i="92" s="1"/>
  <c r="G49" i="92"/>
  <c r="H49" i="92" s="1"/>
  <c r="AH48" i="92"/>
  <c r="AC48" i="92"/>
  <c r="V48" i="92"/>
  <c r="O48" i="92"/>
  <c r="H48" i="92"/>
  <c r="AH47" i="92"/>
  <c r="AC47" i="92"/>
  <c r="V47" i="92"/>
  <c r="O47" i="92"/>
  <c r="H47" i="92"/>
  <c r="AH46" i="92"/>
  <c r="AI46" i="92" s="1"/>
  <c r="AH45" i="92"/>
  <c r="AI45" i="92" s="1"/>
  <c r="AH44" i="92"/>
  <c r="AI44" i="92" s="1"/>
  <c r="AH43" i="92"/>
  <c r="AI43" i="92" s="1"/>
  <c r="AH42" i="92"/>
  <c r="AI42" i="92" s="1"/>
  <c r="AH41" i="92"/>
  <c r="AI41" i="92" s="1"/>
  <c r="AH40" i="92"/>
  <c r="AI40" i="92" s="1"/>
  <c r="AH39" i="92"/>
  <c r="AI39" i="92" s="1"/>
  <c r="AH38" i="92"/>
  <c r="AI38" i="92" s="1"/>
  <c r="AH37" i="92"/>
  <c r="AI37" i="92" s="1"/>
  <c r="AC37" i="92"/>
  <c r="V37" i="92"/>
  <c r="O37" i="92"/>
  <c r="H37" i="92"/>
  <c r="AH36" i="92"/>
  <c r="AC36" i="92"/>
  <c r="V36" i="92"/>
  <c r="O36" i="92"/>
  <c r="H36" i="92"/>
  <c r="AH35" i="92"/>
  <c r="AC35" i="92"/>
  <c r="V35" i="92"/>
  <c r="O35" i="92"/>
  <c r="H35" i="92"/>
  <c r="AH34" i="92"/>
  <c r="AC34" i="92"/>
  <c r="V34" i="92"/>
  <c r="AI34" i="92" s="1"/>
  <c r="O34" i="92"/>
  <c r="H34" i="92"/>
  <c r="AH33" i="92"/>
  <c r="AI33" i="92" s="1"/>
  <c r="AC33" i="92"/>
  <c r="V33" i="92"/>
  <c r="O33" i="92"/>
  <c r="H33" i="92"/>
  <c r="AH32" i="92"/>
  <c r="AC32" i="92"/>
  <c r="V32" i="92"/>
  <c r="O32" i="92"/>
  <c r="H32" i="92"/>
  <c r="AH31" i="92"/>
  <c r="AC31" i="92"/>
  <c r="V31" i="92"/>
  <c r="O31" i="92"/>
  <c r="H31" i="92"/>
  <c r="AH30" i="92"/>
  <c r="AC30" i="92"/>
  <c r="V30" i="92"/>
  <c r="O30" i="92"/>
  <c r="H30" i="92"/>
  <c r="AH29" i="92"/>
  <c r="AC29" i="92"/>
  <c r="V29" i="92"/>
  <c r="O29" i="92"/>
  <c r="H29" i="92"/>
  <c r="AH28" i="92"/>
  <c r="AI28" i="92" s="1"/>
  <c r="AC28" i="92"/>
  <c r="V28" i="92"/>
  <c r="O28" i="92"/>
  <c r="H28" i="92"/>
  <c r="AH27" i="92"/>
  <c r="AC27" i="92"/>
  <c r="V27" i="92"/>
  <c r="O27" i="92"/>
  <c r="H27" i="92"/>
  <c r="AI27" i="92" s="1"/>
  <c r="A27" i="92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H26" i="92"/>
  <c r="AC26" i="92"/>
  <c r="V26" i="92"/>
  <c r="O26" i="92"/>
  <c r="H26" i="92"/>
  <c r="AI26" i="92" s="1"/>
  <c r="A26" i="92"/>
  <c r="AH25" i="92"/>
  <c r="AI25" i="92" s="1"/>
  <c r="AC25" i="92"/>
  <c r="V25" i="92"/>
  <c r="O25" i="92"/>
  <c r="H25" i="92"/>
  <c r="A25" i="92"/>
  <c r="AH24" i="92"/>
  <c r="AC24" i="92"/>
  <c r="V24" i="92"/>
  <c r="O24" i="92"/>
  <c r="H24" i="92"/>
  <c r="AG23" i="92"/>
  <c r="AD23" i="92"/>
  <c r="AD50" i="92" s="1"/>
  <c r="AH50" i="92" s="1"/>
  <c r="AB23" i="92"/>
  <c r="AB50" i="92" s="1"/>
  <c r="AA23" i="92"/>
  <c r="Z23" i="92"/>
  <c r="Y23" i="92"/>
  <c r="Y50" i="92" s="1"/>
  <c r="X23" i="92"/>
  <c r="X50" i="92" s="1"/>
  <c r="W23" i="92"/>
  <c r="AC23" i="92" s="1"/>
  <c r="V23" i="92"/>
  <c r="U23" i="92"/>
  <c r="U50" i="92" s="1"/>
  <c r="T23" i="92"/>
  <c r="T50" i="92" s="1"/>
  <c r="S23" i="92"/>
  <c r="S50" i="92" s="1"/>
  <c r="R23" i="92"/>
  <c r="R50" i="92" s="1"/>
  <c r="Q23" i="92"/>
  <c r="P23" i="92"/>
  <c r="P50" i="92" s="1"/>
  <c r="N23" i="92"/>
  <c r="M23" i="92"/>
  <c r="L23" i="92"/>
  <c r="L50" i="92" s="1"/>
  <c r="K23" i="92"/>
  <c r="K50" i="92" s="1"/>
  <c r="J23" i="92"/>
  <c r="J50" i="92" s="1"/>
  <c r="I23" i="92"/>
  <c r="O23" i="92" s="1"/>
  <c r="G23" i="92"/>
  <c r="H23" i="92" s="1"/>
  <c r="AI22" i="92"/>
  <c r="AH22" i="92"/>
  <c r="AC22" i="92"/>
  <c r="V22" i="92"/>
  <c r="O22" i="92"/>
  <c r="H22" i="92"/>
  <c r="A22" i="92"/>
  <c r="AH21" i="92"/>
  <c r="AC21" i="92"/>
  <c r="V21" i="92"/>
  <c r="O21" i="92"/>
  <c r="H21" i="92"/>
  <c r="AI21" i="92" s="1"/>
  <c r="AH20" i="92"/>
  <c r="AC20" i="92"/>
  <c r="V20" i="92"/>
  <c r="O20" i="92"/>
  <c r="H20" i="92"/>
  <c r="AI20" i="92" s="1"/>
  <c r="AH19" i="92"/>
  <c r="AC19" i="92"/>
  <c r="V19" i="92"/>
  <c r="O19" i="92"/>
  <c r="H19" i="92"/>
  <c r="AI19" i="92" s="1"/>
  <c r="AH18" i="92"/>
  <c r="AC18" i="92"/>
  <c r="V18" i="92"/>
  <c r="O18" i="92"/>
  <c r="H18" i="92"/>
  <c r="AI18" i="92" s="1"/>
  <c r="AH17" i="92"/>
  <c r="AI17" i="92" s="1"/>
  <c r="AC17" i="92"/>
  <c r="V17" i="92"/>
  <c r="O17" i="92"/>
  <c r="H17" i="92"/>
  <c r="AH16" i="92"/>
  <c r="AC16" i="92"/>
  <c r="V16" i="92"/>
  <c r="O16" i="92"/>
  <c r="H16" i="92"/>
  <c r="AI16" i="92" s="1"/>
  <c r="AH15" i="92"/>
  <c r="AC15" i="92"/>
  <c r="V15" i="92"/>
  <c r="O15" i="92"/>
  <c r="H15" i="92"/>
  <c r="AI15" i="92" s="1"/>
  <c r="AI14" i="92"/>
  <c r="AH14" i="92"/>
  <c r="AC14" i="92"/>
  <c r="V14" i="92"/>
  <c r="O14" i="92"/>
  <c r="H14" i="92"/>
  <c r="AH13" i="92"/>
  <c r="AC13" i="92"/>
  <c r="V13" i="92"/>
  <c r="O13" i="92"/>
  <c r="H13" i="92"/>
  <c r="AI13" i="92" s="1"/>
  <c r="AH12" i="92"/>
  <c r="AC12" i="92"/>
  <c r="V12" i="92"/>
  <c r="O12" i="92"/>
  <c r="AI12" i="92" s="1"/>
  <c r="H12" i="92"/>
  <c r="AH11" i="92"/>
  <c r="AC11" i="92"/>
  <c r="V11" i="92"/>
  <c r="AI11" i="92" s="1"/>
  <c r="O11" i="92"/>
  <c r="H11" i="92"/>
  <c r="A11" i="92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I10" i="92"/>
  <c r="AH10" i="92"/>
  <c r="AC10" i="92"/>
  <c r="V10" i="92"/>
  <c r="O10" i="92"/>
  <c r="H10" i="92"/>
  <c r="A10" i="92"/>
  <c r="AH9" i="92"/>
  <c r="AC9" i="92"/>
  <c r="V9" i="92"/>
  <c r="O9" i="92"/>
  <c r="H9" i="92"/>
  <c r="AI9" i="92" s="1"/>
  <c r="A9" i="92"/>
  <c r="AH8" i="92"/>
  <c r="AC8" i="92"/>
  <c r="V8" i="92"/>
  <c r="O8" i="92"/>
  <c r="H8" i="92"/>
  <c r="AI8" i="92" s="1"/>
  <c r="AI23" i="92" s="1"/>
  <c r="O38" i="88"/>
  <c r="H33" i="93" l="1"/>
  <c r="H34" i="93" s="1"/>
  <c r="H35" i="93" s="1"/>
  <c r="H36" i="93" s="1"/>
  <c r="AI32" i="92"/>
  <c r="AI29" i="92"/>
  <c r="AI36" i="92"/>
  <c r="AI47" i="92"/>
  <c r="AI30" i="92"/>
  <c r="AI48" i="92"/>
  <c r="AI49" i="92" s="1"/>
  <c r="AI50" i="92" s="1"/>
  <c r="AI24" i="92"/>
  <c r="AI35" i="92"/>
  <c r="AI31" i="92"/>
  <c r="V50" i="92"/>
  <c r="G50" i="92"/>
  <c r="H50" i="92" s="1"/>
  <c r="I50" i="92"/>
  <c r="O50" i="92" s="1"/>
  <c r="W50" i="92"/>
  <c r="AC50" i="92" s="1"/>
  <c r="AH23" i="92"/>
  <c r="H37" i="93" l="1"/>
  <c r="H38" i="93" s="1"/>
  <c r="H39" i="93" s="1"/>
  <c r="O17" i="88" l="1"/>
  <c r="M17" i="88" l="1"/>
  <c r="H11" i="91" l="1"/>
  <c r="H12" i="91" s="1"/>
  <c r="H13" i="91" s="1"/>
  <c r="H14" i="91" s="1"/>
  <c r="H15" i="91" s="1"/>
  <c r="H16" i="91" s="1"/>
  <c r="F61" i="91"/>
  <c r="E11" i="1" s="1"/>
  <c r="H11" i="89"/>
  <c r="H12" i="89" s="1"/>
  <c r="H13" i="89" s="1"/>
  <c r="H14" i="89" s="1"/>
  <c r="H15" i="89" s="1"/>
  <c r="H16" i="89" s="1"/>
  <c r="H17" i="89" s="1"/>
  <c r="H18" i="89" s="1"/>
  <c r="H19" i="89" s="1"/>
  <c r="H20" i="89" s="1"/>
  <c r="H21" i="89" s="1"/>
  <c r="H22" i="89" s="1"/>
  <c r="H23" i="89" s="1"/>
  <c r="H24" i="89" s="1"/>
  <c r="H25" i="89" s="1"/>
  <c r="H26" i="89" s="1"/>
  <c r="F27" i="89"/>
  <c r="E27" i="89"/>
  <c r="H17" i="91" l="1"/>
  <c r="H18" i="91" s="1"/>
  <c r="H19" i="91" s="1"/>
  <c r="H20" i="91" s="1"/>
  <c r="H21" i="91" s="1"/>
  <c r="E61" i="91"/>
  <c r="F28" i="89"/>
  <c r="F166" i="14"/>
  <c r="E166" i="14"/>
  <c r="E97" i="14"/>
  <c r="H11" i="88"/>
  <c r="H12" i="88" s="1"/>
  <c r="H13" i="88" s="1"/>
  <c r="H14" i="88" s="1"/>
  <c r="H15" i="88" s="1"/>
  <c r="H16" i="88" s="1"/>
  <c r="H17" i="88" s="1"/>
  <c r="H18" i="88" s="1"/>
  <c r="H19" i="88" s="1"/>
  <c r="L32" i="42"/>
  <c r="L25" i="82"/>
  <c r="H22" i="91" l="1"/>
  <c r="H23" i="91" s="1"/>
  <c r="H24" i="91" s="1"/>
  <c r="H25" i="91" s="1"/>
  <c r="H26" i="91" s="1"/>
  <c r="H27" i="91" s="1"/>
  <c r="F62" i="91"/>
  <c r="D11" i="1"/>
  <c r="H20" i="88"/>
  <c r="H21" i="88" s="1"/>
  <c r="H22" i="88" s="1"/>
  <c r="H23" i="88" s="1"/>
  <c r="H24" i="88" s="1"/>
  <c r="H25" i="88" s="1"/>
  <c r="F167" i="14"/>
  <c r="F55" i="88"/>
  <c r="F58" i="88" s="1"/>
  <c r="T50" i="86"/>
  <c r="S50" i="86"/>
  <c r="H50" i="86"/>
  <c r="G50" i="86"/>
  <c r="F50" i="86"/>
  <c r="E50" i="86"/>
  <c r="D50" i="86"/>
  <c r="AG49" i="86"/>
  <c r="AH49" i="86" s="1"/>
  <c r="AF49" i="86"/>
  <c r="AE49" i="86"/>
  <c r="AD49" i="86"/>
  <c r="AB49" i="86"/>
  <c r="AB50" i="86" s="1"/>
  <c r="AA49" i="86"/>
  <c r="Z49" i="86"/>
  <c r="AC49" i="86" s="1"/>
  <c r="Y49" i="86"/>
  <c r="X49" i="86"/>
  <c r="W49" i="86"/>
  <c r="U49" i="86"/>
  <c r="U50" i="86" s="1"/>
  <c r="T49" i="86"/>
  <c r="S49" i="86"/>
  <c r="R49" i="86"/>
  <c r="Q49" i="86"/>
  <c r="P49" i="86"/>
  <c r="P50" i="86" s="1"/>
  <c r="V50" i="86" s="1"/>
  <c r="O49" i="86"/>
  <c r="N49" i="86"/>
  <c r="M49" i="86"/>
  <c r="L49" i="86"/>
  <c r="K49" i="86"/>
  <c r="J49" i="86"/>
  <c r="J50" i="86" s="1"/>
  <c r="I49" i="86"/>
  <c r="I50" i="86" s="1"/>
  <c r="H49" i="86"/>
  <c r="G49" i="86"/>
  <c r="AH48" i="86"/>
  <c r="AC48" i="86"/>
  <c r="V48" i="86"/>
  <c r="O48" i="86"/>
  <c r="AI48" i="86" s="1"/>
  <c r="H48" i="86"/>
  <c r="AH47" i="86"/>
  <c r="AC47" i="86"/>
  <c r="V47" i="86"/>
  <c r="O47" i="86"/>
  <c r="H47" i="86"/>
  <c r="AI47" i="86" s="1"/>
  <c r="AI46" i="86"/>
  <c r="AH46" i="86"/>
  <c r="AH45" i="86"/>
  <c r="AI45" i="86" s="1"/>
  <c r="AH44" i="86"/>
  <c r="AI44" i="86" s="1"/>
  <c r="AH43" i="86"/>
  <c r="AI43" i="86" s="1"/>
  <c r="AI42" i="86"/>
  <c r="AH42" i="86"/>
  <c r="AH41" i="86"/>
  <c r="AI41" i="86" s="1"/>
  <c r="AH40" i="86"/>
  <c r="AI40" i="86" s="1"/>
  <c r="AH39" i="86"/>
  <c r="AI39" i="86" s="1"/>
  <c r="AH38" i="86"/>
  <c r="AI38" i="86" s="1"/>
  <c r="AH37" i="86"/>
  <c r="AC37" i="86"/>
  <c r="V37" i="86"/>
  <c r="O37" i="86"/>
  <c r="H37" i="86"/>
  <c r="AI37" i="86" s="1"/>
  <c r="AH36" i="86"/>
  <c r="AC36" i="86"/>
  <c r="V36" i="86"/>
  <c r="O36" i="86"/>
  <c r="H36" i="86"/>
  <c r="AH35" i="86"/>
  <c r="AC35" i="86"/>
  <c r="V35" i="86"/>
  <c r="O35" i="86"/>
  <c r="H35" i="86"/>
  <c r="AI35" i="86" s="1"/>
  <c r="AH34" i="86"/>
  <c r="AI34" i="86" s="1"/>
  <c r="AC34" i="86"/>
  <c r="V34" i="86"/>
  <c r="O34" i="86"/>
  <c r="H34" i="86"/>
  <c r="AH33" i="86"/>
  <c r="AC33" i="86"/>
  <c r="V33" i="86"/>
  <c r="O33" i="86"/>
  <c r="H33" i="86"/>
  <c r="AH32" i="86"/>
  <c r="AI32" i="86" s="1"/>
  <c r="AC32" i="86"/>
  <c r="V32" i="86"/>
  <c r="O32" i="86"/>
  <c r="H32" i="86"/>
  <c r="AH31" i="86"/>
  <c r="AC31" i="86"/>
  <c r="V31" i="86"/>
  <c r="O31" i="86"/>
  <c r="H31" i="86"/>
  <c r="AI31" i="86" s="1"/>
  <c r="AH30" i="86"/>
  <c r="AC30" i="86"/>
  <c r="V30" i="86"/>
  <c r="O30" i="86"/>
  <c r="AI30" i="86" s="1"/>
  <c r="H30" i="86"/>
  <c r="AH29" i="86"/>
  <c r="AC29" i="86"/>
  <c r="V29" i="86"/>
  <c r="O29" i="86"/>
  <c r="H29" i="86"/>
  <c r="AH28" i="86"/>
  <c r="AC28" i="86"/>
  <c r="V28" i="86"/>
  <c r="O28" i="86"/>
  <c r="H28" i="86"/>
  <c r="AI28" i="86" s="1"/>
  <c r="AH27" i="86"/>
  <c r="AI27" i="86" s="1"/>
  <c r="AC27" i="86"/>
  <c r="V27" i="86"/>
  <c r="O27" i="86"/>
  <c r="H27" i="86"/>
  <c r="AH26" i="86"/>
  <c r="AC26" i="86"/>
  <c r="V26" i="86"/>
  <c r="O26" i="86"/>
  <c r="H26" i="86"/>
  <c r="A26" i="86"/>
  <c r="A27" i="86" s="1"/>
  <c r="A28" i="86" s="1"/>
  <c r="A29" i="86" s="1"/>
  <c r="A30" i="86" s="1"/>
  <c r="A31" i="86" s="1"/>
  <c r="A32" i="86" s="1"/>
  <c r="A33" i="86" s="1"/>
  <c r="A34" i="86" s="1"/>
  <c r="A35" i="86" s="1"/>
  <c r="A36" i="86" s="1"/>
  <c r="A37" i="86" s="1"/>
  <c r="A38" i="86" s="1"/>
  <c r="A39" i="86" s="1"/>
  <c r="A40" i="86" s="1"/>
  <c r="A41" i="86" s="1"/>
  <c r="A42" i="86" s="1"/>
  <c r="A43" i="86" s="1"/>
  <c r="A44" i="86" s="1"/>
  <c r="A45" i="86" s="1"/>
  <c r="A46" i="86" s="1"/>
  <c r="A47" i="86" s="1"/>
  <c r="A48" i="86" s="1"/>
  <c r="AH25" i="86"/>
  <c r="AC25" i="86"/>
  <c r="V25" i="86"/>
  <c r="O25" i="86"/>
  <c r="H25" i="86"/>
  <c r="AI25" i="86" s="1"/>
  <c r="A25" i="86"/>
  <c r="AH24" i="86"/>
  <c r="AC24" i="86"/>
  <c r="V24" i="86"/>
  <c r="O24" i="86"/>
  <c r="H24" i="86"/>
  <c r="AG23" i="86"/>
  <c r="AD23" i="86"/>
  <c r="AD50" i="86" s="1"/>
  <c r="AH50" i="86" s="1"/>
  <c r="AB23" i="86"/>
  <c r="AA23" i="86"/>
  <c r="AA50" i="86" s="1"/>
  <c r="Z23" i="86"/>
  <c r="Z50" i="86" s="1"/>
  <c r="Y23" i="86"/>
  <c r="Y50" i="86" s="1"/>
  <c r="X23" i="86"/>
  <c r="X50" i="86" s="1"/>
  <c r="W23" i="86"/>
  <c r="AC23" i="86" s="1"/>
  <c r="U23" i="86"/>
  <c r="T23" i="86"/>
  <c r="S23" i="86"/>
  <c r="R23" i="86"/>
  <c r="R50" i="86" s="1"/>
  <c r="Q23" i="86"/>
  <c r="Q50" i="86" s="1"/>
  <c r="P23" i="86"/>
  <c r="V23" i="86" s="1"/>
  <c r="N23" i="86"/>
  <c r="N50" i="86" s="1"/>
  <c r="M23" i="86"/>
  <c r="M50" i="86" s="1"/>
  <c r="L23" i="86"/>
  <c r="L50" i="86" s="1"/>
  <c r="K23" i="86"/>
  <c r="K50" i="86" s="1"/>
  <c r="J23" i="86"/>
  <c r="I23" i="86"/>
  <c r="O23" i="86" s="1"/>
  <c r="G23" i="86"/>
  <c r="H23" i="86" s="1"/>
  <c r="AH22" i="86"/>
  <c r="AC22" i="86"/>
  <c r="V22" i="86"/>
  <c r="O22" i="86"/>
  <c r="H22" i="86"/>
  <c r="AI22" i="86" s="1"/>
  <c r="A22" i="86"/>
  <c r="AI21" i="86"/>
  <c r="AH21" i="86"/>
  <c r="AC21" i="86"/>
  <c r="V21" i="86"/>
  <c r="O21" i="86"/>
  <c r="H21" i="86"/>
  <c r="AH20" i="86"/>
  <c r="AC20" i="86"/>
  <c r="V20" i="86"/>
  <c r="O20" i="86"/>
  <c r="H20" i="86"/>
  <c r="AI20" i="86" s="1"/>
  <c r="AH19" i="86"/>
  <c r="AC19" i="86"/>
  <c r="V19" i="86"/>
  <c r="O19" i="86"/>
  <c r="AI19" i="86" s="1"/>
  <c r="H19" i="86"/>
  <c r="AH18" i="86"/>
  <c r="AC18" i="86"/>
  <c r="V18" i="86"/>
  <c r="AI18" i="86" s="1"/>
  <c r="O18" i="86"/>
  <c r="H18" i="86"/>
  <c r="AH17" i="86"/>
  <c r="AC17" i="86"/>
  <c r="V17" i="86"/>
  <c r="O17" i="86"/>
  <c r="H17" i="86"/>
  <c r="AI17" i="86" s="1"/>
  <c r="AI16" i="86"/>
  <c r="AH16" i="86"/>
  <c r="AC16" i="86"/>
  <c r="V16" i="86"/>
  <c r="O16" i="86"/>
  <c r="H16" i="86"/>
  <c r="AH15" i="86"/>
  <c r="AC15" i="86"/>
  <c r="V15" i="86"/>
  <c r="O15" i="86"/>
  <c r="H15" i="86"/>
  <c r="AI15" i="86" s="1"/>
  <c r="AH14" i="86"/>
  <c r="AC14" i="86"/>
  <c r="V14" i="86"/>
  <c r="O14" i="86"/>
  <c r="H14" i="86"/>
  <c r="AI14" i="86" s="1"/>
  <c r="AH13" i="86"/>
  <c r="AC13" i="86"/>
  <c r="V13" i="86"/>
  <c r="O13" i="86"/>
  <c r="AI13" i="86" s="1"/>
  <c r="H13" i="86"/>
  <c r="AH12" i="86"/>
  <c r="AC12" i="86"/>
  <c r="V12" i="86"/>
  <c r="O12" i="86"/>
  <c r="H12" i="86"/>
  <c r="AI12" i="86" s="1"/>
  <c r="AH11" i="86"/>
  <c r="AI11" i="86" s="1"/>
  <c r="AC11" i="86"/>
  <c r="V11" i="86"/>
  <c r="O11" i="86"/>
  <c r="H11" i="86"/>
  <c r="AH10" i="86"/>
  <c r="AC10" i="86"/>
  <c r="V10" i="86"/>
  <c r="O10" i="86"/>
  <c r="H10" i="86"/>
  <c r="AI10" i="86" s="1"/>
  <c r="A10" i="86"/>
  <c r="A11" i="86" s="1"/>
  <c r="A12" i="86" s="1"/>
  <c r="A13" i="86" s="1"/>
  <c r="A14" i="86" s="1"/>
  <c r="A15" i="86" s="1"/>
  <c r="A16" i="86" s="1"/>
  <c r="A17" i="86" s="1"/>
  <c r="A18" i="86" s="1"/>
  <c r="A19" i="86" s="1"/>
  <c r="A20" i="86" s="1"/>
  <c r="A21" i="86" s="1"/>
  <c r="AI9" i="86"/>
  <c r="AH9" i="86"/>
  <c r="AC9" i="86"/>
  <c r="V9" i="86"/>
  <c r="O9" i="86"/>
  <c r="H9" i="86"/>
  <c r="A9" i="86"/>
  <c r="AH8" i="86"/>
  <c r="AC8" i="86"/>
  <c r="V8" i="86"/>
  <c r="O8" i="86"/>
  <c r="H8" i="86"/>
  <c r="AI8" i="86" s="1"/>
  <c r="F11" i="1" l="1"/>
  <c r="H28" i="91"/>
  <c r="H29" i="91" s="1"/>
  <c r="H30" i="91" s="1"/>
  <c r="H31" i="91" s="1"/>
  <c r="H32" i="91" s="1"/>
  <c r="H33" i="91" s="1"/>
  <c r="H34" i="91" s="1"/>
  <c r="H35" i="91" s="1"/>
  <c r="H36" i="91" s="1"/>
  <c r="H37" i="91" s="1"/>
  <c r="H38" i="91" s="1"/>
  <c r="H39" i="91" s="1"/>
  <c r="H26" i="88"/>
  <c r="H27" i="88" s="1"/>
  <c r="H28" i="88" s="1"/>
  <c r="H29" i="88" s="1"/>
  <c r="AI29" i="86"/>
  <c r="AI26" i="86"/>
  <c r="AI33" i="86"/>
  <c r="AI49" i="86" s="1"/>
  <c r="AI50" i="86" s="1"/>
  <c r="AI24" i="86"/>
  <c r="AI36" i="86"/>
  <c r="O50" i="86"/>
  <c r="AI23" i="86"/>
  <c r="W50" i="86"/>
  <c r="AC50" i="86" s="1"/>
  <c r="V49" i="86"/>
  <c r="AH23" i="86"/>
  <c r="F66" i="14"/>
  <c r="E66" i="14"/>
  <c r="F88" i="14"/>
  <c r="E88" i="14"/>
  <c r="H25" i="82"/>
  <c r="H26" i="82" s="1"/>
  <c r="H27" i="82" s="1"/>
  <c r="H28" i="82" s="1"/>
  <c r="H29" i="82" s="1"/>
  <c r="N79" i="14"/>
  <c r="O79" i="14" s="1"/>
  <c r="H40" i="91" l="1"/>
  <c r="H41" i="91" s="1"/>
  <c r="H42" i="91" s="1"/>
  <c r="H43" i="91" s="1"/>
  <c r="H44" i="91" s="1"/>
  <c r="H45" i="91" s="1"/>
  <c r="H46" i="91" s="1"/>
  <c r="H47" i="91" s="1"/>
  <c r="H48" i="91" s="1"/>
  <c r="H49" i="91" s="1"/>
  <c r="H50" i="91" s="1"/>
  <c r="H51" i="91" s="1"/>
  <c r="H30" i="88"/>
  <c r="H31" i="88" s="1"/>
  <c r="H32" i="88" s="1"/>
  <c r="H33" i="88" s="1"/>
  <c r="H34" i="88" s="1"/>
  <c r="H35" i="88" s="1"/>
  <c r="H36" i="88" s="1"/>
  <c r="M16" i="30"/>
  <c r="H60" i="91" l="1"/>
  <c r="H52" i="91"/>
  <c r="H53" i="91" s="1"/>
  <c r="H54" i="91" s="1"/>
  <c r="H55" i="91" s="1"/>
  <c r="H56" i="91" s="1"/>
  <c r="H57" i="91" s="1"/>
  <c r="H58" i="91" s="1"/>
  <c r="H59" i="91" s="1"/>
  <c r="H37" i="88"/>
  <c r="H38" i="88" s="1"/>
  <c r="H39" i="88" s="1"/>
  <c r="L12" i="83"/>
  <c r="L21" i="82"/>
  <c r="L12" i="84"/>
  <c r="L27" i="42"/>
  <c r="M59" i="16"/>
  <c r="A26" i="85"/>
  <c r="A27" i="85"/>
  <c r="A28" i="85"/>
  <c r="A29" i="85"/>
  <c r="A30" i="85" s="1"/>
  <c r="A31" i="85" s="1"/>
  <c r="A32" i="85" s="1"/>
  <c r="A33" i="85" s="1"/>
  <c r="A34" i="85" s="1"/>
  <c r="A35" i="85" s="1"/>
  <c r="A36" i="85" s="1"/>
  <c r="A37" i="85" s="1"/>
  <c r="A38" i="85" s="1"/>
  <c r="A39" i="85" s="1"/>
  <c r="A40" i="85" s="1"/>
  <c r="A41" i="85" s="1"/>
  <c r="A42" i="85" s="1"/>
  <c r="A43" i="85" s="1"/>
  <c r="A44" i="85" s="1"/>
  <c r="A45" i="85" s="1"/>
  <c r="A46" i="85" s="1"/>
  <c r="A47" i="85" s="1"/>
  <c r="A48" i="85" s="1"/>
  <c r="AH45" i="85"/>
  <c r="AI45" i="85" s="1"/>
  <c r="AH46" i="85"/>
  <c r="AI46" i="85" s="1"/>
  <c r="F50" i="85"/>
  <c r="E50" i="85"/>
  <c r="D50" i="85"/>
  <c r="AG49" i="85"/>
  <c r="AF49" i="85"/>
  <c r="AE49" i="85"/>
  <c r="AD49" i="85"/>
  <c r="AB49" i="85"/>
  <c r="AA49" i="85"/>
  <c r="Z49" i="85"/>
  <c r="Y49" i="85"/>
  <c r="X49" i="85"/>
  <c r="W49" i="85"/>
  <c r="U49" i="85"/>
  <c r="T49" i="85"/>
  <c r="S49" i="85"/>
  <c r="R49" i="85"/>
  <c r="Q49" i="85"/>
  <c r="P49" i="85"/>
  <c r="N49" i="85"/>
  <c r="M49" i="85"/>
  <c r="L49" i="85"/>
  <c r="K49" i="85"/>
  <c r="J49" i="85"/>
  <c r="I49" i="85"/>
  <c r="G49" i="85"/>
  <c r="H49" i="85" s="1"/>
  <c r="AH48" i="85"/>
  <c r="AC48" i="85"/>
  <c r="V48" i="85"/>
  <c r="O48" i="85"/>
  <c r="H48" i="85"/>
  <c r="AH47" i="85"/>
  <c r="AC47" i="85"/>
  <c r="V47" i="85"/>
  <c r="O47" i="85"/>
  <c r="H47" i="85"/>
  <c r="AH44" i="85"/>
  <c r="AI44" i="85" s="1"/>
  <c r="AH43" i="85"/>
  <c r="AI43" i="85" s="1"/>
  <c r="AH42" i="85"/>
  <c r="AI42" i="85" s="1"/>
  <c r="AH41" i="85"/>
  <c r="AI41" i="85" s="1"/>
  <c r="AH40" i="85"/>
  <c r="AI40" i="85" s="1"/>
  <c r="AH39" i="85"/>
  <c r="AI39" i="85" s="1"/>
  <c r="AH38" i="85"/>
  <c r="AI38" i="85" s="1"/>
  <c r="AH37" i="85"/>
  <c r="AC37" i="85"/>
  <c r="V37" i="85"/>
  <c r="O37" i="85"/>
  <c r="H37" i="85"/>
  <c r="AH36" i="85"/>
  <c r="AC36" i="85"/>
  <c r="V36" i="85"/>
  <c r="O36" i="85"/>
  <c r="H36" i="85"/>
  <c r="AH35" i="85"/>
  <c r="AC35" i="85"/>
  <c r="V35" i="85"/>
  <c r="O35" i="85"/>
  <c r="H35" i="85"/>
  <c r="AH34" i="85"/>
  <c r="AC34" i="85"/>
  <c r="V34" i="85"/>
  <c r="O34" i="85"/>
  <c r="H34" i="85"/>
  <c r="AH33" i="85"/>
  <c r="AC33" i="85"/>
  <c r="V33" i="85"/>
  <c r="O33" i="85"/>
  <c r="H33" i="85"/>
  <c r="AH32" i="85"/>
  <c r="AC32" i="85"/>
  <c r="V32" i="85"/>
  <c r="O32" i="85"/>
  <c r="H32" i="85"/>
  <c r="AH31" i="85"/>
  <c r="AC31" i="85"/>
  <c r="V31" i="85"/>
  <c r="O31" i="85"/>
  <c r="H31" i="85"/>
  <c r="AH30" i="85"/>
  <c r="AC30" i="85"/>
  <c r="V30" i="85"/>
  <c r="O30" i="85"/>
  <c r="H30" i="85"/>
  <c r="AH29" i="85"/>
  <c r="AC29" i="85"/>
  <c r="V29" i="85"/>
  <c r="O29" i="85"/>
  <c r="H29" i="85"/>
  <c r="AH28" i="85"/>
  <c r="AC28" i="85"/>
  <c r="V28" i="85"/>
  <c r="O28" i="85"/>
  <c r="H28" i="85"/>
  <c r="AH27" i="85"/>
  <c r="AC27" i="85"/>
  <c r="V27" i="85"/>
  <c r="O27" i="85"/>
  <c r="H27" i="85"/>
  <c r="AH26" i="85"/>
  <c r="AC26" i="85"/>
  <c r="V26" i="85"/>
  <c r="O26" i="85"/>
  <c r="H26" i="85"/>
  <c r="AH25" i="85"/>
  <c r="AC25" i="85"/>
  <c r="V25" i="85"/>
  <c r="O25" i="85"/>
  <c r="H25" i="85"/>
  <c r="AH24" i="85"/>
  <c r="AC24" i="85"/>
  <c r="V24" i="85"/>
  <c r="O24" i="85"/>
  <c r="H24" i="85"/>
  <c r="AG23" i="85"/>
  <c r="AD23" i="85"/>
  <c r="AD50" i="85" s="1"/>
  <c r="AH50" i="85" s="1"/>
  <c r="AB23" i="85"/>
  <c r="AA23" i="85"/>
  <c r="Z23" i="85"/>
  <c r="Y23" i="85"/>
  <c r="X23" i="85"/>
  <c r="X50" i="85" s="1"/>
  <c r="W23" i="85"/>
  <c r="U23" i="85"/>
  <c r="T23" i="85"/>
  <c r="S23" i="85"/>
  <c r="R23" i="85"/>
  <c r="Q23" i="85"/>
  <c r="P23" i="85"/>
  <c r="P50" i="85" s="1"/>
  <c r="N23" i="85"/>
  <c r="M23" i="85"/>
  <c r="L23" i="85"/>
  <c r="K23" i="85"/>
  <c r="J23" i="85"/>
  <c r="J50" i="85" s="1"/>
  <c r="I23" i="85"/>
  <c r="G23" i="85"/>
  <c r="AH22" i="85"/>
  <c r="AC22" i="85"/>
  <c r="V22" i="85"/>
  <c r="O22" i="85"/>
  <c r="H22" i="85"/>
  <c r="AH21" i="85"/>
  <c r="AC21" i="85"/>
  <c r="V21" i="85"/>
  <c r="O21" i="85"/>
  <c r="H21" i="85"/>
  <c r="AH20" i="85"/>
  <c r="AC20" i="85"/>
  <c r="V20" i="85"/>
  <c r="O20" i="85"/>
  <c r="H20" i="85"/>
  <c r="AH19" i="85"/>
  <c r="AC19" i="85"/>
  <c r="V19" i="85"/>
  <c r="O19" i="85"/>
  <c r="H19" i="85"/>
  <c r="AH18" i="85"/>
  <c r="AC18" i="85"/>
  <c r="V18" i="85"/>
  <c r="O18" i="85"/>
  <c r="H18" i="85"/>
  <c r="AH17" i="85"/>
  <c r="AC17" i="85"/>
  <c r="V17" i="85"/>
  <c r="O17" i="85"/>
  <c r="H17" i="85"/>
  <c r="AH16" i="85"/>
  <c r="AC16" i="85"/>
  <c r="V16" i="85"/>
  <c r="O16" i="85"/>
  <c r="H16" i="85"/>
  <c r="AH15" i="85"/>
  <c r="AC15" i="85"/>
  <c r="V15" i="85"/>
  <c r="O15" i="85"/>
  <c r="H15" i="85"/>
  <c r="AH14" i="85"/>
  <c r="AC14" i="85"/>
  <c r="V14" i="85"/>
  <c r="O14" i="85"/>
  <c r="H14" i="85"/>
  <c r="AH13" i="85"/>
  <c r="AC13" i="85"/>
  <c r="V13" i="85"/>
  <c r="O13" i="85"/>
  <c r="H13" i="85"/>
  <c r="AH12" i="85"/>
  <c r="AC12" i="85"/>
  <c r="V12" i="85"/>
  <c r="O12" i="85"/>
  <c r="H12" i="85"/>
  <c r="AH11" i="85"/>
  <c r="AC11" i="85"/>
  <c r="V11" i="85"/>
  <c r="O11" i="85"/>
  <c r="H11" i="85"/>
  <c r="AH10" i="85"/>
  <c r="AC10" i="85"/>
  <c r="V10" i="85"/>
  <c r="O10" i="85"/>
  <c r="H10" i="85"/>
  <c r="AH9" i="85"/>
  <c r="AC9" i="85"/>
  <c r="V9" i="85"/>
  <c r="O9" i="85"/>
  <c r="H9" i="85"/>
  <c r="A9" i="85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5" i="85" s="1"/>
  <c r="AH8" i="85"/>
  <c r="AC8" i="85"/>
  <c r="V8" i="85"/>
  <c r="O8" i="85"/>
  <c r="H8" i="85"/>
  <c r="H40" i="88" l="1"/>
  <c r="H41" i="88" s="1"/>
  <c r="H42" i="88" s="1"/>
  <c r="H43" i="88" s="1"/>
  <c r="H44" i="88" s="1"/>
  <c r="H45" i="88" s="1"/>
  <c r="H46" i="88" s="1"/>
  <c r="H47" i="88" s="1"/>
  <c r="H48" i="88" s="1"/>
  <c r="H49" i="88" s="1"/>
  <c r="H50" i="88" s="1"/>
  <c r="H51" i="88" s="1"/>
  <c r="H52" i="88" s="1"/>
  <c r="H53" i="88" s="1"/>
  <c r="Q50" i="85"/>
  <c r="L50" i="85"/>
  <c r="Z50" i="85"/>
  <c r="R50" i="85"/>
  <c r="AI16" i="85"/>
  <c r="G50" i="85"/>
  <c r="H50" i="85" s="1"/>
  <c r="U50" i="85"/>
  <c r="S50" i="85"/>
  <c r="M50" i="85"/>
  <c r="AA50" i="85"/>
  <c r="W50" i="85"/>
  <c r="AI28" i="85"/>
  <c r="AI34" i="85"/>
  <c r="AI33" i="85"/>
  <c r="AI30" i="85"/>
  <c r="AI15" i="85"/>
  <c r="AI18" i="85"/>
  <c r="AI22" i="85"/>
  <c r="T50" i="85"/>
  <c r="AI48" i="85"/>
  <c r="V49" i="85"/>
  <c r="AI9" i="85"/>
  <c r="AI29" i="85"/>
  <c r="AI14" i="85"/>
  <c r="K50" i="85"/>
  <c r="Y50" i="85"/>
  <c r="AI47" i="85"/>
  <c r="O49" i="85"/>
  <c r="AI35" i="85"/>
  <c r="AH49" i="85"/>
  <c r="H23" i="85"/>
  <c r="AI25" i="85"/>
  <c r="AI21" i="85"/>
  <c r="O23" i="85"/>
  <c r="AI31" i="85"/>
  <c r="AI37" i="85"/>
  <c r="AI12" i="85"/>
  <c r="AI24" i="85"/>
  <c r="AI8" i="85"/>
  <c r="AI17" i="85"/>
  <c r="AI19" i="85"/>
  <c r="AI26" i="85"/>
  <c r="AC49" i="85"/>
  <c r="N50" i="85"/>
  <c r="AB50" i="85"/>
  <c r="AI32" i="85"/>
  <c r="AI13" i="85"/>
  <c r="AI10" i="85"/>
  <c r="AC23" i="85"/>
  <c r="AI36" i="85"/>
  <c r="AI11" i="85"/>
  <c r="AI20" i="85"/>
  <c r="AI27" i="85"/>
  <c r="A22" i="85"/>
  <c r="I50" i="85"/>
  <c r="AH23" i="85"/>
  <c r="V23" i="85"/>
  <c r="V50" i="85" l="1"/>
  <c r="AI23" i="85"/>
  <c r="AC50" i="85"/>
  <c r="AI49" i="85"/>
  <c r="AI50" i="85" s="1"/>
  <c r="O50" i="85"/>
  <c r="F27" i="84" l="1"/>
  <c r="E27" i="84"/>
  <c r="H11" i="84"/>
  <c r="H12" i="84" s="1"/>
  <c r="H13" i="84" s="1"/>
  <c r="H14" i="84" s="1"/>
  <c r="H15" i="84" s="1"/>
  <c r="H16" i="84" s="1"/>
  <c r="H17" i="84" s="1"/>
  <c r="H18" i="84" s="1"/>
  <c r="H19" i="84" s="1"/>
  <c r="H20" i="84" s="1"/>
  <c r="H21" i="84" s="1"/>
  <c r="H22" i="84" s="1"/>
  <c r="H23" i="84" s="1"/>
  <c r="H24" i="84" s="1"/>
  <c r="H25" i="84" s="1"/>
  <c r="H26" i="84" s="1"/>
  <c r="F27" i="83"/>
  <c r="E27" i="83"/>
  <c r="H11" i="83"/>
  <c r="H12" i="83" s="1"/>
  <c r="H13" i="83" s="1"/>
  <c r="H14" i="83" s="1"/>
  <c r="H15" i="83" s="1"/>
  <c r="H16" i="83" s="1"/>
  <c r="H17" i="83" s="1"/>
  <c r="H18" i="83" s="1"/>
  <c r="H19" i="83" s="1"/>
  <c r="H20" i="83" s="1"/>
  <c r="H21" i="83" s="1"/>
  <c r="H22" i="83" s="1"/>
  <c r="H23" i="83" s="1"/>
  <c r="H24" i="83" s="1"/>
  <c r="H25" i="83" s="1"/>
  <c r="H26" i="83" s="1"/>
  <c r="F28" i="83" l="1"/>
  <c r="F28" i="84"/>
  <c r="F31" i="82" l="1"/>
  <c r="E31" i="82"/>
  <c r="H11" i="82"/>
  <c r="H12" i="82" s="1"/>
  <c r="H13" i="82" s="1"/>
  <c r="H14" i="82" s="1"/>
  <c r="H15" i="82" s="1"/>
  <c r="H16" i="82" s="1"/>
  <c r="H17" i="82" s="1"/>
  <c r="H18" i="82" s="1"/>
  <c r="H19" i="82" s="1"/>
  <c r="H20" i="82" s="1"/>
  <c r="H21" i="82" s="1"/>
  <c r="H22" i="82" s="1"/>
  <c r="H23" i="82" s="1"/>
  <c r="H24" i="82" s="1"/>
  <c r="H30" i="82" s="1"/>
  <c r="F32" i="82" l="1"/>
  <c r="AI68" i="81" l="1"/>
  <c r="L13" i="79"/>
  <c r="L45" i="52"/>
  <c r="L28" i="52"/>
  <c r="L15" i="44"/>
  <c r="L26" i="42"/>
  <c r="F55" i="14"/>
  <c r="M16" i="9"/>
  <c r="U68" i="81"/>
  <c r="I68" i="81"/>
  <c r="F68" i="81"/>
  <c r="E68" i="81"/>
  <c r="D68" i="81"/>
  <c r="AF67" i="81"/>
  <c r="AE67" i="81"/>
  <c r="AD67" i="81"/>
  <c r="AC67" i="81"/>
  <c r="AB67" i="81"/>
  <c r="AA67" i="81"/>
  <c r="Z67" i="81"/>
  <c r="Y67" i="81"/>
  <c r="X67" i="81"/>
  <c r="W67" i="81"/>
  <c r="U67" i="81"/>
  <c r="T67" i="81"/>
  <c r="S67" i="81"/>
  <c r="R67" i="81"/>
  <c r="Q67" i="81"/>
  <c r="V67" i="81" s="1"/>
  <c r="P67" i="81"/>
  <c r="N67" i="81"/>
  <c r="M67" i="81"/>
  <c r="L67" i="81"/>
  <c r="K67" i="81"/>
  <c r="J67" i="81"/>
  <c r="I67" i="81"/>
  <c r="O67" i="81" s="1"/>
  <c r="G67" i="81"/>
  <c r="H67" i="81" s="1"/>
  <c r="AH66" i="81"/>
  <c r="AI66" i="81" s="1"/>
  <c r="AC66" i="81"/>
  <c r="V66" i="81"/>
  <c r="O66" i="81"/>
  <c r="H66" i="81"/>
  <c r="AH65" i="81"/>
  <c r="AI65" i="81" s="1"/>
  <c r="AH64" i="81"/>
  <c r="AC64" i="81"/>
  <c r="V64" i="81"/>
  <c r="O64" i="81"/>
  <c r="H64" i="81"/>
  <c r="AI63" i="81"/>
  <c r="AH63" i="81"/>
  <c r="AH62" i="81"/>
  <c r="AI62" i="81" s="1"/>
  <c r="AH61" i="81"/>
  <c r="AC61" i="81"/>
  <c r="V61" i="81"/>
  <c r="O61" i="81"/>
  <c r="H61" i="81"/>
  <c r="AH60" i="81"/>
  <c r="AI60" i="81" s="1"/>
  <c r="AH59" i="81"/>
  <c r="AI59" i="81" s="1"/>
  <c r="AH58" i="81"/>
  <c r="AI58" i="81" s="1"/>
  <c r="AH57" i="81"/>
  <c r="AI57" i="81" s="1"/>
  <c r="AI56" i="81"/>
  <c r="AH56" i="81"/>
  <c r="AH55" i="81"/>
  <c r="AC55" i="81"/>
  <c r="V55" i="81"/>
  <c r="O55" i="81"/>
  <c r="H55" i="81"/>
  <c r="AH54" i="81"/>
  <c r="AI54" i="81" s="1"/>
  <c r="AH53" i="81"/>
  <c r="AI53" i="81" s="1"/>
  <c r="AH52" i="81"/>
  <c r="AI52" i="81" s="1"/>
  <c r="AH51" i="81"/>
  <c r="H51" i="81"/>
  <c r="AH50" i="81"/>
  <c r="H50" i="81"/>
  <c r="AH49" i="81"/>
  <c r="AI49" i="81" s="1"/>
  <c r="H49" i="81"/>
  <c r="AH48" i="81"/>
  <c r="AC48" i="81"/>
  <c r="V48" i="81"/>
  <c r="O48" i="81"/>
  <c r="H48" i="81"/>
  <c r="AH47" i="81"/>
  <c r="AC47" i="81"/>
  <c r="V47" i="81"/>
  <c r="O47" i="81"/>
  <c r="H47" i="81"/>
  <c r="AH46" i="81"/>
  <c r="AC46" i="81"/>
  <c r="V46" i="81"/>
  <c r="O46" i="81"/>
  <c r="H46" i="81"/>
  <c r="AH45" i="81"/>
  <c r="AC45" i="81"/>
  <c r="V45" i="81"/>
  <c r="O45" i="81"/>
  <c r="H45" i="81"/>
  <c r="AH44" i="81"/>
  <c r="AC44" i="81"/>
  <c r="V44" i="81"/>
  <c r="O44" i="81"/>
  <c r="H44" i="81"/>
  <c r="AH43" i="81"/>
  <c r="AC43" i="81"/>
  <c r="V43" i="81"/>
  <c r="O43" i="81"/>
  <c r="H43" i="81"/>
  <c r="AH42" i="81"/>
  <c r="AI42" i="81" s="1"/>
  <c r="AC42" i="81"/>
  <c r="V42" i="81"/>
  <c r="O42" i="81"/>
  <c r="H42" i="81"/>
  <c r="AH41" i="81"/>
  <c r="AC41" i="81"/>
  <c r="V41" i="81"/>
  <c r="AI41" i="81" s="1"/>
  <c r="O41" i="81"/>
  <c r="H41" i="81"/>
  <c r="AH40" i="81"/>
  <c r="AC40" i="81"/>
  <c r="V40" i="81"/>
  <c r="O40" i="81"/>
  <c r="H40" i="81"/>
  <c r="AH39" i="81"/>
  <c r="AI39" i="81" s="1"/>
  <c r="AC39" i="81"/>
  <c r="V39" i="81"/>
  <c r="O39" i="81"/>
  <c r="H39" i="81"/>
  <c r="AH38" i="81"/>
  <c r="AC38" i="81"/>
  <c r="V38" i="81"/>
  <c r="O38" i="81"/>
  <c r="H38" i="81"/>
  <c r="AH37" i="81"/>
  <c r="AC37" i="81"/>
  <c r="V37" i="81"/>
  <c r="O37" i="81"/>
  <c r="H37" i="81"/>
  <c r="AH36" i="81"/>
  <c r="AC36" i="81"/>
  <c r="AI36" i="81" s="1"/>
  <c r="V36" i="81"/>
  <c r="O36" i="81"/>
  <c r="H36" i="81"/>
  <c r="AH35" i="81"/>
  <c r="AC35" i="81"/>
  <c r="V35" i="81"/>
  <c r="O35" i="81"/>
  <c r="H35" i="81"/>
  <c r="AH34" i="81"/>
  <c r="AC34" i="81"/>
  <c r="V34" i="81"/>
  <c r="O34" i="81"/>
  <c r="H34" i="81"/>
  <c r="AI34" i="81" s="1"/>
  <c r="AH33" i="81"/>
  <c r="AC33" i="81"/>
  <c r="V33" i="81"/>
  <c r="O33" i="81"/>
  <c r="H33" i="81"/>
  <c r="AH32" i="81"/>
  <c r="AC32" i="81"/>
  <c r="V32" i="81"/>
  <c r="O32" i="81"/>
  <c r="H32" i="81"/>
  <c r="AI32" i="81" s="1"/>
  <c r="AH31" i="81"/>
  <c r="AC31" i="81"/>
  <c r="AI31" i="81" s="1"/>
  <c r="V31" i="81"/>
  <c r="O31" i="81"/>
  <c r="H31" i="81"/>
  <c r="AH30" i="81"/>
  <c r="AC30" i="81"/>
  <c r="V30" i="81"/>
  <c r="O30" i="81"/>
  <c r="H30" i="81"/>
  <c r="AI30" i="81" s="1"/>
  <c r="AH29" i="81"/>
  <c r="AI29" i="81" s="1"/>
  <c r="AC29" i="81"/>
  <c r="V29" i="81"/>
  <c r="O29" i="81"/>
  <c r="H29" i="81"/>
  <c r="AH28" i="81"/>
  <c r="AC28" i="81"/>
  <c r="V28" i="81"/>
  <c r="O28" i="81"/>
  <c r="H28" i="81"/>
  <c r="AH27" i="81"/>
  <c r="AC27" i="81"/>
  <c r="V27" i="81"/>
  <c r="O27" i="81"/>
  <c r="H27" i="81"/>
  <c r="AI27" i="81" s="1"/>
  <c r="AG67" i="81"/>
  <c r="AC26" i="81"/>
  <c r="V26" i="81"/>
  <c r="O26" i="81"/>
  <c r="H26" i="81"/>
  <c r="AH25" i="81"/>
  <c r="AC25" i="81"/>
  <c r="V25" i="81"/>
  <c r="O25" i="81"/>
  <c r="H25" i="81"/>
  <c r="AH24" i="81"/>
  <c r="AC24" i="81"/>
  <c r="V24" i="81"/>
  <c r="O24" i="81"/>
  <c r="H24" i="81"/>
  <c r="AI24" i="81" s="1"/>
  <c r="AG23" i="81"/>
  <c r="AD23" i="81"/>
  <c r="AD68" i="81" s="1"/>
  <c r="AH68" i="81" s="1"/>
  <c r="AC23" i="81"/>
  <c r="AB23" i="81"/>
  <c r="AB68" i="81" s="1"/>
  <c r="AA23" i="81"/>
  <c r="AA68" i="81" s="1"/>
  <c r="Z23" i="81"/>
  <c r="Z68" i="81" s="1"/>
  <c r="Y23" i="81"/>
  <c r="Y68" i="81" s="1"/>
  <c r="X23" i="81"/>
  <c r="X68" i="81" s="1"/>
  <c r="W23" i="81"/>
  <c r="W68" i="81" s="1"/>
  <c r="U23" i="81"/>
  <c r="T23" i="81"/>
  <c r="T68" i="81" s="1"/>
  <c r="S23" i="81"/>
  <c r="S68" i="81" s="1"/>
  <c r="R23" i="81"/>
  <c r="R68" i="81" s="1"/>
  <c r="Q23" i="81"/>
  <c r="Q68" i="81" s="1"/>
  <c r="P23" i="81"/>
  <c r="P68" i="81" s="1"/>
  <c r="V68" i="81" s="1"/>
  <c r="N23" i="81"/>
  <c r="N68" i="81" s="1"/>
  <c r="M23" i="81"/>
  <c r="M68" i="81" s="1"/>
  <c r="L23" i="81"/>
  <c r="L68" i="81" s="1"/>
  <c r="K23" i="81"/>
  <c r="K68" i="81" s="1"/>
  <c r="J23" i="81"/>
  <c r="J68" i="81" s="1"/>
  <c r="I23" i="81"/>
  <c r="O23" i="81" s="1"/>
  <c r="G23" i="81"/>
  <c r="G68" i="81" s="1"/>
  <c r="AH22" i="81"/>
  <c r="AC22" i="81"/>
  <c r="V22" i="81"/>
  <c r="O22" i="81"/>
  <c r="H22" i="81"/>
  <c r="AI22" i="81" s="1"/>
  <c r="AH21" i="81"/>
  <c r="AC21" i="81"/>
  <c r="V21" i="81"/>
  <c r="O21" i="81"/>
  <c r="AI21" i="81" s="1"/>
  <c r="H21" i="81"/>
  <c r="AH20" i="81"/>
  <c r="AC20" i="81"/>
  <c r="V20" i="81"/>
  <c r="O20" i="81"/>
  <c r="H20" i="81"/>
  <c r="AI20" i="81" s="1"/>
  <c r="AH19" i="81"/>
  <c r="AC19" i="81"/>
  <c r="V19" i="81"/>
  <c r="O19" i="81"/>
  <c r="AI19" i="81" s="1"/>
  <c r="H19" i="81"/>
  <c r="AH18" i="81"/>
  <c r="AC18" i="81"/>
  <c r="V18" i="81"/>
  <c r="O18" i="81"/>
  <c r="H18" i="81"/>
  <c r="AI18" i="81" s="1"/>
  <c r="AI17" i="81"/>
  <c r="AH17" i="81"/>
  <c r="AC17" i="81"/>
  <c r="V17" i="81"/>
  <c r="O17" i="81"/>
  <c r="H17" i="81"/>
  <c r="AH16" i="81"/>
  <c r="AC16" i="81"/>
  <c r="V16" i="81"/>
  <c r="O16" i="81"/>
  <c r="H16" i="81"/>
  <c r="AI16" i="81" s="1"/>
  <c r="AI15" i="81"/>
  <c r="AH15" i="81"/>
  <c r="AC15" i="81"/>
  <c r="V15" i="81"/>
  <c r="O15" i="81"/>
  <c r="H15" i="81"/>
  <c r="AH14" i="81"/>
  <c r="AC14" i="81"/>
  <c r="V14" i="81"/>
  <c r="O14" i="81"/>
  <c r="H14" i="81"/>
  <c r="AI14" i="81" s="1"/>
  <c r="AH13" i="81"/>
  <c r="AC13" i="81"/>
  <c r="V13" i="81"/>
  <c r="O13" i="81"/>
  <c r="H13" i="81"/>
  <c r="AI13" i="81" s="1"/>
  <c r="AH12" i="81"/>
  <c r="AC12" i="81"/>
  <c r="V12" i="81"/>
  <c r="O12" i="81"/>
  <c r="H12" i="81"/>
  <c r="AI12" i="81" s="1"/>
  <c r="AH11" i="81"/>
  <c r="AC11" i="81"/>
  <c r="V11" i="81"/>
  <c r="O11" i="81"/>
  <c r="AI11" i="81" s="1"/>
  <c r="H11" i="81"/>
  <c r="AH10" i="81"/>
  <c r="AC10" i="81"/>
  <c r="V10" i="81"/>
  <c r="O10" i="81"/>
  <c r="H10" i="81"/>
  <c r="AI10" i="81" s="1"/>
  <c r="AH9" i="81"/>
  <c r="AC9" i="81"/>
  <c r="V9" i="81"/>
  <c r="O9" i="81"/>
  <c r="AI9" i="81" s="1"/>
  <c r="H9" i="81"/>
  <c r="A9" i="81"/>
  <c r="A10" i="81" s="1"/>
  <c r="A11" i="81" s="1"/>
  <c r="A12" i="81" s="1"/>
  <c r="A13" i="81" s="1"/>
  <c r="A14" i="81" s="1"/>
  <c r="A15" i="81" s="1"/>
  <c r="A16" i="81" s="1"/>
  <c r="A17" i="81" s="1"/>
  <c r="A18" i="81" s="1"/>
  <c r="A19" i="81" s="1"/>
  <c r="A20" i="81" s="1"/>
  <c r="A21" i="81" s="1"/>
  <c r="A24" i="81" s="1"/>
  <c r="A25" i="81" s="1"/>
  <c r="A26" i="81" s="1"/>
  <c r="A27" i="81" s="1"/>
  <c r="A28" i="81" s="1"/>
  <c r="AH8" i="81"/>
  <c r="AC8" i="81"/>
  <c r="V8" i="81"/>
  <c r="O8" i="81"/>
  <c r="H8" i="81"/>
  <c r="AI8" i="81" s="1"/>
  <c r="AI64" i="81" l="1"/>
  <c r="AI48" i="81"/>
  <c r="AI46" i="81"/>
  <c r="AI37" i="81"/>
  <c r="AI25" i="81"/>
  <c r="AI44" i="81"/>
  <c r="AI35" i="81"/>
  <c r="AI50" i="81"/>
  <c r="AI55" i="81"/>
  <c r="AI61" i="81"/>
  <c r="AI28" i="81"/>
  <c r="AI40" i="81"/>
  <c r="AI33" i="81"/>
  <c r="AI38" i="81"/>
  <c r="AI45" i="81"/>
  <c r="AI51" i="81"/>
  <c r="AI47" i="81"/>
  <c r="AH67" i="81"/>
  <c r="AI23" i="81"/>
  <c r="H68" i="81"/>
  <c r="AI43" i="81"/>
  <c r="A22" i="81"/>
  <c r="A29" i="81"/>
  <c r="A30" i="81" s="1"/>
  <c r="A31" i="81" s="1"/>
  <c r="A32" i="81" s="1"/>
  <c r="A33" i="81" s="1"/>
  <c r="A34" i="81" s="1"/>
  <c r="A35" i="81" s="1"/>
  <c r="A36" i="81" s="1"/>
  <c r="A37" i="81" s="1"/>
  <c r="A38" i="81" s="1"/>
  <c r="A39" i="81" s="1"/>
  <c r="A40" i="81" s="1"/>
  <c r="A41" i="81" s="1"/>
  <c r="A42" i="81" s="1"/>
  <c r="A43" i="81" s="1"/>
  <c r="A44" i="81" s="1"/>
  <c r="A45" i="81" s="1"/>
  <c r="A46" i="81" s="1"/>
  <c r="A47" i="81" s="1"/>
  <c r="A48" i="81" s="1"/>
  <c r="A49" i="81" s="1"/>
  <c r="A50" i="81" s="1"/>
  <c r="A51" i="81" s="1"/>
  <c r="A52" i="81" s="1"/>
  <c r="A53" i="81" s="1"/>
  <c r="A54" i="81" s="1"/>
  <c r="A55" i="81" s="1"/>
  <c r="A56" i="81" s="1"/>
  <c r="A57" i="81" s="1"/>
  <c r="A58" i="81" s="1"/>
  <c r="A59" i="81" s="1"/>
  <c r="A60" i="81" s="1"/>
  <c r="A61" i="81" s="1"/>
  <c r="A62" i="81" s="1"/>
  <c r="A63" i="81" s="1"/>
  <c r="A64" i="81" s="1"/>
  <c r="O68" i="81"/>
  <c r="AC68" i="81"/>
  <c r="AH26" i="81"/>
  <c r="AI26" i="81" s="1"/>
  <c r="H23" i="81"/>
  <c r="AH23" i="81"/>
  <c r="V23" i="81"/>
  <c r="AI67" i="81" l="1"/>
  <c r="A66" i="81"/>
  <c r="A65" i="81"/>
  <c r="H35" i="52" l="1"/>
  <c r="H36" i="52" s="1"/>
  <c r="H37" i="52" s="1"/>
  <c r="H38" i="52" s="1"/>
  <c r="H39" i="52" s="1"/>
  <c r="E55" i="14"/>
  <c r="H12" i="44" l="1"/>
  <c r="E66" i="79"/>
  <c r="H11" i="79"/>
  <c r="F66" i="79"/>
  <c r="F67" i="79" l="1"/>
  <c r="F69" i="79" s="1"/>
  <c r="H12" i="79"/>
  <c r="H13" i="79" s="1"/>
  <c r="H14" i="79" s="1"/>
  <c r="H15" i="79" s="1"/>
  <c r="H16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H37" i="79" s="1"/>
  <c r="H38" i="79" s="1"/>
  <c r="H39" i="79" s="1"/>
  <c r="H40" i="79" s="1"/>
  <c r="H41" i="79" s="1"/>
  <c r="H42" i="79" s="1"/>
  <c r="H43" i="79" s="1"/>
  <c r="H44" i="79" s="1"/>
  <c r="H45" i="79" s="1"/>
  <c r="H46" i="79" s="1"/>
  <c r="H47" i="79" s="1"/>
  <c r="H48" i="79" s="1"/>
  <c r="H49" i="79" s="1"/>
  <c r="H50" i="79" s="1"/>
  <c r="H51" i="79" s="1"/>
  <c r="H52" i="79" s="1"/>
  <c r="H53" i="79" s="1"/>
  <c r="H54" i="79" s="1"/>
  <c r="H55" i="79" s="1"/>
  <c r="H56" i="79" s="1"/>
  <c r="H57" i="79" s="1"/>
  <c r="H58" i="79" s="1"/>
  <c r="H59" i="79" s="1"/>
  <c r="H60" i="79" s="1"/>
  <c r="H61" i="79" s="1"/>
  <c r="H62" i="79" s="1"/>
  <c r="H63" i="79" s="1"/>
  <c r="H64" i="79" s="1"/>
  <c r="H65" i="79" s="1"/>
  <c r="AG41" i="78" l="1"/>
  <c r="AG60" i="78"/>
  <c r="AG57" i="78"/>
  <c r="AH57" i="78" s="1"/>
  <c r="AI57" i="78" s="1"/>
  <c r="L13" i="44"/>
  <c r="AG46" i="78" s="1"/>
  <c r="AH46" i="78" s="1"/>
  <c r="AI46" i="78" s="1"/>
  <c r="AG44" i="78"/>
  <c r="AH44" i="78" s="1"/>
  <c r="AI44" i="78" s="1"/>
  <c r="AG40" i="78"/>
  <c r="AG43" i="78"/>
  <c r="AG29" i="78"/>
  <c r="L42" i="14"/>
  <c r="M42" i="14" s="1"/>
  <c r="AG35" i="78"/>
  <c r="AH35" i="78" s="1"/>
  <c r="W68" i="78"/>
  <c r="Q68" i="78"/>
  <c r="K68" i="78"/>
  <c r="F68" i="78"/>
  <c r="E68" i="78"/>
  <c r="D68" i="78"/>
  <c r="AF67" i="78"/>
  <c r="AE67" i="78"/>
  <c r="AD67" i="78"/>
  <c r="AB67" i="78"/>
  <c r="AA67" i="78"/>
  <c r="Z67" i="78"/>
  <c r="Y67" i="78"/>
  <c r="X67" i="78"/>
  <c r="W67" i="78"/>
  <c r="AC67" i="78" s="1"/>
  <c r="U67" i="78"/>
  <c r="T67" i="78"/>
  <c r="S67" i="78"/>
  <c r="R67" i="78"/>
  <c r="Q67" i="78"/>
  <c r="P67" i="78"/>
  <c r="V67" i="78" s="1"/>
  <c r="O67" i="78"/>
  <c r="N67" i="78"/>
  <c r="M67" i="78"/>
  <c r="L67" i="78"/>
  <c r="K67" i="78"/>
  <c r="J67" i="78"/>
  <c r="I67" i="78"/>
  <c r="G67" i="78"/>
  <c r="H67" i="78" s="1"/>
  <c r="AH66" i="78"/>
  <c r="AC66" i="78"/>
  <c r="V66" i="78"/>
  <c r="O66" i="78"/>
  <c r="H66" i="78"/>
  <c r="AI66" i="78" s="1"/>
  <c r="AI65" i="78"/>
  <c r="AH65" i="78"/>
  <c r="AH64" i="78"/>
  <c r="AC64" i="78"/>
  <c r="V64" i="78"/>
  <c r="O64" i="78"/>
  <c r="H64" i="78"/>
  <c r="AI64" i="78" s="1"/>
  <c r="AH63" i="78"/>
  <c r="AI63" i="78" s="1"/>
  <c r="AH62" i="78"/>
  <c r="AI62" i="78" s="1"/>
  <c r="AH61" i="78"/>
  <c r="AC61" i="78"/>
  <c r="V61" i="78"/>
  <c r="O61" i="78"/>
  <c r="H61" i="78"/>
  <c r="AH60" i="78"/>
  <c r="AI60" i="78" s="1"/>
  <c r="AH59" i="78"/>
  <c r="AI59" i="78" s="1"/>
  <c r="AH58" i="78"/>
  <c r="AI58" i="78" s="1"/>
  <c r="AH56" i="78"/>
  <c r="AI56" i="78" s="1"/>
  <c r="AH55" i="78"/>
  <c r="AI55" i="78" s="1"/>
  <c r="AC55" i="78"/>
  <c r="V55" i="78"/>
  <c r="O55" i="78"/>
  <c r="H55" i="78"/>
  <c r="AH54" i="78"/>
  <c r="AI54" i="78" s="1"/>
  <c r="AI53" i="78"/>
  <c r="AH53" i="78"/>
  <c r="AH52" i="78"/>
  <c r="AI52" i="78" s="1"/>
  <c r="AH51" i="78"/>
  <c r="H51" i="78"/>
  <c r="AI51" i="78" s="1"/>
  <c r="H50" i="78"/>
  <c r="AH49" i="78"/>
  <c r="H49" i="78"/>
  <c r="AH48" i="78"/>
  <c r="AC48" i="78"/>
  <c r="V48" i="78"/>
  <c r="O48" i="78"/>
  <c r="H48" i="78"/>
  <c r="AH47" i="78"/>
  <c r="AC47" i="78"/>
  <c r="V47" i="78"/>
  <c r="O47" i="78"/>
  <c r="H47" i="78"/>
  <c r="AI47" i="78" s="1"/>
  <c r="AC46" i="78"/>
  <c r="V46" i="78"/>
  <c r="O46" i="78"/>
  <c r="H46" i="78"/>
  <c r="AH45" i="78"/>
  <c r="AC45" i="78"/>
  <c r="V45" i="78"/>
  <c r="O45" i="78"/>
  <c r="H45" i="78"/>
  <c r="AI45" i="78" s="1"/>
  <c r="AC44" i="78"/>
  <c r="V44" i="78"/>
  <c r="O44" i="78"/>
  <c r="H44" i="78"/>
  <c r="AH43" i="78"/>
  <c r="AC43" i="78"/>
  <c r="V43" i="78"/>
  <c r="O43" i="78"/>
  <c r="H43" i="78"/>
  <c r="AI43" i="78" s="1"/>
  <c r="AC42" i="78"/>
  <c r="V42" i="78"/>
  <c r="O42" i="78"/>
  <c r="H42" i="78"/>
  <c r="AH41" i="78"/>
  <c r="AC41" i="78"/>
  <c r="V41" i="78"/>
  <c r="O41" i="78"/>
  <c r="H41" i="78"/>
  <c r="AH40" i="78"/>
  <c r="AI40" i="78" s="1"/>
  <c r="AC40" i="78"/>
  <c r="V40" i="78"/>
  <c r="O40" i="78"/>
  <c r="H40" i="78"/>
  <c r="AH39" i="78"/>
  <c r="AC39" i="78"/>
  <c r="V39" i="78"/>
  <c r="O39" i="78"/>
  <c r="H39" i="78"/>
  <c r="AH38" i="78"/>
  <c r="AC38" i="78"/>
  <c r="V38" i="78"/>
  <c r="O38" i="78"/>
  <c r="H38" i="78"/>
  <c r="AC37" i="78"/>
  <c r="V37" i="78"/>
  <c r="O37" i="78"/>
  <c r="H37" i="78"/>
  <c r="AH36" i="78"/>
  <c r="AC36" i="78"/>
  <c r="V36" i="78"/>
  <c r="O36" i="78"/>
  <c r="AI36" i="78" s="1"/>
  <c r="H36" i="78"/>
  <c r="AC35" i="78"/>
  <c r="V35" i="78"/>
  <c r="O35" i="78"/>
  <c r="H35" i="78"/>
  <c r="AH34" i="78"/>
  <c r="AI34" i="78" s="1"/>
  <c r="AC34" i="78"/>
  <c r="V34" i="78"/>
  <c r="O34" i="78"/>
  <c r="H34" i="78"/>
  <c r="AH33" i="78"/>
  <c r="AC33" i="78"/>
  <c r="V33" i="78"/>
  <c r="O33" i="78"/>
  <c r="H33" i="78"/>
  <c r="AI32" i="78"/>
  <c r="AH32" i="78"/>
  <c r="AC32" i="78"/>
  <c r="V32" i="78"/>
  <c r="O32" i="78"/>
  <c r="H32" i="78"/>
  <c r="AH31" i="78"/>
  <c r="AC31" i="78"/>
  <c r="V31" i="78"/>
  <c r="O31" i="78"/>
  <c r="H31" i="78"/>
  <c r="AH30" i="78"/>
  <c r="AC30" i="78"/>
  <c r="V30" i="78"/>
  <c r="O30" i="78"/>
  <c r="AI30" i="78" s="1"/>
  <c r="H30" i="78"/>
  <c r="AH29" i="78"/>
  <c r="AC29" i="78"/>
  <c r="V29" i="78"/>
  <c r="O29" i="78"/>
  <c r="H29" i="78"/>
  <c r="AH28" i="78"/>
  <c r="AC28" i="78"/>
  <c r="V28" i="78"/>
  <c r="O28" i="78"/>
  <c r="H28" i="78"/>
  <c r="AH27" i="78"/>
  <c r="AC27" i="78"/>
  <c r="V27" i="78"/>
  <c r="O27" i="78"/>
  <c r="H27" i="78"/>
  <c r="AC26" i="78"/>
  <c r="V26" i="78"/>
  <c r="O26" i="78"/>
  <c r="H26" i="78"/>
  <c r="AH25" i="78"/>
  <c r="AC25" i="78"/>
  <c r="V25" i="78"/>
  <c r="O25" i="78"/>
  <c r="H25" i="78"/>
  <c r="AH24" i="78"/>
  <c r="AC24" i="78"/>
  <c r="V24" i="78"/>
  <c r="O24" i="78"/>
  <c r="AI24" i="78" s="1"/>
  <c r="H24" i="78"/>
  <c r="AG23" i="78"/>
  <c r="AD23" i="78"/>
  <c r="AD68" i="78" s="1"/>
  <c r="AH68" i="78" s="1"/>
  <c r="AB23" i="78"/>
  <c r="AB68" i="78" s="1"/>
  <c r="AA23" i="78"/>
  <c r="AA68" i="78" s="1"/>
  <c r="Z23" i="78"/>
  <c r="Z68" i="78" s="1"/>
  <c r="Y23" i="78"/>
  <c r="Y68" i="78" s="1"/>
  <c r="X23" i="78"/>
  <c r="X68" i="78" s="1"/>
  <c r="W23" i="78"/>
  <c r="AC23" i="78" s="1"/>
  <c r="U23" i="78"/>
  <c r="U68" i="78" s="1"/>
  <c r="T23" i="78"/>
  <c r="T68" i="78" s="1"/>
  <c r="S23" i="78"/>
  <c r="S68" i="78" s="1"/>
  <c r="R23" i="78"/>
  <c r="R68" i="78" s="1"/>
  <c r="Q23" i="78"/>
  <c r="P23" i="78"/>
  <c r="P68" i="78" s="1"/>
  <c r="N23" i="78"/>
  <c r="N68" i="78" s="1"/>
  <c r="M23" i="78"/>
  <c r="M68" i="78" s="1"/>
  <c r="L23" i="78"/>
  <c r="L68" i="78" s="1"/>
  <c r="K23" i="78"/>
  <c r="J23" i="78"/>
  <c r="J68" i="78" s="1"/>
  <c r="I23" i="78"/>
  <c r="O23" i="78" s="1"/>
  <c r="H23" i="78"/>
  <c r="G23" i="78"/>
  <c r="G68" i="78" s="1"/>
  <c r="AH22" i="78"/>
  <c r="AC22" i="78"/>
  <c r="V22" i="78"/>
  <c r="O22" i="78"/>
  <c r="AI22" i="78" s="1"/>
  <c r="H22" i="78"/>
  <c r="AH21" i="78"/>
  <c r="AC21" i="78"/>
  <c r="V21" i="78"/>
  <c r="O21" i="78"/>
  <c r="H21" i="78"/>
  <c r="AI21" i="78" s="1"/>
  <c r="AH20" i="78"/>
  <c r="AC20" i="78"/>
  <c r="V20" i="78"/>
  <c r="O20" i="78"/>
  <c r="AI20" i="78" s="1"/>
  <c r="H20" i="78"/>
  <c r="AH19" i="78"/>
  <c r="AC19" i="78"/>
  <c r="V19" i="78"/>
  <c r="O19" i="78"/>
  <c r="H19" i="78"/>
  <c r="AI19" i="78" s="1"/>
  <c r="AI18" i="78"/>
  <c r="AH18" i="78"/>
  <c r="AC18" i="78"/>
  <c r="V18" i="78"/>
  <c r="O18" i="78"/>
  <c r="H18" i="78"/>
  <c r="AH17" i="78"/>
  <c r="AC17" i="78"/>
  <c r="V17" i="78"/>
  <c r="O17" i="78"/>
  <c r="H17" i="78"/>
  <c r="AI17" i="78" s="1"/>
  <c r="AI16" i="78"/>
  <c r="AH16" i="78"/>
  <c r="AC16" i="78"/>
  <c r="V16" i="78"/>
  <c r="O16" i="78"/>
  <c r="H16" i="78"/>
  <c r="AH15" i="78"/>
  <c r="AC15" i="78"/>
  <c r="V15" i="78"/>
  <c r="O15" i="78"/>
  <c r="H15" i="78"/>
  <c r="AI15" i="78" s="1"/>
  <c r="AH14" i="78"/>
  <c r="AC14" i="78"/>
  <c r="V14" i="78"/>
  <c r="O14" i="78"/>
  <c r="AI14" i="78" s="1"/>
  <c r="H14" i="78"/>
  <c r="AH13" i="78"/>
  <c r="AC13" i="78"/>
  <c r="V13" i="78"/>
  <c r="O13" i="78"/>
  <c r="H13" i="78"/>
  <c r="AI13" i="78" s="1"/>
  <c r="AH12" i="78"/>
  <c r="AI12" i="78" s="1"/>
  <c r="AC12" i="78"/>
  <c r="V12" i="78"/>
  <c r="O12" i="78"/>
  <c r="H12" i="78"/>
  <c r="AH11" i="78"/>
  <c r="AI11" i="78" s="1"/>
  <c r="AC11" i="78"/>
  <c r="V11" i="78"/>
  <c r="O11" i="78"/>
  <c r="H11" i="78"/>
  <c r="AH10" i="78"/>
  <c r="AC10" i="78"/>
  <c r="V10" i="78"/>
  <c r="O10" i="78"/>
  <c r="AI10" i="78" s="1"/>
  <c r="H10" i="78"/>
  <c r="A10" i="78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4" i="78" s="1"/>
  <c r="A25" i="78" s="1"/>
  <c r="A26" i="78" s="1"/>
  <c r="A27" i="78" s="1"/>
  <c r="A28" i="78" s="1"/>
  <c r="AH9" i="78"/>
  <c r="AC9" i="78"/>
  <c r="V9" i="78"/>
  <c r="O9" i="78"/>
  <c r="H9" i="78"/>
  <c r="AI9" i="78" s="1"/>
  <c r="A9" i="78"/>
  <c r="AH8" i="78"/>
  <c r="AC8" i="78"/>
  <c r="V8" i="78"/>
  <c r="O8" i="78"/>
  <c r="AI8" i="78" s="1"/>
  <c r="H8" i="78"/>
  <c r="AG42" i="78"/>
  <c r="AH42" i="78" s="1"/>
  <c r="L16" i="72"/>
  <c r="AG50" i="78"/>
  <c r="AH50" i="78" s="1"/>
  <c r="AI50" i="78" s="1"/>
  <c r="L22" i="42"/>
  <c r="AG37" i="78"/>
  <c r="AH37" i="78" s="1"/>
  <c r="L23" i="23"/>
  <c r="F43" i="14"/>
  <c r="AG26" i="78" s="1"/>
  <c r="AH26" i="78" s="1"/>
  <c r="AI41" i="78" l="1"/>
  <c r="AG67" i="78"/>
  <c r="AH67" i="78" s="1"/>
  <c r="AI37" i="78"/>
  <c r="AI29" i="78"/>
  <c r="AI35" i="78"/>
  <c r="AI38" i="78"/>
  <c r="AI27" i="78"/>
  <c r="AI25" i="78"/>
  <c r="AI39" i="78"/>
  <c r="AI48" i="78"/>
  <c r="AI33" i="78"/>
  <c r="AI42" i="78"/>
  <c r="AI49" i="78"/>
  <c r="AI26" i="78"/>
  <c r="AI28" i="78"/>
  <c r="AI31" i="78"/>
  <c r="AI61" i="78"/>
  <c r="A22" i="78"/>
  <c r="A29" i="78"/>
  <c r="A30" i="78" s="1"/>
  <c r="A31" i="78" s="1"/>
  <c r="A32" i="78" s="1"/>
  <c r="A33" i="78" s="1"/>
  <c r="A34" i="78" s="1"/>
  <c r="A35" i="78" s="1"/>
  <c r="A36" i="78" s="1"/>
  <c r="A37" i="78" s="1"/>
  <c r="A38" i="78" s="1"/>
  <c r="A39" i="78" s="1"/>
  <c r="A40" i="78" s="1"/>
  <c r="A41" i="78" s="1"/>
  <c r="A42" i="78" s="1"/>
  <c r="A43" i="78" s="1"/>
  <c r="A44" i="78" s="1"/>
  <c r="A45" i="78" s="1"/>
  <c r="A46" i="78" s="1"/>
  <c r="A47" i="78" s="1"/>
  <c r="A48" i="78" s="1"/>
  <c r="A49" i="78" s="1"/>
  <c r="A50" i="78" s="1"/>
  <c r="A51" i="78" s="1"/>
  <c r="A52" i="78" s="1"/>
  <c r="A53" i="78" s="1"/>
  <c r="A54" i="78" s="1"/>
  <c r="A55" i="78" s="1"/>
  <c r="A56" i="78" s="1"/>
  <c r="A57" i="78" s="1"/>
  <c r="A58" i="78" s="1"/>
  <c r="A59" i="78" s="1"/>
  <c r="A60" i="78" s="1"/>
  <c r="A61" i="78" s="1"/>
  <c r="A62" i="78" s="1"/>
  <c r="A63" i="78" s="1"/>
  <c r="A64" i="78" s="1"/>
  <c r="H68" i="78"/>
  <c r="AI23" i="78"/>
  <c r="V68" i="78"/>
  <c r="AC68" i="78"/>
  <c r="I68" i="78"/>
  <c r="O68" i="78" s="1"/>
  <c r="AH23" i="78"/>
  <c r="V23" i="78"/>
  <c r="AI67" i="78" l="1"/>
  <c r="AI68" i="78" s="1"/>
  <c r="A66" i="78"/>
  <c r="A65" i="78"/>
  <c r="E43" i="14"/>
  <c r="F31" i="14"/>
  <c r="E31" i="14"/>
  <c r="F28" i="14"/>
  <c r="E28" i="14"/>
  <c r="F20" i="14"/>
  <c r="E20" i="14"/>
  <c r="M11" i="74"/>
  <c r="L55" i="14" l="1"/>
  <c r="E8" i="1"/>
  <c r="L19" i="52"/>
  <c r="E170" i="14" l="1"/>
  <c r="D8" i="1"/>
  <c r="F8" i="1" s="1"/>
  <c r="M13" i="9"/>
  <c r="L30" i="14"/>
  <c r="U68" i="77"/>
  <c r="I68" i="77"/>
  <c r="F68" i="77"/>
  <c r="E68" i="77"/>
  <c r="D68" i="77"/>
  <c r="H68" i="77" s="1"/>
  <c r="AF67" i="77"/>
  <c r="AE67" i="77"/>
  <c r="AD67" i="77"/>
  <c r="AC67" i="77"/>
  <c r="AB67" i="77"/>
  <c r="AA67" i="77"/>
  <c r="Z67" i="77"/>
  <c r="Y67" i="77"/>
  <c r="X67" i="77"/>
  <c r="W67" i="77"/>
  <c r="U67" i="77"/>
  <c r="T67" i="77"/>
  <c r="S67" i="77"/>
  <c r="R67" i="77"/>
  <c r="Q67" i="77"/>
  <c r="P67" i="77"/>
  <c r="V67" i="77" s="1"/>
  <c r="N67" i="77"/>
  <c r="M67" i="77"/>
  <c r="L67" i="77"/>
  <c r="O67" i="77" s="1"/>
  <c r="K67" i="77"/>
  <c r="J67" i="77"/>
  <c r="I67" i="77"/>
  <c r="G67" i="77"/>
  <c r="H67" i="77" s="1"/>
  <c r="AH66" i="77"/>
  <c r="AI66" i="77" s="1"/>
  <c r="AC66" i="77"/>
  <c r="V66" i="77"/>
  <c r="O66" i="77"/>
  <c r="H66" i="77"/>
  <c r="AH65" i="77"/>
  <c r="AI65" i="77" s="1"/>
  <c r="AH64" i="77"/>
  <c r="AC64" i="77"/>
  <c r="V64" i="77"/>
  <c r="O64" i="77"/>
  <c r="H64" i="77"/>
  <c r="AH63" i="77"/>
  <c r="AI63" i="77" s="1"/>
  <c r="AH62" i="77"/>
  <c r="AI62" i="77" s="1"/>
  <c r="AH61" i="77"/>
  <c r="AI61" i="77" s="1"/>
  <c r="AC61" i="77"/>
  <c r="V61" i="77"/>
  <c r="O61" i="77"/>
  <c r="H61" i="77"/>
  <c r="AH60" i="77"/>
  <c r="AI60" i="77" s="1"/>
  <c r="AH59" i="77"/>
  <c r="AI59" i="77" s="1"/>
  <c r="AI58" i="77"/>
  <c r="AH58" i="77"/>
  <c r="AH57" i="77"/>
  <c r="AI57" i="77" s="1"/>
  <c r="AH56" i="77"/>
  <c r="AI56" i="77" s="1"/>
  <c r="AH55" i="77"/>
  <c r="AI55" i="77" s="1"/>
  <c r="AC55" i="77"/>
  <c r="V55" i="77"/>
  <c r="O55" i="77"/>
  <c r="H55" i="77"/>
  <c r="AH54" i="77"/>
  <c r="AI54" i="77" s="1"/>
  <c r="AH53" i="77"/>
  <c r="AI53" i="77" s="1"/>
  <c r="AH52" i="77"/>
  <c r="AI52" i="77" s="1"/>
  <c r="AH51" i="77"/>
  <c r="H51" i="77"/>
  <c r="AI51" i="77" s="1"/>
  <c r="AH50" i="77"/>
  <c r="H50" i="77"/>
  <c r="AH49" i="77"/>
  <c r="AI49" i="77" s="1"/>
  <c r="H49" i="77"/>
  <c r="AH48" i="77"/>
  <c r="AC48" i="77"/>
  <c r="V48" i="77"/>
  <c r="AI48" i="77" s="1"/>
  <c r="O48" i="77"/>
  <c r="H48" i="77"/>
  <c r="AH47" i="77"/>
  <c r="AC47" i="77"/>
  <c r="V47" i="77"/>
  <c r="O47" i="77"/>
  <c r="H47" i="77"/>
  <c r="AH46" i="77"/>
  <c r="AI46" i="77" s="1"/>
  <c r="AC46" i="77"/>
  <c r="V46" i="77"/>
  <c r="O46" i="77"/>
  <c r="H46" i="77"/>
  <c r="AH45" i="77"/>
  <c r="AI45" i="77" s="1"/>
  <c r="AC45" i="77"/>
  <c r="V45" i="77"/>
  <c r="O45" i="77"/>
  <c r="H45" i="77"/>
  <c r="AH44" i="77"/>
  <c r="AC44" i="77"/>
  <c r="V44" i="77"/>
  <c r="O44" i="77"/>
  <c r="H44" i="77"/>
  <c r="AI44" i="77" s="1"/>
  <c r="AH43" i="77"/>
  <c r="AC43" i="77"/>
  <c r="V43" i="77"/>
  <c r="O43" i="77"/>
  <c r="H43" i="77"/>
  <c r="AH42" i="77"/>
  <c r="AC42" i="77"/>
  <c r="V42" i="77"/>
  <c r="O42" i="77"/>
  <c r="H42" i="77"/>
  <c r="AI42" i="77" s="1"/>
  <c r="AH41" i="77"/>
  <c r="AC41" i="77"/>
  <c r="V41" i="77"/>
  <c r="O41" i="77"/>
  <c r="H41" i="77"/>
  <c r="AH40" i="77"/>
  <c r="AI40" i="77" s="1"/>
  <c r="AC40" i="77"/>
  <c r="V40" i="77"/>
  <c r="O40" i="77"/>
  <c r="H40" i="77"/>
  <c r="AH39" i="77"/>
  <c r="AC39" i="77"/>
  <c r="V39" i="77"/>
  <c r="O39" i="77"/>
  <c r="H39" i="77"/>
  <c r="AI39" i="77" s="1"/>
  <c r="AH38" i="77"/>
  <c r="AC38" i="77"/>
  <c r="V38" i="77"/>
  <c r="O38" i="77"/>
  <c r="H38" i="77"/>
  <c r="AI38" i="77" s="1"/>
  <c r="AH37" i="77"/>
  <c r="AC37" i="77"/>
  <c r="V37" i="77"/>
  <c r="O37" i="77"/>
  <c r="H37" i="77"/>
  <c r="AH36" i="77"/>
  <c r="AC36" i="77"/>
  <c r="AI36" i="77" s="1"/>
  <c r="V36" i="77"/>
  <c r="O36" i="77"/>
  <c r="H36" i="77"/>
  <c r="AH35" i="77"/>
  <c r="AI35" i="77" s="1"/>
  <c r="AC35" i="77"/>
  <c r="V35" i="77"/>
  <c r="O35" i="77"/>
  <c r="H35" i="77"/>
  <c r="AH34" i="77"/>
  <c r="AC34" i="77"/>
  <c r="V34" i="77"/>
  <c r="O34" i="77"/>
  <c r="H34" i="77"/>
  <c r="AH33" i="77"/>
  <c r="AC33" i="77"/>
  <c r="V33" i="77"/>
  <c r="O33" i="77"/>
  <c r="H33" i="77"/>
  <c r="AH32" i="77"/>
  <c r="AC32" i="77"/>
  <c r="V32" i="77"/>
  <c r="O32" i="77"/>
  <c r="H32" i="77"/>
  <c r="AI32" i="77" s="1"/>
  <c r="AH31" i="77"/>
  <c r="AC31" i="77"/>
  <c r="V31" i="77"/>
  <c r="O31" i="77"/>
  <c r="H31" i="77"/>
  <c r="AH30" i="77"/>
  <c r="AC30" i="77"/>
  <c r="V30" i="77"/>
  <c r="O30" i="77"/>
  <c r="H30" i="77"/>
  <c r="AH29" i="77"/>
  <c r="AC29" i="77"/>
  <c r="V29" i="77"/>
  <c r="O29" i="77"/>
  <c r="H29" i="77"/>
  <c r="AH28" i="77"/>
  <c r="AC28" i="77"/>
  <c r="V28" i="77"/>
  <c r="O28" i="77"/>
  <c r="H28" i="77"/>
  <c r="AI28" i="77" s="1"/>
  <c r="AH27" i="77"/>
  <c r="AC27" i="77"/>
  <c r="V27" i="77"/>
  <c r="O27" i="77"/>
  <c r="H27" i="77"/>
  <c r="AI27" i="77" s="1"/>
  <c r="AH26" i="77"/>
  <c r="AC26" i="77"/>
  <c r="V26" i="77"/>
  <c r="O26" i="77"/>
  <c r="H26" i="77"/>
  <c r="AH25" i="77"/>
  <c r="AI25" i="77" s="1"/>
  <c r="AC25" i="77"/>
  <c r="V25" i="77"/>
  <c r="O25" i="77"/>
  <c r="H25" i="77"/>
  <c r="AH24" i="77"/>
  <c r="AC24" i="77"/>
  <c r="V24" i="77"/>
  <c r="O24" i="77"/>
  <c r="H24" i="77"/>
  <c r="AH23" i="77"/>
  <c r="AG23" i="77"/>
  <c r="AD23" i="77"/>
  <c r="AD68" i="77" s="1"/>
  <c r="AH68" i="77" s="1"/>
  <c r="AB23" i="77"/>
  <c r="AB68" i="77" s="1"/>
  <c r="AA23" i="77"/>
  <c r="AA68" i="77" s="1"/>
  <c r="Z23" i="77"/>
  <c r="Z68" i="77" s="1"/>
  <c r="Y23" i="77"/>
  <c r="Y68" i="77" s="1"/>
  <c r="X23" i="77"/>
  <c r="X68" i="77" s="1"/>
  <c r="W23" i="77"/>
  <c r="AC23" i="77" s="1"/>
  <c r="V23" i="77"/>
  <c r="U23" i="77"/>
  <c r="T23" i="77"/>
  <c r="T68" i="77" s="1"/>
  <c r="S23" i="77"/>
  <c r="S68" i="77" s="1"/>
  <c r="R23" i="77"/>
  <c r="R68" i="77" s="1"/>
  <c r="Q23" i="77"/>
  <c r="Q68" i="77" s="1"/>
  <c r="P23" i="77"/>
  <c r="P68" i="77" s="1"/>
  <c r="N23" i="77"/>
  <c r="N68" i="77" s="1"/>
  <c r="M23" i="77"/>
  <c r="M68" i="77" s="1"/>
  <c r="L23" i="77"/>
  <c r="L68" i="77" s="1"/>
  <c r="K23" i="77"/>
  <c r="K68" i="77" s="1"/>
  <c r="J23" i="77"/>
  <c r="J68" i="77" s="1"/>
  <c r="I23" i="77"/>
  <c r="O23" i="77" s="1"/>
  <c r="H23" i="77"/>
  <c r="G23" i="77"/>
  <c r="G68" i="77" s="1"/>
  <c r="AH22" i="77"/>
  <c r="AC22" i="77"/>
  <c r="V22" i="77"/>
  <c r="O22" i="77"/>
  <c r="H22" i="77"/>
  <c r="AI22" i="77" s="1"/>
  <c r="AH21" i="77"/>
  <c r="AI21" i="77" s="1"/>
  <c r="AC21" i="77"/>
  <c r="V21" i="77"/>
  <c r="O21" i="77"/>
  <c r="H21" i="77"/>
  <c r="AH20" i="77"/>
  <c r="AC20" i="77"/>
  <c r="V20" i="77"/>
  <c r="O20" i="77"/>
  <c r="H20" i="77"/>
  <c r="AI20" i="77" s="1"/>
  <c r="AH19" i="77"/>
  <c r="AC19" i="77"/>
  <c r="V19" i="77"/>
  <c r="O19" i="77"/>
  <c r="H19" i="77"/>
  <c r="AI19" i="77" s="1"/>
  <c r="AH18" i="77"/>
  <c r="AC18" i="77"/>
  <c r="V18" i="77"/>
  <c r="O18" i="77"/>
  <c r="H18" i="77"/>
  <c r="AI18" i="77" s="1"/>
  <c r="AH17" i="77"/>
  <c r="AC17" i="77"/>
  <c r="V17" i="77"/>
  <c r="O17" i="77"/>
  <c r="AI17" i="77" s="1"/>
  <c r="H17" i="77"/>
  <c r="AH16" i="77"/>
  <c r="AI16" i="77" s="1"/>
  <c r="AC16" i="77"/>
  <c r="V16" i="77"/>
  <c r="O16" i="77"/>
  <c r="H16" i="77"/>
  <c r="AI15" i="77"/>
  <c r="AH15" i="77"/>
  <c r="AC15" i="77"/>
  <c r="V15" i="77"/>
  <c r="O15" i="77"/>
  <c r="H15" i="77"/>
  <c r="AI14" i="77"/>
  <c r="AH14" i="77"/>
  <c r="AC14" i="77"/>
  <c r="V14" i="77"/>
  <c r="O14" i="77"/>
  <c r="H14" i="77"/>
  <c r="AH13" i="77"/>
  <c r="AC13" i="77"/>
  <c r="V13" i="77"/>
  <c r="O13" i="77"/>
  <c r="H13" i="77"/>
  <c r="AI13" i="77" s="1"/>
  <c r="AH12" i="77"/>
  <c r="AC12" i="77"/>
  <c r="V12" i="77"/>
  <c r="O12" i="77"/>
  <c r="AI12" i="77" s="1"/>
  <c r="H12" i="77"/>
  <c r="AH11" i="77"/>
  <c r="AC11" i="77"/>
  <c r="V11" i="77"/>
  <c r="O11" i="77"/>
  <c r="H11" i="77"/>
  <c r="AI11" i="77" s="1"/>
  <c r="AH10" i="77"/>
  <c r="AC10" i="77"/>
  <c r="V10" i="77"/>
  <c r="O10" i="77"/>
  <c r="H10" i="77"/>
  <c r="AI10" i="77" s="1"/>
  <c r="AH9" i="77"/>
  <c r="AI9" i="77" s="1"/>
  <c r="AC9" i="77"/>
  <c r="V9" i="77"/>
  <c r="O9" i="77"/>
  <c r="H9" i="77"/>
  <c r="A9" i="77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4" i="77" s="1"/>
  <c r="A25" i="77" s="1"/>
  <c r="A26" i="77" s="1"/>
  <c r="A27" i="77" s="1"/>
  <c r="A28" i="77" s="1"/>
  <c r="AH8" i="77"/>
  <c r="AC8" i="77"/>
  <c r="V8" i="77"/>
  <c r="O8" i="77"/>
  <c r="H8" i="77"/>
  <c r="AI8" i="77" s="1"/>
  <c r="AI41" i="77" l="1"/>
  <c r="AI26" i="77"/>
  <c r="AI30" i="77"/>
  <c r="AI33" i="77"/>
  <c r="AI50" i="77"/>
  <c r="AI24" i="77"/>
  <c r="AI43" i="77"/>
  <c r="AI47" i="77"/>
  <c r="AI29" i="77"/>
  <c r="AI31" i="77"/>
  <c r="AI34" i="77"/>
  <c r="AI64" i="77"/>
  <c r="A29" i="77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A60" i="77" s="1"/>
  <c r="A61" i="77" s="1"/>
  <c r="A62" i="77" s="1"/>
  <c r="A63" i="77" s="1"/>
  <c r="A64" i="77" s="1"/>
  <c r="A22" i="77"/>
  <c r="AI23" i="77"/>
  <c r="AI37" i="77"/>
  <c r="O68" i="77"/>
  <c r="V68" i="77"/>
  <c r="W68" i="77"/>
  <c r="AC68" i="77" s="1"/>
  <c r="AG67" i="77"/>
  <c r="AH67" i="77" s="1"/>
  <c r="AI67" i="77" l="1"/>
  <c r="AI68" i="77" s="1"/>
  <c r="A66" i="77"/>
  <c r="A65" i="77"/>
  <c r="A65" i="76"/>
  <c r="AH65" i="76"/>
  <c r="AI65" i="76" s="1"/>
  <c r="AG29" i="76"/>
  <c r="AH64" i="76"/>
  <c r="F68" i="76"/>
  <c r="E68" i="76"/>
  <c r="D68" i="76"/>
  <c r="AF67" i="76"/>
  <c r="AE67" i="76"/>
  <c r="AD67" i="76"/>
  <c r="AB67" i="76"/>
  <c r="AA67" i="76"/>
  <c r="Z67" i="76"/>
  <c r="Y67" i="76"/>
  <c r="X67" i="76"/>
  <c r="W67" i="76"/>
  <c r="U67" i="76"/>
  <c r="T67" i="76"/>
  <c r="S67" i="76"/>
  <c r="R67" i="76"/>
  <c r="Q67" i="76"/>
  <c r="P67" i="76"/>
  <c r="N67" i="76"/>
  <c r="M67" i="76"/>
  <c r="L67" i="76"/>
  <c r="K67" i="76"/>
  <c r="J67" i="76"/>
  <c r="I67" i="76"/>
  <c r="G67" i="76"/>
  <c r="H67" i="76" s="1"/>
  <c r="AH66" i="76"/>
  <c r="AC66" i="76"/>
  <c r="V66" i="76"/>
  <c r="O66" i="76"/>
  <c r="H66" i="76"/>
  <c r="AC64" i="76"/>
  <c r="V64" i="76"/>
  <c r="O64" i="76"/>
  <c r="AI64" i="76" s="1"/>
  <c r="H64" i="76"/>
  <c r="AH61" i="76"/>
  <c r="AC61" i="76"/>
  <c r="V61" i="76"/>
  <c r="O61" i="76"/>
  <c r="H61" i="76"/>
  <c r="AH60" i="76"/>
  <c r="AI60" i="76" s="1"/>
  <c r="AH59" i="76"/>
  <c r="AI59" i="76" s="1"/>
  <c r="AH58" i="76"/>
  <c r="AI58" i="76" s="1"/>
  <c r="AH56" i="76"/>
  <c r="AI56" i="76" s="1"/>
  <c r="AH55" i="76"/>
  <c r="AC55" i="76"/>
  <c r="V55" i="76"/>
  <c r="O55" i="76"/>
  <c r="H55" i="76"/>
  <c r="AH54" i="76"/>
  <c r="AI54" i="76" s="1"/>
  <c r="AH53" i="76"/>
  <c r="AI53" i="76" s="1"/>
  <c r="AH52" i="76"/>
  <c r="AI52" i="76" s="1"/>
  <c r="AH51" i="76"/>
  <c r="H51" i="76"/>
  <c r="AH50" i="76"/>
  <c r="H50" i="76"/>
  <c r="AH49" i="76"/>
  <c r="H49" i="76"/>
  <c r="AH48" i="76"/>
  <c r="AC48" i="76"/>
  <c r="V48" i="76"/>
  <c r="O48" i="76"/>
  <c r="H48" i="76"/>
  <c r="AH47" i="76"/>
  <c r="AC47" i="76"/>
  <c r="V47" i="76"/>
  <c r="O47" i="76"/>
  <c r="H47" i="76"/>
  <c r="AH46" i="76"/>
  <c r="AC46" i="76"/>
  <c r="V46" i="76"/>
  <c r="O46" i="76"/>
  <c r="H46" i="76"/>
  <c r="AH45" i="76"/>
  <c r="AC45" i="76"/>
  <c r="V45" i="76"/>
  <c r="O45" i="76"/>
  <c r="H45" i="76"/>
  <c r="AH44" i="76"/>
  <c r="AC44" i="76"/>
  <c r="V44" i="76"/>
  <c r="O44" i="76"/>
  <c r="H44" i="76"/>
  <c r="AH43" i="76"/>
  <c r="AC43" i="76"/>
  <c r="V43" i="76"/>
  <c r="O43" i="76"/>
  <c r="H43" i="76"/>
  <c r="AH42" i="76"/>
  <c r="AC42" i="76"/>
  <c r="V42" i="76"/>
  <c r="O42" i="76"/>
  <c r="H42" i="76"/>
  <c r="AH41" i="76"/>
  <c r="AC41" i="76"/>
  <c r="V41" i="76"/>
  <c r="O41" i="76"/>
  <c r="H41" i="76"/>
  <c r="AH40" i="76"/>
  <c r="AC40" i="76"/>
  <c r="V40" i="76"/>
  <c r="O40" i="76"/>
  <c r="H40" i="76"/>
  <c r="AH39" i="76"/>
  <c r="AC39" i="76"/>
  <c r="V39" i="76"/>
  <c r="O39" i="76"/>
  <c r="H39" i="76"/>
  <c r="AH38" i="76"/>
  <c r="AC38" i="76"/>
  <c r="V38" i="76"/>
  <c r="O38" i="76"/>
  <c r="H38" i="76"/>
  <c r="AC37" i="76"/>
  <c r="V37" i="76"/>
  <c r="O37" i="76"/>
  <c r="H37" i="76"/>
  <c r="AH36" i="76"/>
  <c r="AC36" i="76"/>
  <c r="V36" i="76"/>
  <c r="O36" i="76"/>
  <c r="H36" i="76"/>
  <c r="AH35" i="76"/>
  <c r="AC35" i="76"/>
  <c r="V35" i="76"/>
  <c r="O35" i="76"/>
  <c r="H35" i="76"/>
  <c r="AH34" i="76"/>
  <c r="AC34" i="76"/>
  <c r="V34" i="76"/>
  <c r="O34" i="76"/>
  <c r="H34" i="76"/>
  <c r="AH33" i="76"/>
  <c r="AC33" i="76"/>
  <c r="V33" i="76"/>
  <c r="O33" i="76"/>
  <c r="H33" i="76"/>
  <c r="AH32" i="76"/>
  <c r="AC32" i="76"/>
  <c r="V32" i="76"/>
  <c r="O32" i="76"/>
  <c r="H32" i="76"/>
  <c r="AH31" i="76"/>
  <c r="AC31" i="76"/>
  <c r="V31" i="76"/>
  <c r="O31" i="76"/>
  <c r="H31" i="76"/>
  <c r="AH30" i="76"/>
  <c r="AC30" i="76"/>
  <c r="V30" i="76"/>
  <c r="O30" i="76"/>
  <c r="H30" i="76"/>
  <c r="AH29" i="76"/>
  <c r="AC29" i="76"/>
  <c r="V29" i="76"/>
  <c r="O29" i="76"/>
  <c r="H29" i="76"/>
  <c r="AH28" i="76"/>
  <c r="AC28" i="76"/>
  <c r="V28" i="76"/>
  <c r="O28" i="76"/>
  <c r="H28" i="76"/>
  <c r="AH27" i="76"/>
  <c r="AC27" i="76"/>
  <c r="V27" i="76"/>
  <c r="O27" i="76"/>
  <c r="H27" i="76"/>
  <c r="AC26" i="76"/>
  <c r="V26" i="76"/>
  <c r="O26" i="76"/>
  <c r="H26" i="76"/>
  <c r="AH25" i="76"/>
  <c r="AC25" i="76"/>
  <c r="V25" i="76"/>
  <c r="O25" i="76"/>
  <c r="H25" i="76"/>
  <c r="AH24" i="76"/>
  <c r="AC24" i="76"/>
  <c r="V24" i="76"/>
  <c r="O24" i="76"/>
  <c r="H24" i="76"/>
  <c r="AG23" i="76"/>
  <c r="AD23" i="76"/>
  <c r="AB23" i="76"/>
  <c r="AA23" i="76"/>
  <c r="Z23" i="76"/>
  <c r="Y23" i="76"/>
  <c r="Y68" i="76" s="1"/>
  <c r="X23" i="76"/>
  <c r="X68" i="76" s="1"/>
  <c r="W23" i="76"/>
  <c r="U23" i="76"/>
  <c r="U68" i="76" s="1"/>
  <c r="T23" i="76"/>
  <c r="S23" i="76"/>
  <c r="S68" i="76" s="1"/>
  <c r="R23" i="76"/>
  <c r="Q23" i="76"/>
  <c r="Q68" i="76" s="1"/>
  <c r="P23" i="76"/>
  <c r="N23" i="76"/>
  <c r="M23" i="76"/>
  <c r="L23" i="76"/>
  <c r="K23" i="76"/>
  <c r="K68" i="76" s="1"/>
  <c r="J23" i="76"/>
  <c r="J68" i="76" s="1"/>
  <c r="I23" i="76"/>
  <c r="G23" i="76"/>
  <c r="G68" i="76" s="1"/>
  <c r="AH22" i="76"/>
  <c r="AC22" i="76"/>
  <c r="V22" i="76"/>
  <c r="O22" i="76"/>
  <c r="H22" i="76"/>
  <c r="AH21" i="76"/>
  <c r="AC21" i="76"/>
  <c r="V21" i="76"/>
  <c r="O21" i="76"/>
  <c r="H21" i="76"/>
  <c r="AH20" i="76"/>
  <c r="AC20" i="76"/>
  <c r="V20" i="76"/>
  <c r="O20" i="76"/>
  <c r="H20" i="76"/>
  <c r="AH19" i="76"/>
  <c r="AC19" i="76"/>
  <c r="V19" i="76"/>
  <c r="O19" i="76"/>
  <c r="H19" i="76"/>
  <c r="AH18" i="76"/>
  <c r="AC18" i="76"/>
  <c r="V18" i="76"/>
  <c r="O18" i="76"/>
  <c r="H18" i="76"/>
  <c r="AH17" i="76"/>
  <c r="AC17" i="76"/>
  <c r="V17" i="76"/>
  <c r="O17" i="76"/>
  <c r="H17" i="76"/>
  <c r="AH16" i="76"/>
  <c r="AC16" i="76"/>
  <c r="V16" i="76"/>
  <c r="O16" i="76"/>
  <c r="H16" i="76"/>
  <c r="AH15" i="76"/>
  <c r="AC15" i="76"/>
  <c r="V15" i="76"/>
  <c r="O15" i="76"/>
  <c r="H15" i="76"/>
  <c r="AH14" i="76"/>
  <c r="AC14" i="76"/>
  <c r="V14" i="76"/>
  <c r="O14" i="76"/>
  <c r="H14" i="76"/>
  <c r="AH13" i="76"/>
  <c r="AC13" i="76"/>
  <c r="V13" i="76"/>
  <c r="O13" i="76"/>
  <c r="H13" i="76"/>
  <c r="AH12" i="76"/>
  <c r="AC12" i="76"/>
  <c r="V12" i="76"/>
  <c r="O12" i="76"/>
  <c r="H12" i="76"/>
  <c r="AH11" i="76"/>
  <c r="AC11" i="76"/>
  <c r="V11" i="76"/>
  <c r="O11" i="76"/>
  <c r="H11" i="76"/>
  <c r="AH10" i="76"/>
  <c r="AC10" i="76"/>
  <c r="V10" i="76"/>
  <c r="O10" i="76"/>
  <c r="H10" i="76"/>
  <c r="AH9" i="76"/>
  <c r="AC9" i="76"/>
  <c r="V9" i="76"/>
  <c r="O9" i="76"/>
  <c r="H9" i="76"/>
  <c r="A9" i="76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4" i="76" s="1"/>
  <c r="A25" i="76" s="1"/>
  <c r="A26" i="76" s="1"/>
  <c r="A27" i="76" s="1"/>
  <c r="A28" i="76" s="1"/>
  <c r="AH8" i="76"/>
  <c r="AC8" i="76"/>
  <c r="V8" i="76"/>
  <c r="O8" i="76"/>
  <c r="H8" i="76"/>
  <c r="L12" i="75"/>
  <c r="AG57" i="76"/>
  <c r="AH57" i="76" s="1"/>
  <c r="AI57" i="76" s="1"/>
  <c r="AG37" i="76"/>
  <c r="AH37" i="76" s="1"/>
  <c r="L19" i="23"/>
  <c r="L27" i="14"/>
  <c r="AG26" i="76" s="1"/>
  <c r="F12" i="75"/>
  <c r="H12" i="75" s="1"/>
  <c r="AH26" i="76" l="1"/>
  <c r="AI26" i="76" s="1"/>
  <c r="AI17" i="76"/>
  <c r="AI18" i="76"/>
  <c r="L68" i="76"/>
  <c r="M68" i="76"/>
  <c r="AI8" i="76"/>
  <c r="AI11" i="76"/>
  <c r="Z68" i="76"/>
  <c r="AA68" i="76"/>
  <c r="AI21" i="76"/>
  <c r="AI19" i="76"/>
  <c r="AC67" i="76"/>
  <c r="AI14" i="76"/>
  <c r="AD68" i="76"/>
  <c r="AH68" i="76" s="1"/>
  <c r="V67" i="76"/>
  <c r="AH23" i="76"/>
  <c r="AI20" i="76"/>
  <c r="AI48" i="76"/>
  <c r="AI41" i="76"/>
  <c r="AI16" i="76"/>
  <c r="O23" i="76"/>
  <c r="AC23" i="76"/>
  <c r="AI32" i="76"/>
  <c r="AI33" i="76"/>
  <c r="T68" i="76"/>
  <c r="R68" i="76"/>
  <c r="AI45" i="76"/>
  <c r="AI9" i="76"/>
  <c r="AI24" i="76"/>
  <c r="AI27" i="76"/>
  <c r="AI36" i="76"/>
  <c r="AI39" i="76"/>
  <c r="AI55" i="76"/>
  <c r="AI12" i="76"/>
  <c r="AI34" i="76"/>
  <c r="AI46" i="76"/>
  <c r="O67" i="76"/>
  <c r="AI35" i="76"/>
  <c r="AI49" i="76"/>
  <c r="AI42" i="76"/>
  <c r="AI50" i="76"/>
  <c r="I68" i="76"/>
  <c r="AI10" i="76"/>
  <c r="AI15" i="76"/>
  <c r="N68" i="76"/>
  <c r="O68" i="76" s="1"/>
  <c r="AB68" i="76"/>
  <c r="AI28" i="76"/>
  <c r="AI40" i="76"/>
  <c r="AI13" i="76"/>
  <c r="AI22" i="76"/>
  <c r="P68" i="76"/>
  <c r="AI25" i="76"/>
  <c r="AI44" i="76"/>
  <c r="AI66" i="76"/>
  <c r="AI30" i="76"/>
  <c r="AI37" i="76"/>
  <c r="AI61" i="76"/>
  <c r="AI47" i="76"/>
  <c r="AI31" i="76"/>
  <c r="AI29" i="76"/>
  <c r="AI43" i="76"/>
  <c r="AI38" i="76"/>
  <c r="AI51" i="76"/>
  <c r="H68" i="76"/>
  <c r="A22" i="76"/>
  <c r="A29" i="76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A58" i="76" s="1"/>
  <c r="A59" i="76" s="1"/>
  <c r="A60" i="76" s="1"/>
  <c r="A61" i="76" s="1"/>
  <c r="W68" i="76"/>
  <c r="V23" i="76"/>
  <c r="H23" i="76"/>
  <c r="AI23" i="76" l="1"/>
  <c r="A62" i="76"/>
  <c r="A63" i="76" s="1"/>
  <c r="A64" i="76" s="1"/>
  <c r="A66" i="76" s="1"/>
  <c r="V68" i="76"/>
  <c r="AC68" i="76"/>
  <c r="H46" i="75"/>
  <c r="J46" i="75" s="1"/>
  <c r="F34" i="75"/>
  <c r="E34" i="75"/>
  <c r="H13" i="75"/>
  <c r="H14" i="75" s="1"/>
  <c r="H15" i="75" s="1"/>
  <c r="H16" i="75" s="1"/>
  <c r="H17" i="75" s="1"/>
  <c r="H18" i="75" s="1"/>
  <c r="H19" i="75" s="1"/>
  <c r="H20" i="75" s="1"/>
  <c r="H21" i="75" s="1"/>
  <c r="H22" i="75" s="1"/>
  <c r="H23" i="75" s="1"/>
  <c r="H24" i="75" s="1"/>
  <c r="H25" i="75" s="1"/>
  <c r="H26" i="75" s="1"/>
  <c r="H27" i="75" s="1"/>
  <c r="H28" i="75" s="1"/>
  <c r="H29" i="75" s="1"/>
  <c r="H30" i="75" s="1"/>
  <c r="AG63" i="76" l="1"/>
  <c r="F35" i="75"/>
  <c r="H33" i="75"/>
  <c r="H31" i="75"/>
  <c r="H32" i="75" s="1"/>
  <c r="AH63" i="76" l="1"/>
  <c r="AI63" i="76" s="1"/>
  <c r="H12" i="74"/>
  <c r="H13" i="74"/>
  <c r="H14" i="74" s="1"/>
  <c r="H15" i="74" s="1"/>
  <c r="H16" i="74" s="1"/>
  <c r="H17" i="74" s="1"/>
  <c r="H18" i="74" s="1"/>
  <c r="H19" i="74" s="1"/>
  <c r="H20" i="74" s="1"/>
  <c r="H21" i="74" s="1"/>
  <c r="H22" i="74" s="1"/>
  <c r="H23" i="74" s="1"/>
  <c r="H24" i="74" s="1"/>
  <c r="H25" i="74" s="1"/>
  <c r="H26" i="74" s="1"/>
  <c r="H27" i="74" s="1"/>
  <c r="H28" i="74" s="1"/>
  <c r="H29" i="74" s="1"/>
  <c r="H30" i="74" s="1"/>
  <c r="H46" i="74"/>
  <c r="J46" i="74" s="1"/>
  <c r="F34" i="74"/>
  <c r="E34" i="74"/>
  <c r="AI65" i="73"/>
  <c r="L12" i="72"/>
  <c r="L16" i="52"/>
  <c r="L12" i="51"/>
  <c r="L14" i="42"/>
  <c r="L14" i="23"/>
  <c r="L22" i="14"/>
  <c r="AG62" i="76" l="1"/>
  <c r="F35" i="74"/>
  <c r="H33" i="74"/>
  <c r="H31" i="74"/>
  <c r="H32" i="74" s="1"/>
  <c r="AH62" i="76" l="1"/>
  <c r="AI62" i="76" s="1"/>
  <c r="AI67" i="76" s="1"/>
  <c r="AI68" i="76" s="1"/>
  <c r="AG67" i="76"/>
  <c r="AH67" i="76" s="1"/>
  <c r="E69" i="9"/>
  <c r="F69" i="9"/>
  <c r="F49" i="52"/>
  <c r="F31" i="59"/>
  <c r="E49" i="52"/>
  <c r="H12" i="52"/>
  <c r="H13" i="52" s="1"/>
  <c r="H14" i="52" s="1"/>
  <c r="H15" i="52" s="1"/>
  <c r="H16" i="52" s="1"/>
  <c r="I11" i="13" l="1"/>
  <c r="A60" i="73"/>
  <c r="A61" i="73"/>
  <c r="A62" i="73"/>
  <c r="A63" i="73" s="1"/>
  <c r="AH60" i="73"/>
  <c r="AI60" i="73" s="1"/>
  <c r="AH50" i="73" l="1"/>
  <c r="AH49" i="73"/>
  <c r="AI49" i="73" s="1"/>
  <c r="AH46" i="73"/>
  <c r="AH44" i="73"/>
  <c r="AH40" i="73"/>
  <c r="AH37" i="73"/>
  <c r="AH29" i="73"/>
  <c r="F65" i="73"/>
  <c r="E65" i="73"/>
  <c r="D65" i="73"/>
  <c r="AF64" i="73"/>
  <c r="AE64" i="73"/>
  <c r="AD64" i="73"/>
  <c r="AB64" i="73"/>
  <c r="AA64" i="73"/>
  <c r="Z64" i="73"/>
  <c r="Y64" i="73"/>
  <c r="X64" i="73"/>
  <c r="W64" i="73"/>
  <c r="AC64" i="73" s="1"/>
  <c r="U64" i="73"/>
  <c r="T64" i="73"/>
  <c r="S64" i="73"/>
  <c r="R64" i="73"/>
  <c r="Q64" i="73"/>
  <c r="P64" i="73"/>
  <c r="N64" i="73"/>
  <c r="M64" i="73"/>
  <c r="L64" i="73"/>
  <c r="K64" i="73"/>
  <c r="J64" i="73"/>
  <c r="I64" i="73"/>
  <c r="O64" i="73" s="1"/>
  <c r="G64" i="73"/>
  <c r="H64" i="73" s="1"/>
  <c r="AH63" i="73"/>
  <c r="AC63" i="73"/>
  <c r="V63" i="73"/>
  <c r="O63" i="73"/>
  <c r="H63" i="73"/>
  <c r="AH62" i="73"/>
  <c r="AC62" i="73"/>
  <c r="V62" i="73"/>
  <c r="O62" i="73"/>
  <c r="H62" i="73"/>
  <c r="AH61" i="73"/>
  <c r="AC61" i="73"/>
  <c r="V61" i="73"/>
  <c r="O61" i="73"/>
  <c r="H61" i="73"/>
  <c r="AH59" i="73"/>
  <c r="AI59" i="73" s="1"/>
  <c r="AH58" i="73"/>
  <c r="AI58" i="73" s="1"/>
  <c r="AH57" i="73"/>
  <c r="AI57" i="73" s="1"/>
  <c r="AH56" i="73"/>
  <c r="AI56" i="73" s="1"/>
  <c r="AH55" i="73"/>
  <c r="AC55" i="73"/>
  <c r="V55" i="73"/>
  <c r="O55" i="73"/>
  <c r="H55" i="73"/>
  <c r="AH54" i="73"/>
  <c r="AI54" i="73" s="1"/>
  <c r="AH53" i="73"/>
  <c r="AI53" i="73" s="1"/>
  <c r="AH52" i="73"/>
  <c r="AI52" i="73" s="1"/>
  <c r="AH51" i="73"/>
  <c r="AI51" i="73" s="1"/>
  <c r="H51" i="73"/>
  <c r="H50" i="73"/>
  <c r="H49" i="73"/>
  <c r="AH48" i="73"/>
  <c r="AC48" i="73"/>
  <c r="V48" i="73"/>
  <c r="AI48" i="73" s="1"/>
  <c r="O48" i="73"/>
  <c r="H48" i="73"/>
  <c r="AH47" i="73"/>
  <c r="AC47" i="73"/>
  <c r="V47" i="73"/>
  <c r="O47" i="73"/>
  <c r="H47" i="73"/>
  <c r="AC46" i="73"/>
  <c r="V46" i="73"/>
  <c r="O46" i="73"/>
  <c r="H46" i="73"/>
  <c r="AH45" i="73"/>
  <c r="AC45" i="73"/>
  <c r="V45" i="73"/>
  <c r="O45" i="73"/>
  <c r="H45" i="73"/>
  <c r="AC44" i="73"/>
  <c r="V44" i="73"/>
  <c r="O44" i="73"/>
  <c r="H44" i="73"/>
  <c r="AH43" i="73"/>
  <c r="AC43" i="73"/>
  <c r="V43" i="73"/>
  <c r="O43" i="73"/>
  <c r="H43" i="73"/>
  <c r="AH42" i="73"/>
  <c r="AC42" i="73"/>
  <c r="V42" i="73"/>
  <c r="O42" i="73"/>
  <c r="H42" i="73"/>
  <c r="AI42" i="73" s="1"/>
  <c r="AH41" i="73"/>
  <c r="AC41" i="73"/>
  <c r="V41" i="73"/>
  <c r="O41" i="73"/>
  <c r="H41" i="73"/>
  <c r="AC40" i="73"/>
  <c r="V40" i="73"/>
  <c r="O40" i="73"/>
  <c r="H40" i="73"/>
  <c r="AH39" i="73"/>
  <c r="AC39" i="73"/>
  <c r="V39" i="73"/>
  <c r="O39" i="73"/>
  <c r="H39" i="73"/>
  <c r="AH38" i="73"/>
  <c r="AC38" i="73"/>
  <c r="V38" i="73"/>
  <c r="O38" i="73"/>
  <c r="H38" i="73"/>
  <c r="AC37" i="73"/>
  <c r="V37" i="73"/>
  <c r="O37" i="73"/>
  <c r="H37" i="73"/>
  <c r="AH36" i="73"/>
  <c r="AC36" i="73"/>
  <c r="V36" i="73"/>
  <c r="AI36" i="73" s="1"/>
  <c r="O36" i="73"/>
  <c r="H36" i="73"/>
  <c r="AH35" i="73"/>
  <c r="AC35" i="73"/>
  <c r="V35" i="73"/>
  <c r="O35" i="73"/>
  <c r="H35" i="73"/>
  <c r="AH34" i="73"/>
  <c r="AC34" i="73"/>
  <c r="V34" i="73"/>
  <c r="O34" i="73"/>
  <c r="H34" i="73"/>
  <c r="AH33" i="73"/>
  <c r="AC33" i="73"/>
  <c r="V33" i="73"/>
  <c r="O33" i="73"/>
  <c r="H33" i="73"/>
  <c r="AH32" i="73"/>
  <c r="AC32" i="73"/>
  <c r="V32" i="73"/>
  <c r="O32" i="73"/>
  <c r="H32" i="73"/>
  <c r="AH31" i="73"/>
  <c r="AC31" i="73"/>
  <c r="V31" i="73"/>
  <c r="O31" i="73"/>
  <c r="H31" i="73"/>
  <c r="AH30" i="73"/>
  <c r="AC30" i="73"/>
  <c r="V30" i="73"/>
  <c r="O30" i="73"/>
  <c r="H30" i="73"/>
  <c r="AC29" i="73"/>
  <c r="V29" i="73"/>
  <c r="O29" i="73"/>
  <c r="H29" i="73"/>
  <c r="AH28" i="73"/>
  <c r="AC28" i="73"/>
  <c r="V28" i="73"/>
  <c r="O28" i="73"/>
  <c r="H28" i="73"/>
  <c r="AH27" i="73"/>
  <c r="AC27" i="73"/>
  <c r="V27" i="73"/>
  <c r="O27" i="73"/>
  <c r="H27" i="73"/>
  <c r="AI27" i="73" s="1"/>
  <c r="AC26" i="73"/>
  <c r="V26" i="73"/>
  <c r="O26" i="73"/>
  <c r="H26" i="73"/>
  <c r="AH25" i="73"/>
  <c r="AC25" i="73"/>
  <c r="V25" i="73"/>
  <c r="O25" i="73"/>
  <c r="H25" i="73"/>
  <c r="AH24" i="73"/>
  <c r="AC24" i="73"/>
  <c r="V24" i="73"/>
  <c r="O24" i="73"/>
  <c r="H24" i="73"/>
  <c r="AG23" i="73"/>
  <c r="AD23" i="73"/>
  <c r="AD65" i="73" s="1"/>
  <c r="AH65" i="73" s="1"/>
  <c r="AB23" i="73"/>
  <c r="AB65" i="73" s="1"/>
  <c r="AA23" i="73"/>
  <c r="AA65" i="73" s="1"/>
  <c r="Z23" i="73"/>
  <c r="Z65" i="73" s="1"/>
  <c r="Y23" i="73"/>
  <c r="Y65" i="73" s="1"/>
  <c r="X23" i="73"/>
  <c r="W23" i="73"/>
  <c r="W65" i="73" s="1"/>
  <c r="U23" i="73"/>
  <c r="T23" i="73"/>
  <c r="S23" i="73"/>
  <c r="S65" i="73" s="1"/>
  <c r="R23" i="73"/>
  <c r="R65" i="73" s="1"/>
  <c r="Q23" i="73"/>
  <c r="Q65" i="73" s="1"/>
  <c r="P23" i="73"/>
  <c r="P65" i="73" s="1"/>
  <c r="N23" i="73"/>
  <c r="N65" i="73" s="1"/>
  <c r="M23" i="73"/>
  <c r="M65" i="73" s="1"/>
  <c r="L23" i="73"/>
  <c r="L65" i="73" s="1"/>
  <c r="K23" i="73"/>
  <c r="K65" i="73" s="1"/>
  <c r="J23" i="73"/>
  <c r="J65" i="73" s="1"/>
  <c r="I23" i="73"/>
  <c r="O23" i="73" s="1"/>
  <c r="G23" i="73"/>
  <c r="AH22" i="73"/>
  <c r="AC22" i="73"/>
  <c r="V22" i="73"/>
  <c r="O22" i="73"/>
  <c r="H22" i="73"/>
  <c r="AI22" i="73" s="1"/>
  <c r="AH21" i="73"/>
  <c r="AC21" i="73"/>
  <c r="V21" i="73"/>
  <c r="O21" i="73"/>
  <c r="H21" i="73"/>
  <c r="AI21" i="73" s="1"/>
  <c r="AH20" i="73"/>
  <c r="AC20" i="73"/>
  <c r="V20" i="73"/>
  <c r="O20" i="73"/>
  <c r="H20" i="73"/>
  <c r="AI20" i="73" s="1"/>
  <c r="AH19" i="73"/>
  <c r="AC19" i="73"/>
  <c r="V19" i="73"/>
  <c r="O19" i="73"/>
  <c r="H19" i="73"/>
  <c r="AI19" i="73" s="1"/>
  <c r="AH18" i="73"/>
  <c r="AI18" i="73" s="1"/>
  <c r="AC18" i="73"/>
  <c r="V18" i="73"/>
  <c r="O18" i="73"/>
  <c r="H18" i="73"/>
  <c r="AH17" i="73"/>
  <c r="AC17" i="73"/>
  <c r="V17" i="73"/>
  <c r="O17" i="73"/>
  <c r="H17" i="73"/>
  <c r="AI17" i="73" s="1"/>
  <c r="AH16" i="73"/>
  <c r="AC16" i="73"/>
  <c r="V16" i="73"/>
  <c r="O16" i="73"/>
  <c r="H16" i="73"/>
  <c r="AH15" i="73"/>
  <c r="AC15" i="73"/>
  <c r="V15" i="73"/>
  <c r="O15" i="73"/>
  <c r="H15" i="73"/>
  <c r="AH14" i="73"/>
  <c r="AC14" i="73"/>
  <c r="V14" i="73"/>
  <c r="O14" i="73"/>
  <c r="H14" i="73"/>
  <c r="AI14" i="73" s="1"/>
  <c r="AH13" i="73"/>
  <c r="AC13" i="73"/>
  <c r="V13" i="73"/>
  <c r="O13" i="73"/>
  <c r="H13" i="73"/>
  <c r="AH12" i="73"/>
  <c r="AC12" i="73"/>
  <c r="V12" i="73"/>
  <c r="O12" i="73"/>
  <c r="H12" i="73"/>
  <c r="AH11" i="73"/>
  <c r="AI11" i="73" s="1"/>
  <c r="AC11" i="73"/>
  <c r="V11" i="73"/>
  <c r="O11" i="73"/>
  <c r="H11" i="73"/>
  <c r="AH10" i="73"/>
  <c r="AC10" i="73"/>
  <c r="V10" i="73"/>
  <c r="O10" i="73"/>
  <c r="H10" i="73"/>
  <c r="AI10" i="73" s="1"/>
  <c r="AH9" i="73"/>
  <c r="AC9" i="73"/>
  <c r="V9" i="73"/>
  <c r="O9" i="73"/>
  <c r="H9" i="73"/>
  <c r="A9" i="73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4" i="73" s="1"/>
  <c r="A25" i="73" s="1"/>
  <c r="A26" i="73" s="1"/>
  <c r="A27" i="73" s="1"/>
  <c r="A28" i="73" s="1"/>
  <c r="AH8" i="73"/>
  <c r="AC8" i="73"/>
  <c r="V8" i="73"/>
  <c r="O8" i="73"/>
  <c r="H8" i="73"/>
  <c r="AI8" i="73" s="1"/>
  <c r="AI50" i="73" l="1"/>
  <c r="AI25" i="73"/>
  <c r="AI12" i="73"/>
  <c r="X65" i="73"/>
  <c r="I65" i="73"/>
  <c r="AI34" i="73"/>
  <c r="AI24" i="73"/>
  <c r="AH23" i="73"/>
  <c r="AI15" i="73"/>
  <c r="AI28" i="73"/>
  <c r="V64" i="73"/>
  <c r="AI63" i="73"/>
  <c r="H65" i="73"/>
  <c r="AI39" i="73"/>
  <c r="AI9" i="73"/>
  <c r="AI16" i="73"/>
  <c r="G65" i="73"/>
  <c r="T65" i="73"/>
  <c r="AI13" i="73"/>
  <c r="AI23" i="73" s="1"/>
  <c r="H23" i="73"/>
  <c r="U65" i="73"/>
  <c r="V65" i="73" s="1"/>
  <c r="AI29" i="73"/>
  <c r="AI43" i="73"/>
  <c r="AI41" i="73"/>
  <c r="AI46" i="73"/>
  <c r="AI32" i="73"/>
  <c r="AI30" i="73"/>
  <c r="AI37" i="73"/>
  <c r="AI44" i="73"/>
  <c r="AI35" i="73"/>
  <c r="AI61" i="73"/>
  <c r="AI33" i="73"/>
  <c r="AI47" i="73"/>
  <c r="AI55" i="73"/>
  <c r="AI38" i="73"/>
  <c r="AI40" i="73"/>
  <c r="AI45" i="73"/>
  <c r="AI31" i="73"/>
  <c r="AI62" i="73"/>
  <c r="A22" i="73"/>
  <c r="A29" i="73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A42" i="73" s="1"/>
  <c r="A43" i="73" s="1"/>
  <c r="A44" i="73" s="1"/>
  <c r="A45" i="73" s="1"/>
  <c r="A46" i="73" s="1"/>
  <c r="A47" i="73" s="1"/>
  <c r="A48" i="73" s="1"/>
  <c r="A49" i="73" s="1"/>
  <c r="A50" i="73" s="1"/>
  <c r="A51" i="73" s="1"/>
  <c r="A52" i="73" s="1"/>
  <c r="A53" i="73" s="1"/>
  <c r="A54" i="73" s="1"/>
  <c r="A55" i="73" s="1"/>
  <c r="A56" i="73" s="1"/>
  <c r="A57" i="73" s="1"/>
  <c r="A58" i="73" s="1"/>
  <c r="AC65" i="73"/>
  <c r="O65" i="73"/>
  <c r="AC23" i="73"/>
  <c r="V23" i="73"/>
  <c r="A59" i="73" l="1"/>
  <c r="F27" i="72" l="1"/>
  <c r="E27" i="72"/>
  <c r="H11" i="72"/>
  <c r="H12" i="72" s="1"/>
  <c r="H13" i="72" s="1"/>
  <c r="H14" i="72" s="1"/>
  <c r="H15" i="72" s="1"/>
  <c r="H16" i="72" s="1"/>
  <c r="H17" i="72" s="1"/>
  <c r="H18" i="72" s="1"/>
  <c r="H19" i="72" s="1"/>
  <c r="H20" i="72" s="1"/>
  <c r="H21" i="72" s="1"/>
  <c r="H22" i="72" s="1"/>
  <c r="H23" i="72" s="1"/>
  <c r="H24" i="72" s="1"/>
  <c r="H25" i="72" s="1"/>
  <c r="H26" i="72" s="1"/>
  <c r="AH26" i="73" l="1"/>
  <c r="AI26" i="73" s="1"/>
  <c r="AI64" i="73" s="1"/>
  <c r="AG64" i="73"/>
  <c r="AH64" i="73" s="1"/>
  <c r="F28" i="72"/>
  <c r="M57" i="16"/>
  <c r="H12" i="70" l="1"/>
  <c r="H13" i="70" s="1"/>
  <c r="H14" i="70" s="1"/>
  <c r="H15" i="70" s="1"/>
  <c r="H16" i="70" s="1"/>
  <c r="H17" i="70" s="1"/>
  <c r="H18" i="70" s="1"/>
  <c r="H19" i="70" s="1"/>
  <c r="H20" i="70" s="1"/>
  <c r="H21" i="70" s="1"/>
  <c r="H22" i="70" s="1"/>
  <c r="H23" i="70" s="1"/>
  <c r="H24" i="70" s="1"/>
  <c r="H25" i="70" s="1"/>
  <c r="H26" i="70" s="1"/>
  <c r="H11" i="70"/>
  <c r="F27" i="70"/>
  <c r="E27" i="70"/>
  <c r="F27" i="69"/>
  <c r="E27" i="69"/>
  <c r="H11" i="69"/>
  <c r="H12" i="69" s="1"/>
  <c r="H13" i="69" s="1"/>
  <c r="H14" i="69" s="1"/>
  <c r="H15" i="69" s="1"/>
  <c r="H16" i="69" s="1"/>
  <c r="H17" i="69" s="1"/>
  <c r="H18" i="69" s="1"/>
  <c r="H19" i="69" s="1"/>
  <c r="H20" i="69" s="1"/>
  <c r="H21" i="69" s="1"/>
  <c r="H22" i="69" s="1"/>
  <c r="H23" i="69" s="1"/>
  <c r="H24" i="69" s="1"/>
  <c r="H25" i="69" s="1"/>
  <c r="H26" i="69" s="1"/>
  <c r="H11" i="68"/>
  <c r="H12" i="68" s="1"/>
  <c r="H13" i="68" s="1"/>
  <c r="H14" i="68" s="1"/>
  <c r="H15" i="68" s="1"/>
  <c r="H16" i="68" s="1"/>
  <c r="H17" i="68" s="1"/>
  <c r="H18" i="68" s="1"/>
  <c r="H19" i="68" s="1"/>
  <c r="H20" i="68" s="1"/>
  <c r="H21" i="68" s="1"/>
  <c r="H22" i="68" s="1"/>
  <c r="H23" i="68" s="1"/>
  <c r="H24" i="68" s="1"/>
  <c r="H25" i="68" s="1"/>
  <c r="H26" i="68" s="1"/>
  <c r="F27" i="68"/>
  <c r="E27" i="68"/>
  <c r="H55" i="16"/>
  <c r="H56" i="16" s="1"/>
  <c r="H57" i="16" s="1"/>
  <c r="H58" i="16" s="1"/>
  <c r="H59" i="16" s="1"/>
  <c r="H60" i="16" s="1"/>
  <c r="H61" i="16" s="1"/>
  <c r="F28" i="70" l="1"/>
  <c r="F28" i="69"/>
  <c r="F28" i="68"/>
  <c r="M54" i="16" l="1"/>
  <c r="E139" i="13"/>
  <c r="L53" i="30" l="1"/>
  <c r="M52" i="16" l="1"/>
  <c r="M48" i="16" l="1"/>
  <c r="H15" i="58"/>
  <c r="H16" i="58"/>
  <c r="H17" i="58"/>
  <c r="H18" i="58"/>
  <c r="H19" i="58"/>
  <c r="H20" i="58"/>
  <c r="H21" i="58"/>
  <c r="H22" i="58"/>
  <c r="H23" i="58" s="1"/>
  <c r="H24" i="58" s="1"/>
  <c r="H25" i="58" s="1"/>
  <c r="H26" i="58" s="1"/>
  <c r="E31" i="59"/>
  <c r="H12" i="59"/>
  <c r="H13" i="59" s="1"/>
  <c r="H14" i="59" s="1"/>
  <c r="H15" i="59" s="1"/>
  <c r="H11" i="58"/>
  <c r="H14" i="58"/>
  <c r="F27" i="58"/>
  <c r="E27" i="58"/>
  <c r="H16" i="59" l="1"/>
  <c r="H17" i="59" s="1"/>
  <c r="H18" i="59" s="1"/>
  <c r="H19" i="59" s="1"/>
  <c r="H20" i="59" s="1"/>
  <c r="H21" i="59" s="1"/>
  <c r="H12" i="58"/>
  <c r="H13" i="58" s="1"/>
  <c r="F32" i="59"/>
  <c r="F28" i="58"/>
  <c r="H22" i="59" l="1"/>
  <c r="H23" i="59" s="1"/>
  <c r="H24" i="59" s="1"/>
  <c r="H25" i="59" s="1"/>
  <c r="H26" i="59" s="1"/>
  <c r="M46" i="16"/>
  <c r="H27" i="59" l="1"/>
  <c r="H28" i="59" s="1"/>
  <c r="H29" i="59" s="1"/>
  <c r="H30" i="59" s="1"/>
  <c r="H12" i="14" l="1"/>
  <c r="H13" i="14" s="1"/>
  <c r="H14" i="14" s="1"/>
  <c r="H15" i="14" l="1"/>
  <c r="H16" i="14" l="1"/>
  <c r="H17" i="14" s="1"/>
  <c r="H18" i="14" s="1"/>
  <c r="H19" i="14" s="1"/>
  <c r="H21" i="14" s="1"/>
  <c r="M19" i="39"/>
  <c r="M43" i="16"/>
  <c r="M41" i="16"/>
  <c r="H22" i="14" l="1"/>
  <c r="H23" i="14" s="1"/>
  <c r="H24" i="14" s="1"/>
  <c r="H25" i="14" s="1"/>
  <c r="H26" i="14" s="1"/>
  <c r="H27" i="14" s="1"/>
  <c r="H29" i="14" s="1"/>
  <c r="H30" i="14" s="1"/>
  <c r="H32" i="14" s="1"/>
  <c r="H33" i="14" s="1"/>
  <c r="H34" i="14" s="1"/>
  <c r="H35" i="14" s="1"/>
  <c r="H36" i="14" s="1"/>
  <c r="H37" i="14" s="1"/>
  <c r="H38" i="14" s="1"/>
  <c r="H39" i="14" s="1"/>
  <c r="H40" i="14" s="1"/>
  <c r="H41" i="14" s="1"/>
  <c r="H42" i="14" s="1"/>
  <c r="H44" i="14" s="1"/>
  <c r="H45" i="14" s="1"/>
  <c r="H46" i="14" l="1"/>
  <c r="H47" i="14" s="1"/>
  <c r="H48" i="14" s="1"/>
  <c r="H49" i="14" s="1"/>
  <c r="H50" i="14" s="1"/>
  <c r="H51" i="14" s="1"/>
  <c r="H52" i="14" s="1"/>
  <c r="H53" i="14" s="1"/>
  <c r="H54" i="14" s="1"/>
  <c r="H56" i="14" l="1"/>
  <c r="H57" i="14" s="1"/>
  <c r="H58" i="14" s="1"/>
  <c r="H59" i="14" s="1"/>
  <c r="H60" i="14" l="1"/>
  <c r="H61" i="14" s="1"/>
  <c r="H62" i="14" s="1"/>
  <c r="H63" i="14" l="1"/>
  <c r="H64" i="14" l="1"/>
  <c r="H65" i="14" s="1"/>
  <c r="H67" i="14" s="1"/>
  <c r="H68" i="14" s="1"/>
  <c r="H69" i="14" s="1"/>
  <c r="H70" i="14" s="1"/>
  <c r="H71" i="14" s="1"/>
  <c r="H72" i="14" s="1"/>
  <c r="H73" i="14" s="1"/>
  <c r="H74" i="14" s="1"/>
  <c r="H75" i="14" s="1"/>
  <c r="H76" i="14" s="1"/>
  <c r="H77" i="14" s="1"/>
  <c r="H78" i="14" s="1"/>
  <c r="H79" i="14" s="1"/>
  <c r="H80" i="14" s="1"/>
  <c r="H81" i="14" s="1"/>
  <c r="H82" i="14" s="1"/>
  <c r="H83" i="14" s="1"/>
  <c r="H84" i="14" s="1"/>
  <c r="H85" i="14" s="1"/>
  <c r="H86" i="14" s="1"/>
  <c r="H87" i="14" s="1"/>
  <c r="F82" i="42"/>
  <c r="E82" i="42"/>
  <c r="F132" i="23"/>
  <c r="E131" i="10"/>
  <c r="E18" i="1"/>
  <c r="E19" i="1" s="1"/>
  <c r="G139" i="13"/>
  <c r="H17" i="52"/>
  <c r="H18" i="52" s="1"/>
  <c r="H19" i="52" s="1"/>
  <c r="H20" i="52" s="1"/>
  <c r="H21" i="52" s="1"/>
  <c r="H22" i="52" s="1"/>
  <c r="H23" i="52" s="1"/>
  <c r="F38" i="51"/>
  <c r="E38" i="51"/>
  <c r="H12" i="51"/>
  <c r="H13" i="51" s="1"/>
  <c r="H89" i="14" l="1"/>
  <c r="H90" i="14" s="1"/>
  <c r="H91" i="14" s="1"/>
  <c r="H92" i="14" s="1"/>
  <c r="H93" i="14" s="1"/>
  <c r="H94" i="14" s="1"/>
  <c r="H95" i="14" s="1"/>
  <c r="H96" i="14" s="1"/>
  <c r="H98" i="14" s="1"/>
  <c r="H99" i="14" s="1"/>
  <c r="H100" i="14" s="1"/>
  <c r="H101" i="14" s="1"/>
  <c r="H102" i="14" s="1"/>
  <c r="H103" i="14" s="1"/>
  <c r="H104" i="14" s="1"/>
  <c r="H105" i="14" s="1"/>
  <c r="H106" i="14" s="1"/>
  <c r="H107" i="14" s="1"/>
  <c r="H108" i="14" s="1"/>
  <c r="H109" i="14" s="1"/>
  <c r="H110" i="14" s="1"/>
  <c r="H111" i="14" s="1"/>
  <c r="H112" i="14" s="1"/>
  <c r="H113" i="14" s="1"/>
  <c r="H114" i="14" s="1"/>
  <c r="H115" i="14" s="1"/>
  <c r="H116" i="14" s="1"/>
  <c r="H117" i="14" s="1"/>
  <c r="H118" i="14" s="1"/>
  <c r="H119" i="14" s="1"/>
  <c r="H120" i="14" s="1"/>
  <c r="H121" i="14" s="1"/>
  <c r="H122" i="14" s="1"/>
  <c r="H123" i="14" s="1"/>
  <c r="H124" i="14" s="1"/>
  <c r="H125" i="14" s="1"/>
  <c r="H126" i="14" s="1"/>
  <c r="H127" i="14" s="1"/>
  <c r="H128" i="14" s="1"/>
  <c r="H129" i="14" s="1"/>
  <c r="H130" i="14" s="1"/>
  <c r="H131" i="14" s="1"/>
  <c r="H132" i="14" s="1"/>
  <c r="H133" i="14" s="1"/>
  <c r="H134" i="14" s="1"/>
  <c r="H135" i="14" s="1"/>
  <c r="H136" i="14" s="1"/>
  <c r="H137" i="14" s="1"/>
  <c r="H138" i="14" s="1"/>
  <c r="H139" i="14" s="1"/>
  <c r="H140" i="14" s="1"/>
  <c r="H141" i="14" s="1"/>
  <c r="H142" i="14" s="1"/>
  <c r="H143" i="14" s="1"/>
  <c r="H144" i="14" s="1"/>
  <c r="H145" i="14" s="1"/>
  <c r="H146" i="14" s="1"/>
  <c r="H147" i="14" s="1"/>
  <c r="H148" i="14" s="1"/>
  <c r="H149" i="14" s="1"/>
  <c r="H150" i="14" s="1"/>
  <c r="H151" i="14" s="1"/>
  <c r="H152" i="14" s="1"/>
  <c r="H153" i="14" s="1"/>
  <c r="H154" i="14" s="1"/>
  <c r="H155" i="14" s="1"/>
  <c r="H156" i="14" s="1"/>
  <c r="H157" i="14" s="1"/>
  <c r="H158" i="14" s="1"/>
  <c r="H159" i="14" s="1"/>
  <c r="H160" i="14" s="1"/>
  <c r="H161" i="14" s="1"/>
  <c r="H162" i="14" s="1"/>
  <c r="H163" i="14" s="1"/>
  <c r="H164" i="14" s="1"/>
  <c r="H165" i="14" s="1"/>
  <c r="H24" i="52"/>
  <c r="H25" i="52" s="1"/>
  <c r="H26" i="52" s="1"/>
  <c r="H27" i="52" s="1"/>
  <c r="H28" i="52" s="1"/>
  <c r="H29" i="52" s="1"/>
  <c r="H30" i="52" s="1"/>
  <c r="H31" i="52" s="1"/>
  <c r="H32" i="52" s="1"/>
  <c r="H33" i="52" s="1"/>
  <c r="H34" i="52" s="1"/>
  <c r="H14" i="51"/>
  <c r="H15" i="51" s="1"/>
  <c r="H16" i="51" s="1"/>
  <c r="H17" i="51" s="1"/>
  <c r="H18" i="51" s="1"/>
  <c r="H19" i="51" s="1"/>
  <c r="H20" i="51" s="1"/>
  <c r="H21" i="51" s="1"/>
  <c r="H22" i="51" s="1"/>
  <c r="H23" i="51" s="1"/>
  <c r="H24" i="51" s="1"/>
  <c r="F50" i="52"/>
  <c r="F39" i="51"/>
  <c r="H40" i="52" l="1"/>
  <c r="H41" i="52" s="1"/>
  <c r="H42" i="52" s="1"/>
  <c r="H43" i="52" s="1"/>
  <c r="H44" i="52" s="1"/>
  <c r="H45" i="52" s="1"/>
  <c r="H46" i="52" s="1"/>
  <c r="H47" i="52" s="1"/>
  <c r="H48" i="52" s="1"/>
  <c r="H25" i="51"/>
  <c r="H26" i="51" s="1"/>
  <c r="H27" i="51" s="1"/>
  <c r="H28" i="51" s="1"/>
  <c r="D18" i="1"/>
  <c r="F18" i="1" l="1"/>
  <c r="F19" i="1" s="1"/>
  <c r="F22" i="1" s="1"/>
  <c r="D19" i="1"/>
  <c r="H29" i="51"/>
  <c r="H30" i="51" s="1"/>
  <c r="H31" i="51" s="1"/>
  <c r="H32" i="51" s="1"/>
  <c r="H33" i="51" l="1"/>
  <c r="H34" i="51" s="1"/>
  <c r="H35" i="51" s="1"/>
  <c r="H36" i="51" s="1"/>
  <c r="H37" i="51" s="1"/>
  <c r="F33" i="44" l="1"/>
  <c r="E33" i="44"/>
  <c r="H13" i="44"/>
  <c r="H14" i="44" s="1"/>
  <c r="H15" i="44" s="1"/>
  <c r="H16" i="44" s="1"/>
  <c r="H17" i="44" s="1"/>
  <c r="H18" i="44" s="1"/>
  <c r="H19" i="44" s="1"/>
  <c r="H20" i="44" s="1"/>
  <c r="H21" i="44" s="1"/>
  <c r="H22" i="44" s="1"/>
  <c r="H23" i="44" s="1"/>
  <c r="H24" i="44" s="1"/>
  <c r="H25" i="44" l="1"/>
  <c r="H26" i="44" s="1"/>
  <c r="H27" i="44" s="1"/>
  <c r="H28" i="44" s="1"/>
  <c r="H29" i="44" s="1"/>
  <c r="H30" i="44" s="1"/>
  <c r="H31" i="44" s="1"/>
  <c r="H32" i="44" s="1"/>
  <c r="F34" i="44"/>
  <c r="E132" i="23" l="1"/>
  <c r="H11" i="42" l="1"/>
  <c r="H12" i="42" s="1"/>
  <c r="H13" i="42" s="1"/>
  <c r="H14" i="42" s="1"/>
  <c r="H15" i="42" s="1"/>
  <c r="H16" i="42" s="1"/>
  <c r="H17" i="42" s="1"/>
  <c r="H18" i="42" s="1"/>
  <c r="H19" i="42" s="1"/>
  <c r="H20" i="42" s="1"/>
  <c r="H21" i="42" s="1"/>
  <c r="H22" i="42" s="1"/>
  <c r="H23" i="42" s="1"/>
  <c r="H24" i="42" s="1"/>
  <c r="H25" i="42" s="1"/>
  <c r="H26" i="42" s="1"/>
  <c r="H27" i="42" s="1"/>
  <c r="H28" i="42" s="1"/>
  <c r="H29" i="42" s="1"/>
  <c r="H30" i="42" s="1"/>
  <c r="H31" i="42" s="1"/>
  <c r="F48" i="41"/>
  <c r="E48" i="41"/>
  <c r="H12" i="41"/>
  <c r="H13" i="41" s="1"/>
  <c r="H14" i="41" s="1"/>
  <c r="H15" i="41" s="1"/>
  <c r="H16" i="41" s="1"/>
  <c r="H17" i="41" s="1"/>
  <c r="H18" i="41" s="1"/>
  <c r="H32" i="42" l="1"/>
  <c r="H33" i="42" s="1"/>
  <c r="H34" i="42" s="1"/>
  <c r="H35" i="42" s="1"/>
  <c r="H36" i="42" s="1"/>
  <c r="H37" i="42" s="1"/>
  <c r="H38" i="42" s="1"/>
  <c r="H39" i="42" s="1"/>
  <c r="H19" i="41"/>
  <c r="H20" i="41" s="1"/>
  <c r="H21" i="41" s="1"/>
  <c r="H22" i="41" s="1"/>
  <c r="F49" i="41"/>
  <c r="F83" i="42"/>
  <c r="H23" i="41" l="1"/>
  <c r="H24" i="41" s="1"/>
  <c r="H25" i="41" s="1"/>
  <c r="H26" i="41" s="1"/>
  <c r="H27" i="41" s="1"/>
  <c r="H28" i="41" s="1"/>
  <c r="H29" i="41" s="1"/>
  <c r="H30" i="41" s="1"/>
  <c r="H31" i="41" s="1"/>
  <c r="H32" i="41" s="1"/>
  <c r="H40" i="42"/>
  <c r="H33" i="41" l="1"/>
  <c r="H34" i="41" s="1"/>
  <c r="H35" i="41" s="1"/>
  <c r="H36" i="41" s="1"/>
  <c r="H37" i="41" s="1"/>
  <c r="H38" i="41" s="1"/>
  <c r="H39" i="41" s="1"/>
  <c r="H41" i="42"/>
  <c r="H42" i="42" s="1"/>
  <c r="H43" i="42" s="1"/>
  <c r="H44" i="42" s="1"/>
  <c r="H45" i="42" s="1"/>
  <c r="H46" i="42" s="1"/>
  <c r="H40" i="41" l="1"/>
  <c r="H41" i="41" s="1"/>
  <c r="H42" i="41" s="1"/>
  <c r="H43" i="41" s="1"/>
  <c r="H44" i="41" s="1"/>
  <c r="H45" i="41" s="1"/>
  <c r="H46" i="41" s="1"/>
  <c r="H47" i="41" s="1"/>
  <c r="H47" i="42"/>
  <c r="H48" i="42" s="1"/>
  <c r="H49" i="42" s="1"/>
  <c r="H50" i="42" s="1"/>
  <c r="H51" i="42" s="1"/>
  <c r="H52" i="42" s="1"/>
  <c r="F27" i="39"/>
  <c r="E27" i="39"/>
  <c r="H11" i="39"/>
  <c r="H12" i="39" s="1"/>
  <c r="H13" i="39" s="1"/>
  <c r="H14" i="39" s="1"/>
  <c r="H15" i="39" s="1"/>
  <c r="H16" i="39" s="1"/>
  <c r="H17" i="39" s="1"/>
  <c r="H18" i="39" s="1"/>
  <c r="H19" i="39" s="1"/>
  <c r="H20" i="39" s="1"/>
  <c r="H21" i="39" s="1"/>
  <c r="H22" i="39" s="1"/>
  <c r="H23" i="39" s="1"/>
  <c r="H24" i="39" s="1"/>
  <c r="H25" i="39" s="1"/>
  <c r="H26" i="39" s="1"/>
  <c r="H29" i="39" s="1"/>
  <c r="H53" i="42" l="1"/>
  <c r="H54" i="42" s="1"/>
  <c r="H55" i="42" s="1"/>
  <c r="H56" i="42" s="1"/>
  <c r="H57" i="42" s="1"/>
  <c r="H58" i="42" s="1"/>
  <c r="H59" i="42" s="1"/>
  <c r="F28" i="39"/>
  <c r="H60" i="42" l="1"/>
  <c r="H61" i="42" s="1"/>
  <c r="H62" i="42" s="1"/>
  <c r="H63" i="42" s="1"/>
  <c r="H64" i="42" s="1"/>
  <c r="H65" i="42" s="1"/>
  <c r="H66" i="42" s="1"/>
  <c r="H67" i="42" s="1"/>
  <c r="H68" i="42" s="1"/>
  <c r="H69" i="42" l="1"/>
  <c r="H70" i="42" s="1"/>
  <c r="H71" i="42" s="1"/>
  <c r="F61" i="30"/>
  <c r="E61" i="30"/>
  <c r="H45" i="30"/>
  <c r="H46" i="30" s="1"/>
  <c r="H47" i="30" s="1"/>
  <c r="H48" i="30" s="1"/>
  <c r="H49" i="30" s="1"/>
  <c r="H50" i="30" s="1"/>
  <c r="H51" i="30" s="1"/>
  <c r="H52" i="30" s="1"/>
  <c r="H53" i="30" s="1"/>
  <c r="H54" i="30" s="1"/>
  <c r="H55" i="30" s="1"/>
  <c r="H56" i="30" s="1"/>
  <c r="H57" i="30" s="1"/>
  <c r="H58" i="30" s="1"/>
  <c r="H59" i="30" s="1"/>
  <c r="H60" i="30" s="1"/>
  <c r="H72" i="42" l="1"/>
  <c r="H73" i="42" s="1"/>
  <c r="H74" i="42" s="1"/>
  <c r="H75" i="42" s="1"/>
  <c r="H76" i="42" s="1"/>
  <c r="H77" i="42" s="1"/>
  <c r="H78" i="42" s="1"/>
  <c r="H79" i="42" s="1"/>
  <c r="H80" i="42" s="1"/>
  <c r="H81" i="42" s="1"/>
  <c r="F62" i="30"/>
  <c r="F63" i="34" l="1"/>
  <c r="E63" i="34"/>
  <c r="H12" i="34"/>
  <c r="H13" i="34" s="1"/>
  <c r="H14" i="34" s="1"/>
  <c r="H15" i="34" s="1"/>
  <c r="H16" i="34" s="1"/>
  <c r="H17" i="34" s="1"/>
  <c r="H18" i="34" s="1"/>
  <c r="H19" i="34" s="1"/>
  <c r="H20" i="34" s="1"/>
  <c r="H21" i="34" s="1"/>
  <c r="H22" i="34" s="1"/>
  <c r="H23" i="34" s="1"/>
  <c r="H24" i="34" l="1"/>
  <c r="F64" i="34"/>
  <c r="H25" i="34" l="1"/>
  <c r="H26" i="34" s="1"/>
  <c r="H27" i="34" l="1"/>
  <c r="H28" i="34" l="1"/>
  <c r="H29" i="34" l="1"/>
  <c r="H11" i="30"/>
  <c r="H12" i="30" s="1"/>
  <c r="H13" i="30" s="1"/>
  <c r="H14" i="30" s="1"/>
  <c r="H15" i="30" l="1"/>
  <c r="H16" i="30" s="1"/>
  <c r="H17" i="30" s="1"/>
  <c r="H18" i="30" s="1"/>
  <c r="H19" i="30" s="1"/>
  <c r="H20" i="30" s="1"/>
  <c r="H21" i="30" s="1"/>
  <c r="H30" i="34"/>
  <c r="H31" i="34" s="1"/>
  <c r="H32" i="34" s="1"/>
  <c r="H33" i="34" s="1"/>
  <c r="H34" i="34" s="1"/>
  <c r="H35" i="34" s="1"/>
  <c r="H36" i="34" s="1"/>
  <c r="H37" i="34" s="1"/>
  <c r="H38" i="34" s="1"/>
  <c r="H39" i="34" s="1"/>
  <c r="H40" i="34" s="1"/>
  <c r="H41" i="34" s="1"/>
  <c r="H42" i="34" s="1"/>
  <c r="H43" i="34" s="1"/>
  <c r="H44" i="34" s="1"/>
  <c r="H45" i="34" s="1"/>
  <c r="H46" i="34" s="1"/>
  <c r="H47" i="34" s="1"/>
  <c r="H48" i="34" s="1"/>
  <c r="H49" i="34" s="1"/>
  <c r="H50" i="34" s="1"/>
  <c r="H51" i="34" s="1"/>
  <c r="H52" i="34" s="1"/>
  <c r="H53" i="34" s="1"/>
  <c r="H54" i="34" s="1"/>
  <c r="H55" i="34" s="1"/>
  <c r="H56" i="34" s="1"/>
  <c r="H57" i="34" s="1"/>
  <c r="H58" i="34" s="1"/>
  <c r="H59" i="34" s="1"/>
  <c r="H60" i="34" s="1"/>
  <c r="H61" i="34" s="1"/>
  <c r="F31" i="30"/>
  <c r="H29" i="30" l="1"/>
  <c r="H62" i="34"/>
  <c r="E23" i="20"/>
  <c r="F23" i="20"/>
  <c r="E35" i="17" l="1"/>
  <c r="F35" i="17"/>
  <c r="F131" i="10" l="1"/>
  <c r="F132" i="10" s="1"/>
  <c r="F70" i="9" l="1"/>
  <c r="F72" i="9" s="1"/>
  <c r="D7" i="1"/>
  <c r="F134" i="10"/>
  <c r="H12" i="9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F37" i="17" l="1"/>
  <c r="F63" i="16"/>
  <c r="E63" i="16"/>
  <c r="H29" i="16"/>
  <c r="H30" i="16" s="1"/>
  <c r="H31" i="16" s="1"/>
  <c r="H32" i="16" s="1"/>
  <c r="H33" i="16" s="1"/>
  <c r="H34" i="16" s="1"/>
  <c r="H35" i="16" s="1"/>
  <c r="H36" i="16" s="1"/>
  <c r="H37" i="16" s="1"/>
  <c r="H38" i="16" s="1"/>
  <c r="H11" i="23"/>
  <c r="H39" i="16" l="1"/>
  <c r="H12" i="23"/>
  <c r="F64" i="16"/>
  <c r="F133" i="23"/>
  <c r="F22" i="5"/>
  <c r="E22" i="5"/>
  <c r="F22" i="4"/>
  <c r="E22" i="4"/>
  <c r="F22" i="3"/>
  <c r="E22" i="3"/>
  <c r="F22" i="2"/>
  <c r="E22" i="2"/>
  <c r="H11" i="2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F20" i="22"/>
  <c r="E20" i="22"/>
  <c r="H11" i="22"/>
  <c r="H12" i="22" s="1"/>
  <c r="H13" i="22" s="1"/>
  <c r="H14" i="22" s="1"/>
  <c r="H15" i="22" s="1"/>
  <c r="H16" i="22" s="1"/>
  <c r="H17" i="22" s="1"/>
  <c r="H18" i="22" s="1"/>
  <c r="H19" i="22" s="1"/>
  <c r="F20" i="21"/>
  <c r="E20" i="21"/>
  <c r="H11" i="21"/>
  <c r="H12" i="21" s="1"/>
  <c r="H13" i="21" s="1"/>
  <c r="H11" i="20"/>
  <c r="H12" i="20" s="1"/>
  <c r="H13" i="20" s="1"/>
  <c r="H14" i="20" s="1"/>
  <c r="H15" i="20" s="1"/>
  <c r="H16" i="20" s="1"/>
  <c r="H17" i="20" s="1"/>
  <c r="H18" i="20" s="1"/>
  <c r="F19" i="19"/>
  <c r="E19" i="19"/>
  <c r="H11" i="19"/>
  <c r="H12" i="19" s="1"/>
  <c r="H13" i="19" s="1"/>
  <c r="F24" i="18"/>
  <c r="E24" i="18"/>
  <c r="H11" i="18"/>
  <c r="H12" i="18" s="1"/>
  <c r="H13" i="18" s="1"/>
  <c r="H14" i="18" s="1"/>
  <c r="H15" i="18" s="1"/>
  <c r="H16" i="18" s="1"/>
  <c r="H17" i="18" s="1"/>
  <c r="H40" i="16" l="1"/>
  <c r="H41" i="16" s="1"/>
  <c r="H42" i="16" s="1"/>
  <c r="H43" i="16" s="1"/>
  <c r="H44" i="16" s="1"/>
  <c r="H45" i="16" s="1"/>
  <c r="H14" i="19"/>
  <c r="H15" i="19" s="1"/>
  <c r="H16" i="19" s="1"/>
  <c r="H17" i="19" s="1"/>
  <c r="H18" i="19" s="1"/>
  <c r="F20" i="19"/>
  <c r="H19" i="20"/>
  <c r="H20" i="20" s="1"/>
  <c r="H21" i="20" s="1"/>
  <c r="H22" i="20" s="1"/>
  <c r="H13" i="23"/>
  <c r="H14" i="23" s="1"/>
  <c r="F24" i="20"/>
  <c r="F21" i="22"/>
  <c r="H14" i="21"/>
  <c r="H15" i="21" s="1"/>
  <c r="H16" i="21" s="1"/>
  <c r="H17" i="21" s="1"/>
  <c r="H18" i="21" s="1"/>
  <c r="H19" i="21" s="1"/>
  <c r="F21" i="21"/>
  <c r="H18" i="18"/>
  <c r="H19" i="18" s="1"/>
  <c r="H20" i="18" s="1"/>
  <c r="H21" i="18" s="1"/>
  <c r="H22" i="18" s="1"/>
  <c r="H23" i="18" s="1"/>
  <c r="F25" i="18"/>
  <c r="H12" i="17"/>
  <c r="H13" i="17" s="1"/>
  <c r="H14" i="17" s="1"/>
  <c r="H15" i="17" s="1"/>
  <c r="H16" i="17" s="1"/>
  <c r="H17" i="17" s="1"/>
  <c r="H18" i="17" s="1"/>
  <c r="H19" i="17" s="1"/>
  <c r="H20" i="17" s="1"/>
  <c r="H21" i="17" s="1"/>
  <c r="H22" i="17" s="1"/>
  <c r="H23" i="17" s="1"/>
  <c r="H24" i="17" s="1"/>
  <c r="H25" i="17" s="1"/>
  <c r="H26" i="17" s="1"/>
  <c r="H27" i="17" s="1"/>
  <c r="H28" i="17" s="1"/>
  <c r="H29" i="17" s="1"/>
  <c r="H30" i="17" s="1"/>
  <c r="H31" i="17" s="1"/>
  <c r="H32" i="17" s="1"/>
  <c r="H33" i="17" s="1"/>
  <c r="H34" i="17" s="1"/>
  <c r="F19" i="16"/>
  <c r="E19" i="16"/>
  <c r="H11" i="16"/>
  <c r="H12" i="16" s="1"/>
  <c r="H13" i="16" s="1"/>
  <c r="H14" i="16" s="1"/>
  <c r="F24" i="15"/>
  <c r="E24" i="15"/>
  <c r="H11" i="15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I12" i="13"/>
  <c r="I13" i="13" s="1"/>
  <c r="I14" i="13" s="1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F24" i="12"/>
  <c r="E24" i="12"/>
  <c r="H11" i="12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F24" i="11"/>
  <c r="E24" i="11"/>
  <c r="H11" i="1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46" i="16" l="1"/>
  <c r="H47" i="16" s="1"/>
  <c r="H48" i="16" s="1"/>
  <c r="H49" i="16" s="1"/>
  <c r="H50" i="16" s="1"/>
  <c r="H51" i="16" s="1"/>
  <c r="I44" i="13"/>
  <c r="I45" i="13" s="1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I58" i="13" s="1"/>
  <c r="I59" i="13" s="1"/>
  <c r="I60" i="13" s="1"/>
  <c r="I61" i="13" s="1"/>
  <c r="I62" i="13" s="1"/>
  <c r="I63" i="13" s="1"/>
  <c r="I64" i="13" s="1"/>
  <c r="I65" i="13" s="1"/>
  <c r="I66" i="13" s="1"/>
  <c r="I67" i="13" s="1"/>
  <c r="I68" i="13" s="1"/>
  <c r="I69" i="13" s="1"/>
  <c r="H15" i="16"/>
  <c r="H16" i="16" s="1"/>
  <c r="H17" i="16" s="1"/>
  <c r="H18" i="16" s="1"/>
  <c r="F36" i="17"/>
  <c r="F38" i="17" s="1"/>
  <c r="G140" i="13"/>
  <c r="G142" i="13" s="1"/>
  <c r="F25" i="12"/>
  <c r="F25" i="15"/>
  <c r="F20" i="16"/>
  <c r="H23" i="11"/>
  <c r="F25" i="11"/>
  <c r="H52" i="16" l="1"/>
  <c r="H53" i="16" s="1"/>
  <c r="H54" i="16" s="1"/>
  <c r="H62" i="16" s="1"/>
  <c r="I70" i="13"/>
  <c r="I71" i="13" s="1"/>
  <c r="I72" i="13" s="1"/>
  <c r="I73" i="13" s="1"/>
  <c r="I74" i="13" s="1"/>
  <c r="I75" i="13" s="1"/>
  <c r="I76" i="13" s="1"/>
  <c r="I77" i="13" s="1"/>
  <c r="I78" i="13" s="1"/>
  <c r="I79" i="13" s="1"/>
  <c r="I80" i="13" s="1"/>
  <c r="I81" i="13" s="1"/>
  <c r="H15" i="23"/>
  <c r="H12" i="10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F22" i="8"/>
  <c r="E22" i="8"/>
  <c r="H11" i="8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11" i="7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F22" i="7"/>
  <c r="E22" i="7"/>
  <c r="F22" i="6"/>
  <c r="E22" i="6"/>
  <c r="H11" i="6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11" i="5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11" i="4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11" i="3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I82" i="13" l="1"/>
  <c r="I83" i="13" s="1"/>
  <c r="I84" i="13" s="1"/>
  <c r="I85" i="13" s="1"/>
  <c r="I86" i="13" s="1"/>
  <c r="I87" i="13" s="1"/>
  <c r="I88" i="13" s="1"/>
  <c r="I89" i="13" s="1"/>
  <c r="I90" i="13" s="1"/>
  <c r="I91" i="13" s="1"/>
  <c r="I92" i="13" s="1"/>
  <c r="I93" i="13" s="1"/>
  <c r="I94" i="13" s="1"/>
  <c r="I95" i="13" s="1"/>
  <c r="I96" i="13" s="1"/>
  <c r="I97" i="13" s="1"/>
  <c r="I98" i="13" s="1"/>
  <c r="I99" i="13" s="1"/>
  <c r="I100" i="13" s="1"/>
  <c r="I101" i="13" s="1"/>
  <c r="I102" i="13" s="1"/>
  <c r="I103" i="13" s="1"/>
  <c r="I104" i="13" s="1"/>
  <c r="I105" i="13" s="1"/>
  <c r="I106" i="13" s="1"/>
  <c r="H46" i="10"/>
  <c r="H47" i="10" s="1"/>
  <c r="H16" i="23"/>
  <c r="H25" i="9"/>
  <c r="E7" i="1"/>
  <c r="I107" i="13" l="1"/>
  <c r="I108" i="13" s="1"/>
  <c r="I109" i="13" s="1"/>
  <c r="I110" i="13" s="1"/>
  <c r="I111" i="13" s="1"/>
  <c r="I112" i="13" s="1"/>
  <c r="I113" i="13" s="1"/>
  <c r="I114" i="13" s="1"/>
  <c r="I115" i="13" s="1"/>
  <c r="I116" i="13" s="1"/>
  <c r="I117" i="13" s="1"/>
  <c r="F7" i="1"/>
  <c r="H48" i="10"/>
  <c r="H49" i="10" s="1"/>
  <c r="H50" i="10" s="1"/>
  <c r="H51" i="10" s="1"/>
  <c r="H52" i="10" s="1"/>
  <c r="H53" i="10" s="1"/>
  <c r="H54" i="10" s="1"/>
  <c r="H55" i="10" s="1"/>
  <c r="H56" i="10" s="1"/>
  <c r="H57" i="10" s="1"/>
  <c r="H58" i="10" s="1"/>
  <c r="H17" i="23"/>
  <c r="H26" i="9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I118" i="13" l="1"/>
  <c r="I119" i="13" s="1"/>
  <c r="I120" i="13" s="1"/>
  <c r="I121" i="13" s="1"/>
  <c r="I122" i="13" s="1"/>
  <c r="I123" i="13" s="1"/>
  <c r="H59" i="10"/>
  <c r="H60" i="10" s="1"/>
  <c r="H61" i="10" s="1"/>
  <c r="H62" i="10" s="1"/>
  <c r="H63" i="10" s="1"/>
  <c r="H64" i="10" s="1"/>
  <c r="H65" i="10" s="1"/>
  <c r="H66" i="10" s="1"/>
  <c r="H67" i="10" s="1"/>
  <c r="H68" i="10" s="1"/>
  <c r="H69" i="10" s="1"/>
  <c r="H70" i="10" s="1"/>
  <c r="H71" i="10" s="1"/>
  <c r="H72" i="10" s="1"/>
  <c r="H73" i="10" s="1"/>
  <c r="H74" i="10" s="1"/>
  <c r="H75" i="10" s="1"/>
  <c r="H76" i="10" s="1"/>
  <c r="H42" i="9"/>
  <c r="H43" i="9" s="1"/>
  <c r="H44" i="9" s="1"/>
  <c r="H45" i="9" s="1"/>
  <c r="H46" i="9" s="1"/>
  <c r="A8" i="1"/>
  <c r="H18" i="23"/>
  <c r="I124" i="13" l="1"/>
  <c r="I125" i="13" s="1"/>
  <c r="I126" i="13" s="1"/>
  <c r="I127" i="13" s="1"/>
  <c r="I128" i="13" s="1"/>
  <c r="H47" i="9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77" i="10"/>
  <c r="H78" i="10" s="1"/>
  <c r="H19" i="23"/>
  <c r="H61" i="9" l="1"/>
  <c r="H62" i="9" s="1"/>
  <c r="H63" i="9" s="1"/>
  <c r="H64" i="9" s="1"/>
  <c r="H65" i="9" s="1"/>
  <c r="H66" i="9" s="1"/>
  <c r="H67" i="9" s="1"/>
  <c r="H68" i="9" s="1"/>
  <c r="I129" i="13"/>
  <c r="I130" i="13" s="1"/>
  <c r="I131" i="13" s="1"/>
  <c r="I132" i="13" s="1"/>
  <c r="I133" i="13" s="1"/>
  <c r="I134" i="13" s="1"/>
  <c r="I135" i="13" s="1"/>
  <c r="I136" i="13" s="1"/>
  <c r="I137" i="13" s="1"/>
  <c r="I138" i="13" s="1"/>
  <c r="H79" i="10"/>
  <c r="H80" i="10" s="1"/>
  <c r="H81" i="10" s="1"/>
  <c r="H82" i="10" s="1"/>
  <c r="H83" i="10" s="1"/>
  <c r="H20" i="23"/>
  <c r="H84" i="10" l="1"/>
  <c r="H21" i="23"/>
  <c r="H85" i="10" l="1"/>
  <c r="H86" i="10" s="1"/>
  <c r="H87" i="10" s="1"/>
  <c r="H22" i="23"/>
  <c r="H88" i="10" l="1"/>
  <c r="H89" i="10" s="1"/>
  <c r="H90" i="10" s="1"/>
  <c r="H91" i="10" s="1"/>
  <c r="H92" i="10" s="1"/>
  <c r="H93" i="10" s="1"/>
  <c r="H23" i="23"/>
  <c r="H94" i="10" l="1"/>
  <c r="H95" i="10" s="1"/>
  <c r="H96" i="10" s="1"/>
  <c r="H97" i="10" s="1"/>
  <c r="H98" i="10" s="1"/>
  <c r="H99" i="10" s="1"/>
  <c r="H100" i="10" s="1"/>
  <c r="H101" i="10" s="1"/>
  <c r="H102" i="10" s="1"/>
  <c r="H103" i="10" s="1"/>
  <c r="H104" i="10" s="1"/>
  <c r="H105" i="10" s="1"/>
  <c r="H106" i="10" s="1"/>
  <c r="H107" i="10" s="1"/>
  <c r="H108" i="10" s="1"/>
  <c r="H109" i="10" s="1"/>
  <c r="H110" i="10" s="1"/>
  <c r="H111" i="10" s="1"/>
  <c r="H24" i="23"/>
  <c r="H112" i="10" l="1"/>
  <c r="H113" i="10" s="1"/>
  <c r="H114" i="10" s="1"/>
  <c r="H115" i="10" s="1"/>
  <c r="H116" i="10" s="1"/>
  <c r="H117" i="10" s="1"/>
  <c r="H25" i="23"/>
  <c r="H26" i="23" s="1"/>
  <c r="H27" i="23" s="1"/>
  <c r="H28" i="23" s="1"/>
  <c r="H29" i="23" s="1"/>
  <c r="H30" i="23" s="1"/>
  <c r="H31" i="23" s="1"/>
  <c r="H32" i="23" s="1"/>
  <c r="H118" i="10" l="1"/>
  <c r="H119" i="10" s="1"/>
  <c r="H33" i="23"/>
  <c r="H34" i="23" s="1"/>
  <c r="H35" i="23" s="1"/>
  <c r="H36" i="23" s="1"/>
  <c r="H37" i="23" s="1"/>
  <c r="H38" i="23" s="1"/>
  <c r="H39" i="23" s="1"/>
  <c r="H40" i="23" s="1"/>
  <c r="H120" i="10" l="1"/>
  <c r="H121" i="10" s="1"/>
  <c r="H122" i="10" s="1"/>
  <c r="H123" i="10" s="1"/>
  <c r="H124" i="10" s="1"/>
  <c r="H125" i="10" s="1"/>
  <c r="H126" i="10" s="1"/>
  <c r="H127" i="10" s="1"/>
  <c r="H128" i="10" s="1"/>
  <c r="H129" i="10" s="1"/>
  <c r="H130" i="10" s="1"/>
  <c r="H41" i="23"/>
  <c r="H42" i="23" l="1"/>
  <c r="H43" i="23" l="1"/>
  <c r="H44" i="23" l="1"/>
  <c r="H45" i="23" l="1"/>
  <c r="H46" i="23" l="1"/>
  <c r="H47" i="23" s="1"/>
  <c r="H48" i="23" s="1"/>
  <c r="H49" i="23" s="1"/>
  <c r="H50" i="23" s="1"/>
  <c r="H51" i="23" s="1"/>
  <c r="H52" i="23" s="1"/>
  <c r="H53" i="23" s="1"/>
  <c r="H54" i="23" l="1"/>
  <c r="H55" i="23" s="1"/>
  <c r="H56" i="23" s="1"/>
  <c r="H57" i="23" s="1"/>
  <c r="H58" i="23" s="1"/>
  <c r="H59" i="23" s="1"/>
  <c r="H60" i="23" s="1"/>
  <c r="H61" i="23" s="1"/>
  <c r="H62" i="23" l="1"/>
  <c r="H63" i="23" s="1"/>
  <c r="H64" i="23" s="1"/>
  <c r="H65" i="23" s="1"/>
  <c r="H66" i="23" s="1"/>
  <c r="H67" i="23" l="1"/>
  <c r="H68" i="23" s="1"/>
  <c r="H69" i="23" s="1"/>
  <c r="H70" i="23" s="1"/>
  <c r="H71" i="23" s="1"/>
  <c r="H72" i="23" s="1"/>
  <c r="H73" i="23" s="1"/>
  <c r="H74" i="23" s="1"/>
  <c r="H75" i="23" s="1"/>
  <c r="H76" i="23" s="1"/>
  <c r="H77" i="23" l="1"/>
  <c r="H78" i="23" s="1"/>
  <c r="H79" i="23" s="1"/>
  <c r="H80" i="23" s="1"/>
  <c r="H81" i="23" s="1"/>
  <c r="H82" i="23" s="1"/>
  <c r="H83" i="23" s="1"/>
  <c r="H84" i="23" s="1"/>
  <c r="H85" i="23" s="1"/>
  <c r="H86" i="23" s="1"/>
  <c r="H87" i="23" s="1"/>
  <c r="H88" i="23" l="1"/>
  <c r="H89" i="23" s="1"/>
  <c r="H90" i="23" s="1"/>
  <c r="H91" i="23" s="1"/>
  <c r="H92" i="23" s="1"/>
  <c r="H93" i="23" l="1"/>
  <c r="H94" i="23" s="1"/>
  <c r="H95" i="23" s="1"/>
  <c r="H96" i="23" s="1"/>
  <c r="H97" i="23" l="1"/>
  <c r="H98" i="23" s="1"/>
  <c r="H99" i="23" s="1"/>
  <c r="H100" i="23" s="1"/>
  <c r="H101" i="23" s="1"/>
  <c r="H102" i="23" s="1"/>
  <c r="H103" i="23" l="1"/>
  <c r="H104" i="23" s="1"/>
  <c r="H105" i="23" s="1"/>
  <c r="H106" i="23" s="1"/>
  <c r="H107" i="23" l="1"/>
  <c r="H108" i="23" s="1"/>
  <c r="H109" i="23" s="1"/>
  <c r="H110" i="23" s="1"/>
  <c r="H111" i="23" s="1"/>
  <c r="H112" i="23" s="1"/>
  <c r="H113" i="23" s="1"/>
  <c r="H114" i="23" s="1"/>
  <c r="H115" i="23" s="1"/>
  <c r="H116" i="23" s="1"/>
  <c r="H117" i="23" s="1"/>
  <c r="H118" i="23" l="1"/>
  <c r="H119" i="23" s="1"/>
  <c r="H120" i="23" s="1"/>
  <c r="H121" i="23" s="1"/>
  <c r="H122" i="23" s="1"/>
  <c r="H123" i="23" l="1"/>
  <c r="H124" i="23" s="1"/>
  <c r="H125" i="23" s="1"/>
  <c r="H126" i="23" s="1"/>
  <c r="H127" i="23" s="1"/>
  <c r="H128" i="23" s="1"/>
  <c r="H129" i="23" s="1"/>
  <c r="H130" i="23" s="1"/>
  <c r="H131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 TECHNOLOGY</author>
  </authors>
  <commentList>
    <comment ref="AG41" authorId="0" shapeId="0" xr:uid="{25268321-E8C5-4B79-969D-2C8D5CA47E9C}">
      <text>
        <r>
          <rPr>
            <b/>
            <sz val="9"/>
            <color indexed="81"/>
            <rFont val="Tahoma"/>
            <family val="2"/>
          </rPr>
          <t>CANCELADO EN DOLARES CON GIRO AL EXTERIOR</t>
        </r>
      </text>
    </comment>
    <comment ref="AG42" authorId="0" shapeId="0" xr:uid="{969B70BD-1DD5-4B4B-9C06-CB587B0FAAED}">
      <text>
        <r>
          <rPr>
            <b/>
            <sz val="9"/>
            <color indexed="81"/>
            <rFont val="Tahoma"/>
            <family val="2"/>
          </rPr>
          <t>CANCELADO EN DOLARES CON GIRO AL EXTERIOR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 TECHNOLOGY</author>
  </authors>
  <commentList>
    <comment ref="AG41" authorId="0" shapeId="0" xr:uid="{4505E370-C953-4E22-BD5B-3A62274AA3CB}">
      <text>
        <r>
          <rPr>
            <b/>
            <sz val="9"/>
            <color indexed="81"/>
            <rFont val="Tahoma"/>
            <family val="2"/>
          </rPr>
          <t>CANCELADO EN DOLARES CON GIRO AL EXTERIOR</t>
        </r>
      </text>
    </comment>
    <comment ref="AG42" authorId="0" shapeId="0" xr:uid="{29825975-6644-44D8-8934-DE56D83286EA}">
      <text>
        <r>
          <rPr>
            <b/>
            <sz val="9"/>
            <color indexed="81"/>
            <rFont val="Tahoma"/>
            <family val="2"/>
          </rPr>
          <t>CANCELADO EN DOLARES CON GIRO AL EXTERIOR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 TECHNOLOGY</author>
  </authors>
  <commentList>
    <comment ref="F16" authorId="0" shapeId="0" xr:uid="{07CE06D9-51BF-44E2-BDD3-87E7DB4A099B}">
      <text>
        <r>
          <rPr>
            <b/>
            <sz val="9"/>
            <color indexed="81"/>
            <rFont val="Tahoma"/>
            <family val="2"/>
          </rPr>
          <t>Comprobante nro 5666544607 por 4.244 bs (552bs corresponde a ventas de Junio de Beatriz Chintari)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 TECHNOLOGY</author>
  </authors>
  <commentList>
    <comment ref="E12" authorId="0" shapeId="0" xr:uid="{8A01127B-3052-4812-96E1-BBADDC00F3E3}">
      <text>
        <r>
          <rPr>
            <b/>
            <sz val="9"/>
            <color indexed="81"/>
            <rFont val="Tahoma"/>
            <family val="2"/>
          </rPr>
          <t>FATEC TECHNOLOGY:</t>
        </r>
        <r>
          <rPr>
            <sz val="9"/>
            <color indexed="81"/>
            <rFont val="Tahoma"/>
            <family val="2"/>
          </rPr>
          <t xml:space="preserve">
ANULADO POR BS 1798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 TECHNOLOGY</author>
  </authors>
  <commentList>
    <comment ref="E69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verificar 10jabas luxury24R faltante</t>
        </r>
      </text>
    </comment>
  </commentList>
</comments>
</file>

<file path=xl/sharedStrings.xml><?xml version="1.0" encoding="utf-8"?>
<sst xmlns="http://schemas.openxmlformats.org/spreadsheetml/2006/main" count="2825" uniqueCount="441">
  <si>
    <t>NOTA DE VENTA</t>
  </si>
  <si>
    <t>DISTRIBUIDOR</t>
  </si>
  <si>
    <t>DEPARTAMENTO</t>
  </si>
  <si>
    <t>DIAS DE MORA</t>
  </si>
  <si>
    <t>OBSERVACION</t>
  </si>
  <si>
    <t xml:space="preserve">Franz Carlos Alanez Flores </t>
  </si>
  <si>
    <t xml:space="preserve">El Alto </t>
  </si>
  <si>
    <t xml:space="preserve">Celina Cruz Mendez </t>
  </si>
  <si>
    <t xml:space="preserve">Teofilo Ibañez Soliz </t>
  </si>
  <si>
    <t xml:space="preserve">Tarija </t>
  </si>
  <si>
    <t xml:space="preserve">Jorge Luis Vedia Arancibia </t>
  </si>
  <si>
    <t xml:space="preserve">Edwin Fernandez Chirinos </t>
  </si>
  <si>
    <t xml:space="preserve">Luis Alberto Chipana Peña </t>
  </si>
  <si>
    <t>Cochabamba</t>
  </si>
  <si>
    <t>Se comprometio a pagar cada mes Bs. 1000</t>
  </si>
  <si>
    <t xml:space="preserve">Alex Rolando Fernandez H. </t>
  </si>
  <si>
    <t>Oruro</t>
  </si>
  <si>
    <t>Se comprometio a pagar cada mes Bs. 5000</t>
  </si>
  <si>
    <t xml:space="preserve">Santa Cruz </t>
  </si>
  <si>
    <t xml:space="preserve">Gustavo Tellez Ugarte </t>
  </si>
  <si>
    <t>ORURO</t>
  </si>
  <si>
    <t xml:space="preserve">Andrés Miguel Paniagua </t>
  </si>
  <si>
    <t xml:space="preserve">Alvaro Choque Blanco </t>
  </si>
  <si>
    <t xml:space="preserve">Juan Carlos Torrez Ayarde </t>
  </si>
  <si>
    <t xml:space="preserve">Carol Alejandra Noya </t>
  </si>
  <si>
    <t>Fabricio Tapia Castedo</t>
  </si>
  <si>
    <t xml:space="preserve">Potosí </t>
  </si>
  <si>
    <t xml:space="preserve">Franklin Ever Viveros </t>
  </si>
  <si>
    <t xml:space="preserve">Elsa Romay Padilla </t>
  </si>
  <si>
    <t xml:space="preserve">Uyuni </t>
  </si>
  <si>
    <t>SUCRE</t>
  </si>
  <si>
    <t xml:space="preserve">Cristhian Murillo </t>
  </si>
  <si>
    <t>Sucre</t>
  </si>
  <si>
    <t xml:space="preserve">Sebastian Miranda </t>
  </si>
  <si>
    <t xml:space="preserve">Norha Choque Talavera </t>
  </si>
  <si>
    <t xml:space="preserve">Javier Caceres Parada </t>
  </si>
  <si>
    <t xml:space="preserve">DEPÓSITO  en Bs </t>
  </si>
  <si>
    <t xml:space="preserve">FECHA DE DEPÓSITO </t>
  </si>
  <si>
    <t xml:space="preserve">NOTA DE ENTREGA </t>
  </si>
  <si>
    <t xml:space="preserve">Marlene Paicho </t>
  </si>
  <si>
    <t>Ruta Colquechaca</t>
  </si>
  <si>
    <t>CUENTAS POR COBRAR</t>
  </si>
  <si>
    <t>DESTINO</t>
  </si>
  <si>
    <t>FECHA DE DESPACHO</t>
  </si>
  <si>
    <t>MONTO P/COBRAR</t>
  </si>
  <si>
    <t>CELULAR:</t>
  </si>
  <si>
    <t>SALDO</t>
  </si>
  <si>
    <t>LINEA DE CREDITO:</t>
  </si>
  <si>
    <t>DESTINO:</t>
  </si>
  <si>
    <t>CLIENTE:</t>
  </si>
  <si>
    <t>GESTION 2023 - 2024</t>
  </si>
  <si>
    <t>En Proceso</t>
  </si>
  <si>
    <t>El Alto</t>
  </si>
  <si>
    <t>Chuquisaca - Provincias</t>
  </si>
  <si>
    <t>Tarija</t>
  </si>
  <si>
    <t>TOTALES</t>
  </si>
  <si>
    <t>EMAPA NACIONAL</t>
  </si>
  <si>
    <t>TODAS LAS REGIONALES</t>
  </si>
  <si>
    <t>POTOSI</t>
  </si>
  <si>
    <t>-</t>
  </si>
  <si>
    <t>Franklin Ever Viveros</t>
  </si>
  <si>
    <t>UYUNI</t>
  </si>
  <si>
    <t>RUTA SUCRE Y POTOSI - COLQUECHACA</t>
  </si>
  <si>
    <t>Andrés Miguel Paniagua</t>
  </si>
  <si>
    <t>Nº</t>
  </si>
  <si>
    <t>MONTO DE DESPACHO</t>
  </si>
  <si>
    <t>DEPOSITOS</t>
  </si>
  <si>
    <t>SALDO POR COBRAR</t>
  </si>
  <si>
    <t>CUENTAS POR COBRAR A CLIENTES</t>
  </si>
  <si>
    <t>NACIONAL</t>
  </si>
  <si>
    <t>Javier Caceres</t>
  </si>
  <si>
    <t>LINEA DE CREDITO</t>
  </si>
  <si>
    <t>SALDO DESPUES DE LA LINEA DE CREDITO</t>
  </si>
  <si>
    <t>Orlando Aldunate  M.</t>
  </si>
  <si>
    <t>TARIJA</t>
  </si>
  <si>
    <t>Fausto Condori</t>
  </si>
  <si>
    <t>Chuquisaca - Prov</t>
  </si>
  <si>
    <t>TOTAL CLIENTES MOROSOS</t>
  </si>
  <si>
    <t xml:space="preserve">TOTALE CLIENTES </t>
  </si>
  <si>
    <t>TOTALE CLIENTES ACTIVOS</t>
  </si>
  <si>
    <t>TOTAL MES</t>
  </si>
  <si>
    <t>Semana 1</t>
  </si>
  <si>
    <t>Semana 2</t>
  </si>
  <si>
    <t>Semana 3</t>
  </si>
  <si>
    <t>Semana 4</t>
  </si>
  <si>
    <t>Flora Yapuchura</t>
  </si>
  <si>
    <t>La Paz</t>
  </si>
  <si>
    <t>Willy Quispe</t>
  </si>
  <si>
    <t>Chile</t>
  </si>
  <si>
    <t>Andrez Lopez</t>
  </si>
  <si>
    <t>EN EFECTIVO</t>
  </si>
  <si>
    <t>Al contado</t>
  </si>
  <si>
    <t>pago en efectivo</t>
  </si>
  <si>
    <t>Miguel Angel Mora</t>
  </si>
  <si>
    <t>Carmen Cruz</t>
  </si>
  <si>
    <t>posible deposito</t>
  </si>
  <si>
    <t>TOTAL A COBRAR</t>
  </si>
  <si>
    <t>CONTACTO</t>
  </si>
  <si>
    <t>Jenrry</t>
  </si>
  <si>
    <t>Chile - Iquique</t>
  </si>
  <si>
    <t>Judith</t>
  </si>
  <si>
    <t>Kevin</t>
  </si>
  <si>
    <t>TOTAL SALDO POR COBRAR</t>
  </si>
  <si>
    <t>Jorge Saavedra</t>
  </si>
  <si>
    <t>Tupiza</t>
  </si>
  <si>
    <t>Olivia Ruiz</t>
  </si>
  <si>
    <t>Gobierno Autonomo Municipal de Sucre - Direccion Administrativa</t>
  </si>
  <si>
    <t>Gobierno Autonomo Municipal de Sucre - Desarrollo Productivo</t>
  </si>
  <si>
    <t>LINEA DE CREDITO LIMITE:</t>
  </si>
  <si>
    <t>TOTAL CLIENTES ACTIVOS</t>
  </si>
  <si>
    <t>Gobierno Autonomo Municipal de Sucre - Dirección Administrativa</t>
  </si>
  <si>
    <t xml:space="preserve">Eddy </t>
  </si>
  <si>
    <t>GAMS  Desarrollo Productivo</t>
  </si>
  <si>
    <t>GAMS  Direccion Administrativa</t>
  </si>
  <si>
    <t>Eddy</t>
  </si>
  <si>
    <t>Yobana Llanos Cruz</t>
  </si>
  <si>
    <t>Ruta Chapare</t>
  </si>
  <si>
    <t>transferencia</t>
  </si>
  <si>
    <t>Ines Aguirre</t>
  </si>
  <si>
    <t>Provincias de Uyuni, Gotagaita, Villazon y Tupiza</t>
  </si>
  <si>
    <t>al contado</t>
  </si>
  <si>
    <t>Rene Cahuana</t>
  </si>
  <si>
    <t>Provincias Villazon</t>
  </si>
  <si>
    <t>Hernan Colque Cruz</t>
  </si>
  <si>
    <t>Provincias de Pisiga - frontera Chile</t>
  </si>
  <si>
    <t>Pisiga</t>
  </si>
  <si>
    <t>Ismael Marca</t>
  </si>
  <si>
    <t xml:space="preserve">DEPÓSITO
 en Bs </t>
  </si>
  <si>
    <t>Roxana Yanet Castrillo Vasco</t>
  </si>
  <si>
    <t>Bermejo</t>
  </si>
  <si>
    <t>deposito</t>
  </si>
  <si>
    <t>efectivo</t>
  </si>
  <si>
    <t>Freddy Alcocer Mollo</t>
  </si>
  <si>
    <t>Katerine Soria Galvarro</t>
  </si>
  <si>
    <t>Oruro Provincia</t>
  </si>
  <si>
    <t>BNB</t>
  </si>
  <si>
    <t>BU</t>
  </si>
  <si>
    <t>FAUSTO</t>
  </si>
  <si>
    <t>ELIANA CONDORI</t>
  </si>
  <si>
    <t>Marco Antonio Condori Flores</t>
  </si>
  <si>
    <t>Oruro
Provincia</t>
  </si>
  <si>
    <t>Nilda</t>
  </si>
  <si>
    <t>CBBA
Provincia</t>
  </si>
  <si>
    <t>Divar Aranibar Plata</t>
  </si>
  <si>
    <t>Ruth Gabriela</t>
  </si>
  <si>
    <t>Pando</t>
  </si>
  <si>
    <t>Sergio Romero</t>
  </si>
  <si>
    <t xml:space="preserve"> CUIZA CAIGUARA ESPERANZA</t>
  </si>
  <si>
    <t>se perdono por cancelar bs50.000.-</t>
  </si>
  <si>
    <t>Eliana Condori Flores</t>
  </si>
  <si>
    <t>Jorge Cruz</t>
  </si>
  <si>
    <t>POR COBRAR</t>
  </si>
  <si>
    <t>Javier Mercado</t>
  </si>
  <si>
    <t>Elsa Romay Padilla</t>
  </si>
  <si>
    <t>Transf. Eliana Condori Flores</t>
  </si>
  <si>
    <t>N° FACTURA</t>
  </si>
  <si>
    <t>Yaneth Miriam Toroya Gabriel</t>
  </si>
  <si>
    <t>Faustino Condori Villegas</t>
  </si>
  <si>
    <t>Villazon</t>
  </si>
  <si>
    <t>Miguel Calle</t>
  </si>
  <si>
    <t>Patricia Romero</t>
  </si>
  <si>
    <t>HUANUNI</t>
  </si>
  <si>
    <t>Silvia Gomez</t>
  </si>
  <si>
    <t>Huanuni</t>
  </si>
  <si>
    <t>Paul Rodrigo Yamani Almaraz</t>
  </si>
  <si>
    <t>Tranf. Paul Rodrigo Yamani</t>
  </si>
  <si>
    <t>Jhaneth Miriam Toroya Gabriel</t>
  </si>
  <si>
    <t>MARZO - 2025</t>
  </si>
  <si>
    <t>Paul Yamani</t>
  </si>
  <si>
    <t>Venta colillas</t>
  </si>
  <si>
    <t>GESTION 2025 - 2026</t>
  </si>
  <si>
    <t>SALDO AL 31/03/25</t>
  </si>
  <si>
    <t>EFECTIVO recibo 941</t>
  </si>
  <si>
    <t>EFECTIVO recibo 943</t>
  </si>
  <si>
    <t>Murillo C. Cristhian M.</t>
  </si>
  <si>
    <t>Transf. Choque David</t>
  </si>
  <si>
    <t>Transf. Freddy Alcocer Mollo</t>
  </si>
  <si>
    <t>Transf. Ariel Aldunate Marca</t>
  </si>
  <si>
    <t>Casas Murillo Ivone</t>
  </si>
  <si>
    <t>Transferencia</t>
  </si>
  <si>
    <t>Devolucion a su cuenta</t>
  </si>
  <si>
    <t>Transferencia Murillo Cristhian</t>
  </si>
  <si>
    <t>EFECTIVO recibo 946</t>
  </si>
  <si>
    <t>Orlando Aldunate Marca</t>
  </si>
  <si>
    <t>Ventas en  FABRICA</t>
  </si>
  <si>
    <t>EFECTIVO recibo 1006</t>
  </si>
  <si>
    <t>EFECTIVO recibo 1014</t>
  </si>
  <si>
    <t>EFECTIVO recibo 1022</t>
  </si>
  <si>
    <t>Alejandro Luna</t>
  </si>
  <si>
    <t>$us 15.280.-  t/c11.- giro a ALBANY</t>
  </si>
  <si>
    <t>Sandra Gutierrez Quispe</t>
  </si>
  <si>
    <t>$us 14.364.-  Y $us 702.68 t/c11.- giro a ALBANY</t>
  </si>
  <si>
    <t xml:space="preserve">Doble giro a ALBANY $us 702.68 t/c11.- </t>
  </si>
  <si>
    <t>MAYO - 2025</t>
  </si>
  <si>
    <t>FEXPO 2025</t>
  </si>
  <si>
    <t>Devolucion a misma cuenta</t>
  </si>
  <si>
    <t>EFECTIVO recibo 1023</t>
  </si>
  <si>
    <t>JUNIO - 2025</t>
  </si>
  <si>
    <t>EFECTIVO recibo 1028</t>
  </si>
  <si>
    <t>Venta colillas y otros</t>
  </si>
  <si>
    <t>EFECTIVO recibo 1031</t>
  </si>
  <si>
    <t>EFECTIVO recibo 1035</t>
  </si>
  <si>
    <t>EFECTIVO recibo 1037</t>
  </si>
  <si>
    <t>Evaristo Llanque Orco</t>
  </si>
  <si>
    <t>Choque Pocomani David Angel</t>
  </si>
  <si>
    <t>Ariel Aldunate Marca</t>
  </si>
  <si>
    <t>Devolición a la cuenta de Ruth Noemi Guarapo Vasquez</t>
  </si>
  <si>
    <t>EFECTIVO recibo 1039</t>
  </si>
  <si>
    <t>EFECTIVO recibo 1041</t>
  </si>
  <si>
    <t>EFECTIVO recibo 1044</t>
  </si>
  <si>
    <t>EFECTIVO recibo 1048</t>
  </si>
  <si>
    <t>EFECTIVO recibo 1051</t>
  </si>
  <si>
    <t>TOTAL JULIO</t>
  </si>
  <si>
    <t>TOTAL DEL 1/04/25 AL DIA</t>
  </si>
  <si>
    <t>TOTAL JUNIO</t>
  </si>
  <si>
    <t>TOTAL MAYO</t>
  </si>
  <si>
    <t>TOTAL ABRIL</t>
  </si>
  <si>
    <t>Claudia Fernanda Flores.</t>
  </si>
  <si>
    <t>David Choque - Katerine</t>
  </si>
  <si>
    <t>GRUPO ULTRA S.R.L. (Miguelina Revollo)</t>
  </si>
  <si>
    <t>Sandra Calleja Calle</t>
  </si>
  <si>
    <t>Hernan Choque Cruz</t>
  </si>
  <si>
    <t>TOTAL AGOSTO</t>
  </si>
  <si>
    <t>Alexander Vides Garzon</t>
  </si>
  <si>
    <t>Recibo20080</t>
  </si>
  <si>
    <t>JULIO - 2025</t>
  </si>
  <si>
    <t>Grupo ULTRA Sta Cruz</t>
  </si>
  <si>
    <t>Alexander Vides</t>
  </si>
  <si>
    <t>EFECTIVO recibo 1104</t>
  </si>
  <si>
    <t>EFECTIVO recibo 1091</t>
  </si>
  <si>
    <t>EFECTIVO recibo 1107</t>
  </si>
  <si>
    <t>Yoelma</t>
  </si>
  <si>
    <t>Juan Miguel Zurita Flores</t>
  </si>
  <si>
    <t>Transf. Juan Miguel Zurita Flores</t>
  </si>
  <si>
    <t>Devolucion por transferencia</t>
  </si>
  <si>
    <t>Nombre:</t>
  </si>
  <si>
    <t>CI.</t>
  </si>
  <si>
    <t>9391155 cb.</t>
  </si>
  <si>
    <t>Domicilio:</t>
  </si>
  <si>
    <t xml:space="preserve">Av. Santivañez S/N </t>
  </si>
  <si>
    <t>Zona Pucara Grande - Cercado</t>
  </si>
  <si>
    <t>Monto Deuda: bs27.882,50.-</t>
  </si>
  <si>
    <t>Celular:</t>
  </si>
  <si>
    <t>JULIAN MARCANI CHUMACERO</t>
  </si>
  <si>
    <t>EDWIN BARRON DURAN</t>
  </si>
  <si>
    <t>JULIAN FLORES GONZALES</t>
  </si>
  <si>
    <t>FRANCISCO DIAS MAMANI</t>
  </si>
  <si>
    <t>Ya estan firmadas.</t>
  </si>
  <si>
    <t>Cel:</t>
  </si>
  <si>
    <t>Conductores de despachos a FABRICIO TAPIA</t>
  </si>
  <si>
    <t>EFECTIVO recibo 1110</t>
  </si>
  <si>
    <t>EFECTIVO recibo 1111</t>
  </si>
  <si>
    <t>EFECTIVO recibo 1118</t>
  </si>
  <si>
    <t>EFECTIVO recibo 1119</t>
  </si>
  <si>
    <t>EFECTIVO recibo 1120</t>
  </si>
  <si>
    <t>EFECTIVO recibo 1121</t>
  </si>
  <si>
    <t>LINA</t>
  </si>
  <si>
    <t>CARACOLLO</t>
  </si>
  <si>
    <t>Ruth Fajardo Martinez</t>
  </si>
  <si>
    <t>CARANAVI</t>
  </si>
  <si>
    <t>Transf. Claudia Vaneza Urzagaste</t>
  </si>
  <si>
    <t>Delfin Crispin Mamani</t>
  </si>
  <si>
    <t>Mamani Juan Fernando</t>
  </si>
  <si>
    <t>CAJA</t>
  </si>
  <si>
    <t>Lina Esperanza Gomez Arismendi</t>
  </si>
  <si>
    <t>Ruth Fajardo</t>
  </si>
  <si>
    <t>Caranavi</t>
  </si>
  <si>
    <t>Caracollo</t>
  </si>
  <si>
    <t>Lina</t>
  </si>
  <si>
    <t>Tranf. Gonzales Angulo Selma Regina</t>
  </si>
  <si>
    <t>Tupiza Villazon</t>
  </si>
  <si>
    <t>EFECTIVO recibo 1134</t>
  </si>
  <si>
    <t>EFECTIVO recibo 1137</t>
  </si>
  <si>
    <t>EFECTIVO recibo 1140</t>
  </si>
  <si>
    <t>EFECTIVO recibo 1141</t>
  </si>
  <si>
    <t>EFECTIVO recibo 1142</t>
  </si>
  <si>
    <t>EFECTIVO recibo 1144</t>
  </si>
  <si>
    <t>EFECTIVO recibo 1145</t>
  </si>
  <si>
    <t>EFECTIVO recibo 1147</t>
  </si>
  <si>
    <t>EFECTIVO recibo 1149</t>
  </si>
  <si>
    <t>TOTAL SEPTIEMBRE</t>
  </si>
  <si>
    <t>EFECTIVO recibo 1153</t>
  </si>
  <si>
    <t>Cahuana Ichuta Rene</t>
  </si>
  <si>
    <t>Trans. Casas Murillo Ivonne</t>
  </si>
  <si>
    <t>Trans. Claudia Vaneza Urzagaste Choque</t>
  </si>
  <si>
    <t>Dep Juan Miguel Zurita Flores</t>
  </si>
  <si>
    <t>Dep. Ruth Mery Marquez Alvarez</t>
  </si>
  <si>
    <t>Dep. Sarai Blanca Huayta Flores</t>
  </si>
  <si>
    <t xml:space="preserve">TOTAL OCTUBRE </t>
  </si>
  <si>
    <t>OCTUBRE - 2025</t>
  </si>
  <si>
    <t>SEPTIEMBRE - 2025</t>
  </si>
  <si>
    <t>EFECTIVO recibo 1159</t>
  </si>
  <si>
    <t>EFECTIVO recibo 1160</t>
  </si>
  <si>
    <t>EFECTIVO recibo 1180</t>
  </si>
  <si>
    <t>EFECTIVO recibo 1181</t>
  </si>
  <si>
    <t>EFECTIVO recibo 1195</t>
  </si>
  <si>
    <t>Vendedor Comisionista</t>
  </si>
  <si>
    <t>CARGO</t>
  </si>
  <si>
    <t>Ruth Zarate Rafaele</t>
  </si>
  <si>
    <t>Recibo #1210</t>
  </si>
  <si>
    <t>TOTAL NOVIEMBRE</t>
  </si>
  <si>
    <t>Recibo #1215</t>
  </si>
  <si>
    <t>Jorge Luis Chuyma Quispe - HECTOR - RODRIGO</t>
  </si>
  <si>
    <t>La Paz - El Alto</t>
  </si>
  <si>
    <t>Transf. Romero Quispe Luis Herctor</t>
  </si>
  <si>
    <t>SI</t>
  </si>
  <si>
    <t>A CREDITO:</t>
  </si>
  <si>
    <t>Supermercado SAS</t>
  </si>
  <si>
    <t>Inocencio Cruz</t>
  </si>
  <si>
    <t>Ruth Zarate</t>
  </si>
  <si>
    <t>Miguel Zurita</t>
  </si>
  <si>
    <t>Creditos</t>
  </si>
  <si>
    <t>NOTA</t>
  </si>
  <si>
    <t>QR</t>
  </si>
  <si>
    <t>CREDITOS</t>
  </si>
  <si>
    <t>SALDO A COBRAR</t>
  </si>
  <si>
    <t>Recibo #1256</t>
  </si>
  <si>
    <t>Qr</t>
  </si>
  <si>
    <t>Recibo # 1287</t>
  </si>
  <si>
    <t xml:space="preserve">Inventario </t>
  </si>
  <si>
    <t>Qr.</t>
  </si>
  <si>
    <t>Noviembre- 2025</t>
  </si>
  <si>
    <t>Herctor  -  Jorge</t>
  </si>
  <si>
    <t>SAS</t>
  </si>
  <si>
    <t>DEPOSITO</t>
  </si>
  <si>
    <t>Carlos Eduardo Gutierrez Salazar</t>
  </si>
  <si>
    <t>FARMACIA SAN AGUSTIN</t>
  </si>
  <si>
    <t>LIDER SUPERMERCADO S.R.L.</t>
  </si>
  <si>
    <t>SOLAR SUPERMERCADO S.R.L.</t>
  </si>
  <si>
    <t>SUPERMERCADO POMPEYA</t>
  </si>
  <si>
    <t>Victor Hugo Zarate</t>
  </si>
  <si>
    <t>Beker Rosa Cruz - Carmen</t>
  </si>
  <si>
    <t>Ventas Directas de Fabrica</t>
  </si>
  <si>
    <t>Carlos Eduardo Gutierrez - Ambulante</t>
  </si>
  <si>
    <t>SOLAR Supermercado</t>
  </si>
  <si>
    <t>LIDER Supermercado</t>
  </si>
  <si>
    <t>Farmacia San Agustin</t>
  </si>
  <si>
    <t>Supermercado POMPEYA</t>
  </si>
  <si>
    <t>Efectivo Recibo #1293</t>
  </si>
  <si>
    <t>Efectivo Recibo #1300</t>
  </si>
  <si>
    <t>Efectivo Recibo #1284</t>
  </si>
  <si>
    <t>Efectivo Recibo #1331</t>
  </si>
  <si>
    <t>Comision del 5%</t>
  </si>
  <si>
    <t>A 1 mes de credito</t>
  </si>
  <si>
    <t>Transferencia BCP</t>
  </si>
  <si>
    <t>Credito a Sra. Sandra</t>
  </si>
  <si>
    <t>DICIEMBRE- 2025</t>
  </si>
  <si>
    <t xml:space="preserve">Provinci Sucre </t>
  </si>
  <si>
    <t>Efectivo Recibo #1353</t>
  </si>
  <si>
    <t>Christian Churqui Ortega</t>
  </si>
  <si>
    <t>Luis Fernando Zuna Rodriguez</t>
  </si>
  <si>
    <t>Efectivo Recibo #1381</t>
  </si>
  <si>
    <t>Oscar Hugo Garzofino Catacora (Paceña)</t>
  </si>
  <si>
    <t>1 semana</t>
  </si>
  <si>
    <t>descontado de su comision</t>
  </si>
  <si>
    <t>MERCAMAX S.R.L.</t>
  </si>
  <si>
    <t>Pulperia San Francisco</t>
  </si>
  <si>
    <t>Transferencia BU</t>
  </si>
  <si>
    <t>Efectivo Recibo #1417</t>
  </si>
  <si>
    <t>Efectivo Recibo #1430</t>
  </si>
  <si>
    <t>Efectivo Recibo #1424</t>
  </si>
  <si>
    <t>ENERO- 2026</t>
  </si>
  <si>
    <t>GESTION 2024 - 2025</t>
  </si>
  <si>
    <t>Marco</t>
  </si>
  <si>
    <t>Transf. Gladys Daza Montalvo</t>
  </si>
  <si>
    <t>Cheque depositado</t>
  </si>
  <si>
    <t>Efectivo Recibo #1448</t>
  </si>
  <si>
    <t>Efectivo Recibo #4936</t>
  </si>
  <si>
    <t>Efectivo Recibo #4940</t>
  </si>
  <si>
    <t>Efectivo Recibo #18</t>
  </si>
  <si>
    <t xml:space="preserve">Según deposito bancario BNB 726022300103764, por error pagaron a la cuenta del ex distribuidor Cristhian Murillo el 19 de febrero </t>
  </si>
  <si>
    <t>260299A</t>
  </si>
  <si>
    <t>Efectivo recibo #12 (Victor)</t>
  </si>
  <si>
    <t>NEISSA</t>
  </si>
  <si>
    <t xml:space="preserve">transf. </t>
  </si>
  <si>
    <t>MERCAMAX</t>
  </si>
  <si>
    <t>Pulperia USFX</t>
  </si>
  <si>
    <t>Marco - Ismael de Uyuni</t>
  </si>
  <si>
    <t>AJUSTE DE PRECIO  DE MESES ANTERIORES</t>
  </si>
  <si>
    <t>Efectivo Recibo #40</t>
  </si>
  <si>
    <t>Efectivo Recibo #87</t>
  </si>
  <si>
    <t>Efectivo Recibo #114</t>
  </si>
  <si>
    <t>Efectivo Recibo #151</t>
  </si>
  <si>
    <t>Transferencia BU 5246271793</t>
  </si>
  <si>
    <t>Transferencia BU 5189492499</t>
  </si>
  <si>
    <t>Transferencia BU 5208852590</t>
  </si>
  <si>
    <t>Transferencia BU 5243609547</t>
  </si>
  <si>
    <t>Transf. B.U. Gladys Daza Montalvo  Comprbnte Nro 54312657512</t>
  </si>
  <si>
    <t>DEPOSITO B.U. NRO 62614836</t>
  </si>
  <si>
    <t>Efectivo Recibo #177</t>
  </si>
  <si>
    <t>Efectivo Recibo #179</t>
  </si>
  <si>
    <t>Transferencia BU 5260230914</t>
  </si>
  <si>
    <t>Efectivo Recibo #213</t>
  </si>
  <si>
    <t>Efectivo Recibo #269</t>
  </si>
  <si>
    <t>B.U.</t>
  </si>
  <si>
    <t>Efectivo Recibo #256</t>
  </si>
  <si>
    <t>Efectivo Recibo #301</t>
  </si>
  <si>
    <t>Efectivo Recibo #326</t>
  </si>
  <si>
    <t>Transferencia BU 5283531083</t>
  </si>
  <si>
    <t>Transferencia BU 5303405112</t>
  </si>
  <si>
    <t>Transferencia BU 5322974011</t>
  </si>
  <si>
    <t>Transferencia BU 5339422431</t>
  </si>
  <si>
    <t>Transferencia BU 5325583304</t>
  </si>
  <si>
    <t>Efectivo Recibo #421</t>
  </si>
  <si>
    <t>Efectivo Recibo #450</t>
  </si>
  <si>
    <t>Efectivo Recibo #475</t>
  </si>
  <si>
    <t>Efectivo Recibo #489</t>
  </si>
  <si>
    <t>Efectivo Recibo #402</t>
  </si>
  <si>
    <t>DEPOSITO B.U. NRO 68907429</t>
  </si>
  <si>
    <t>Transferencia BU 5365111545</t>
  </si>
  <si>
    <t>Transferencia BU 5385489267</t>
  </si>
  <si>
    <t>Transferencia BU 5403609182</t>
  </si>
  <si>
    <t>Transferencia BU 5423982559</t>
  </si>
  <si>
    <t>Transferencia BU 5447085497</t>
  </si>
  <si>
    <t>Transf. B.U. Gladys Daza Montalvo  Comprbnte Nro 54612795897</t>
  </si>
  <si>
    <t>Transferencia BU 5499445027</t>
  </si>
  <si>
    <t>Transf. B.U. Gladys Daza Montalvo  Comprbnte Nro 54612984892</t>
  </si>
  <si>
    <t>Efectivo Recibo #557</t>
  </si>
  <si>
    <t>Efectivo Recibo #608</t>
  </si>
  <si>
    <t>Efectivo Recibo #560</t>
  </si>
  <si>
    <t>Efectivo Recibo #613</t>
  </si>
  <si>
    <t>Transferencia BU 5467387609</t>
  </si>
  <si>
    <t>Transferencia BU 5508214029</t>
  </si>
  <si>
    <t xml:space="preserve"> Transferencia BU 5524621504</t>
  </si>
  <si>
    <t xml:space="preserve"> Transferencia BU 5550782778</t>
  </si>
  <si>
    <t xml:space="preserve"> Transferencia BU 5571350239</t>
  </si>
  <si>
    <t>Transferencia BCP Nro 9885922</t>
  </si>
  <si>
    <t xml:space="preserve"> Transferencia BU 5611148288</t>
  </si>
  <si>
    <t>Transferencia BU 5614103575</t>
  </si>
  <si>
    <t>QR REC.741</t>
  </si>
  <si>
    <t>Efectivo Recibo #765</t>
  </si>
  <si>
    <t>Transferencia BCP Nro 5666544607</t>
  </si>
  <si>
    <t>Efectivo Recibo #807</t>
  </si>
  <si>
    <t>Efectivo Recibo #877</t>
  </si>
  <si>
    <t xml:space="preserve"> Transferencia BU 5721318607</t>
  </si>
  <si>
    <t>Transf. B.U. Gladys Daza Montalvo  Comprbnte Nro 54713138428</t>
  </si>
  <si>
    <t>Efectivo Recibo #908</t>
  </si>
  <si>
    <t xml:space="preserve"> Transferencia BU 5680840235</t>
  </si>
  <si>
    <t xml:space="preserve"> Transferencia BU 5700788591</t>
  </si>
  <si>
    <t xml:space="preserve"> Transferencia BU 5751542571</t>
  </si>
  <si>
    <t>GAMS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</si>
</sst>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#,##0.00_ ;\-#,##0.00\ "/>
    <numFmt numFmtId="166" formatCode="#,##0.00_ ;[Red]\-#,##0.00\ 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i/>
      <sz val="12"/>
      <color theme="1"/>
      <name val="Cambria"/>
      <family val="1"/>
    </font>
    <font>
      <b/>
      <sz val="12"/>
      <color rgb="FFFFFF00"/>
      <name val="Cambria"/>
      <family val="1"/>
    </font>
    <font>
      <b/>
      <sz val="16"/>
      <color rgb="FFC00000"/>
      <name val="Cambria"/>
      <family val="1"/>
    </font>
    <font>
      <b/>
      <sz val="12"/>
      <name val="Cambria"/>
      <family val="1"/>
    </font>
    <font>
      <sz val="12"/>
      <color rgb="FFE65348"/>
      <name val="Cambria"/>
      <family val="1"/>
    </font>
    <font>
      <b/>
      <i/>
      <sz val="12"/>
      <color rgb="FFFFFF00"/>
      <name val="Cambria"/>
      <family val="1"/>
    </font>
    <font>
      <sz val="11"/>
      <color theme="1"/>
      <name val="Cambria"/>
      <family val="1"/>
    </font>
    <font>
      <b/>
      <sz val="11"/>
      <color rgb="FFFF0000"/>
      <name val="Cambria"/>
      <family val="1"/>
    </font>
    <font>
      <b/>
      <sz val="11"/>
      <color theme="1"/>
      <name val="Cambria"/>
      <family val="1"/>
    </font>
    <font>
      <b/>
      <sz val="11"/>
      <name val="Cambria"/>
      <family val="1"/>
    </font>
    <font>
      <b/>
      <sz val="12"/>
      <color rgb="FFFF0000"/>
      <name val="Cambria"/>
      <family val="1"/>
    </font>
    <font>
      <b/>
      <sz val="14"/>
      <color theme="1"/>
      <name val="Cambria"/>
      <family val="1"/>
    </font>
    <font>
      <b/>
      <sz val="11"/>
      <color theme="0"/>
      <name val="Cambria"/>
      <family val="1"/>
    </font>
    <font>
      <sz val="11"/>
      <name val="Cambria"/>
      <family val="1"/>
    </font>
    <font>
      <b/>
      <sz val="11"/>
      <color rgb="FFFFFF00"/>
      <name val="Cambria"/>
      <family val="1"/>
    </font>
    <font>
      <b/>
      <i/>
      <sz val="11"/>
      <name val="Cambria"/>
      <family val="1"/>
    </font>
    <font>
      <b/>
      <i/>
      <sz val="14"/>
      <color rgb="FFFFFF00"/>
      <name val="Cambria"/>
      <family val="1"/>
    </font>
    <font>
      <b/>
      <sz val="14"/>
      <color rgb="FFFFFF00"/>
      <name val="Cambria"/>
      <family val="1"/>
    </font>
    <font>
      <sz val="8"/>
      <color theme="1"/>
      <name val="Cambria"/>
      <family val="1"/>
    </font>
    <font>
      <b/>
      <sz val="9"/>
      <color indexed="81"/>
      <name val="Tahoma"/>
      <family val="2"/>
    </font>
    <font>
      <b/>
      <sz val="11"/>
      <color rgb="FF0070C0"/>
      <name val="Cambria"/>
      <family val="1"/>
    </font>
    <font>
      <b/>
      <i/>
      <sz val="11"/>
      <color rgb="FF0070C0"/>
      <name val="Cambria"/>
      <family val="1"/>
    </font>
    <font>
      <sz val="12"/>
      <color rgb="FF7030A0"/>
      <name val="Cambria"/>
      <family val="1"/>
    </font>
    <font>
      <sz val="12"/>
      <color theme="0"/>
      <name val="Cambria"/>
      <family val="1"/>
    </font>
    <font>
      <sz val="12"/>
      <color theme="1"/>
      <name val="Perpetua"/>
      <family val="1"/>
    </font>
    <font>
      <sz val="12"/>
      <name val="Cambria"/>
      <family val="1"/>
    </font>
    <font>
      <sz val="12"/>
      <color rgb="FFFF0000"/>
      <name val="Cambria"/>
      <family val="1"/>
    </font>
    <font>
      <sz val="12"/>
      <color theme="8" tint="-0.249977111117893"/>
      <name val="Cambria"/>
      <family val="1"/>
    </font>
    <font>
      <sz val="12"/>
      <color rgb="FF336600"/>
      <name val="Cambria"/>
      <family val="1"/>
    </font>
    <font>
      <sz val="10"/>
      <name val="Arial"/>
      <family val="2"/>
    </font>
    <font>
      <sz val="10"/>
      <name val="Verdana"/>
      <family val="2"/>
    </font>
    <font>
      <sz val="8"/>
      <name val="Calibri"/>
      <family val="2"/>
      <scheme val="minor"/>
    </font>
    <font>
      <b/>
      <i/>
      <sz val="12"/>
      <color rgb="FFFF0000"/>
      <name val="Cambria"/>
      <family val="1"/>
    </font>
    <font>
      <b/>
      <i/>
      <u/>
      <sz val="12"/>
      <color theme="1"/>
      <name val="Cambria"/>
      <family val="1"/>
    </font>
    <font>
      <sz val="9"/>
      <color indexed="81"/>
      <name val="Tahoma"/>
      <family val="2"/>
    </font>
    <font>
      <b/>
      <sz val="12"/>
      <color theme="0"/>
      <name val="Cambria"/>
      <family val="1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rgb="FFFFFF00"/>
        </stop>
        <stop position="1">
          <color theme="5" tint="-0.49803155613879818"/>
        </stop>
      </gradientFill>
    </fill>
    <fill>
      <gradientFill type="path" left="0.5" right="0.5" top="0.5" bottom="0.5">
        <stop position="0">
          <color theme="5" tint="0.80001220740379042"/>
        </stop>
        <stop position="1">
          <color rgb="FFC00000"/>
        </stop>
      </gradient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E6534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09B9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366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/>
    <xf numFmtId="0" fontId="34" fillId="0" borderId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30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4" fontId="2" fillId="2" borderId="1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" fontId="2" fillId="2" borderId="0" xfId="0" applyNumberFormat="1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vertical="center"/>
    </xf>
    <xf numFmtId="4" fontId="2" fillId="2" borderId="2" xfId="0" applyNumberFormat="1" applyFont="1" applyFill="1" applyBorder="1" applyAlignment="1">
      <alignment vertical="center"/>
    </xf>
    <xf numFmtId="4" fontId="3" fillId="2" borderId="5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vertical="center"/>
    </xf>
    <xf numFmtId="4" fontId="9" fillId="5" borderId="3" xfId="0" applyNumberFormat="1" applyFont="1" applyFill="1" applyBorder="1" applyAlignment="1">
      <alignment vertical="center"/>
    </xf>
    <xf numFmtId="4" fontId="5" fillId="5" borderId="1" xfId="0" applyNumberFormat="1" applyFont="1" applyFill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43" fontId="12" fillId="0" borderId="0" xfId="1" applyFont="1" applyFill="1" applyBorder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0" fillId="0" borderId="0" xfId="1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8" fillId="6" borderId="1" xfId="0" applyFont="1" applyFill="1" applyBorder="1" applyAlignment="1">
      <alignment horizontal="center" vertical="center" wrapText="1"/>
    </xf>
    <xf numFmtId="43" fontId="18" fillId="6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3" fontId="2" fillId="0" borderId="0" xfId="1" applyFont="1" applyAlignment="1">
      <alignment vertical="center"/>
    </xf>
    <xf numFmtId="4" fontId="9" fillId="5" borderId="1" xfId="0" applyNumberFormat="1" applyFont="1" applyFill="1" applyBorder="1" applyAlignment="1">
      <alignment vertical="center"/>
    </xf>
    <xf numFmtId="4" fontId="14" fillId="7" borderId="7" xfId="0" applyNumberFormat="1" applyFont="1" applyFill="1" applyBorder="1" applyAlignment="1">
      <alignment vertical="center"/>
    </xf>
    <xf numFmtId="4" fontId="5" fillId="6" borderId="4" xfId="0" applyNumberFormat="1" applyFont="1" applyFill="1" applyBorder="1" applyAlignment="1">
      <alignment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43" fontId="12" fillId="0" borderId="2" xfId="1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/>
    </xf>
    <xf numFmtId="0" fontId="18" fillId="1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8" borderId="1" xfId="0" applyFont="1" applyFill="1" applyBorder="1" applyAlignment="1">
      <alignment horizontal="center" vertical="center" wrapText="1"/>
    </xf>
    <xf numFmtId="4" fontId="13" fillId="13" borderId="1" xfId="1" applyNumberFormat="1" applyFont="1" applyFill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 wrapText="1"/>
    </xf>
    <xf numFmtId="4" fontId="19" fillId="10" borderId="1" xfId="1" applyNumberFormat="1" applyFont="1" applyFill="1" applyBorder="1" applyAlignment="1">
      <alignment horizontal="right" vertical="center" wrapText="1"/>
    </xf>
    <xf numFmtId="4" fontId="19" fillId="11" borderId="1" xfId="0" applyNumberFormat="1" applyFont="1" applyFill="1" applyBorder="1" applyAlignment="1">
      <alignment horizontal="right" vertical="center" wrapText="1"/>
    </xf>
    <xf numFmtId="4" fontId="21" fillId="9" borderId="1" xfId="1" applyNumberFormat="1" applyFont="1" applyFill="1" applyBorder="1" applyAlignment="1">
      <alignment horizontal="right" vertical="center"/>
    </xf>
    <xf numFmtId="4" fontId="2" fillId="7" borderId="1" xfId="0" applyNumberFormat="1" applyFont="1" applyFill="1" applyBorder="1" applyAlignment="1">
      <alignment vertical="center"/>
    </xf>
    <xf numFmtId="14" fontId="2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/>
    </xf>
    <xf numFmtId="4" fontId="2" fillId="2" borderId="11" xfId="0" applyNumberFormat="1" applyFont="1" applyFill="1" applyBorder="1" applyAlignment="1">
      <alignment vertical="center"/>
    </xf>
    <xf numFmtId="4" fontId="2" fillId="2" borderId="4" xfId="0" applyNumberFormat="1" applyFont="1" applyFill="1" applyBorder="1" applyAlignment="1">
      <alignment vertical="center"/>
    </xf>
    <xf numFmtId="14" fontId="2" fillId="2" borderId="4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4" fontId="2" fillId="2" borderId="7" xfId="0" applyNumberFormat="1" applyFont="1" applyFill="1" applyBorder="1" applyAlignment="1">
      <alignment vertical="center"/>
    </xf>
    <xf numFmtId="14" fontId="2" fillId="2" borderId="7" xfId="0" applyNumberFormat="1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5" fillId="12" borderId="9" xfId="0" applyFont="1" applyFill="1" applyBorder="1" applyAlignment="1">
      <alignment vertical="center"/>
    </xf>
    <xf numFmtId="0" fontId="5" fillId="12" borderId="10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4" fontId="24" fillId="13" borderId="1" xfId="1" applyNumberFormat="1" applyFont="1" applyFill="1" applyBorder="1" applyAlignment="1">
      <alignment horizontal="right" vertical="center" wrapText="1"/>
    </xf>
    <xf numFmtId="4" fontId="25" fillId="11" borderId="1" xfId="0" applyNumberFormat="1" applyFont="1" applyFill="1" applyBorder="1" applyAlignment="1">
      <alignment horizontal="right" vertical="center" wrapText="1"/>
    </xf>
    <xf numFmtId="4" fontId="25" fillId="10" borderId="1" xfId="1" applyNumberFormat="1" applyFont="1" applyFill="1" applyBorder="1" applyAlignment="1">
      <alignment horizontal="right" vertical="center" wrapText="1"/>
    </xf>
    <xf numFmtId="165" fontId="17" fillId="0" borderId="1" xfId="1" applyNumberFormat="1" applyFont="1" applyFill="1" applyBorder="1" applyAlignment="1">
      <alignment vertical="center" wrapText="1"/>
    </xf>
    <xf numFmtId="165" fontId="19" fillId="11" borderId="2" xfId="0" applyNumberFormat="1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/>
    </xf>
    <xf numFmtId="4" fontId="13" fillId="13" borderId="1" xfId="1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vertical="center"/>
    </xf>
    <xf numFmtId="4" fontId="2" fillId="0" borderId="4" xfId="0" applyNumberFormat="1" applyFont="1" applyBorder="1" applyAlignment="1">
      <alignment vertical="center"/>
    </xf>
    <xf numFmtId="4" fontId="5" fillId="6" borderId="5" xfId="0" applyNumberFormat="1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165" fontId="17" fillId="0" borderId="2" xfId="1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right" vertical="center"/>
    </xf>
    <xf numFmtId="14" fontId="2" fillId="2" borderId="7" xfId="0" applyNumberFormat="1" applyFont="1" applyFill="1" applyBorder="1" applyAlignment="1">
      <alignment horizontal="right" vertical="center"/>
    </xf>
    <xf numFmtId="14" fontId="2" fillId="2" borderId="4" xfId="0" applyNumberFormat="1" applyFont="1" applyFill="1" applyBorder="1" applyAlignment="1">
      <alignment horizontal="right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4" fontId="2" fillId="2" borderId="5" xfId="0" applyNumberFormat="1" applyFont="1" applyFill="1" applyBorder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4" fontId="2" fillId="2" borderId="23" xfId="0" applyNumberFormat="1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14" fontId="2" fillId="2" borderId="23" xfId="0" applyNumberFormat="1" applyFont="1" applyFill="1" applyBorder="1" applyAlignment="1">
      <alignment vertical="center"/>
    </xf>
    <xf numFmtId="166" fontId="10" fillId="0" borderId="1" xfId="1" applyNumberFormat="1" applyFont="1" applyFill="1" applyBorder="1" applyAlignment="1">
      <alignment vertical="center" wrapText="1"/>
    </xf>
    <xf numFmtId="166" fontId="10" fillId="0" borderId="2" xfId="1" applyNumberFormat="1" applyFont="1" applyFill="1" applyBorder="1" applyAlignment="1">
      <alignment vertical="center" wrapText="1"/>
    </xf>
    <xf numFmtId="0" fontId="2" fillId="2" borderId="24" xfId="0" applyFont="1" applyFill="1" applyBorder="1" applyAlignment="1">
      <alignment horizontal="center" vertical="center"/>
    </xf>
    <xf numFmtId="14" fontId="2" fillId="2" borderId="24" xfId="0" applyNumberFormat="1" applyFont="1" applyFill="1" applyBorder="1" applyAlignment="1">
      <alignment horizontal="center" vertical="center"/>
    </xf>
    <xf numFmtId="4" fontId="2" fillId="2" borderId="24" xfId="0" applyNumberFormat="1" applyFont="1" applyFill="1" applyBorder="1" applyAlignment="1">
      <alignment vertical="center"/>
    </xf>
    <xf numFmtId="14" fontId="2" fillId="2" borderId="24" xfId="0" applyNumberFormat="1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indent="1"/>
    </xf>
    <xf numFmtId="14" fontId="30" fillId="0" borderId="1" xfId="0" applyNumberFormat="1" applyFont="1" applyBorder="1" applyAlignment="1">
      <alignment vertical="center"/>
    </xf>
    <xf numFmtId="14" fontId="32" fillId="0" borderId="1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" fillId="2" borderId="4" xfId="0" applyNumberFormat="1" applyFont="1" applyFill="1" applyBorder="1" applyAlignment="1">
      <alignment vertical="center"/>
    </xf>
    <xf numFmtId="4" fontId="3" fillId="2" borderId="11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3" fontId="27" fillId="0" borderId="0" xfId="1" applyFont="1" applyFill="1" applyAlignment="1">
      <alignment vertical="center"/>
    </xf>
    <xf numFmtId="43" fontId="2" fillId="0" borderId="0" xfId="1" applyFont="1" applyFill="1" applyAlignment="1">
      <alignment vertical="center"/>
    </xf>
    <xf numFmtId="4" fontId="26" fillId="0" borderId="1" xfId="0" applyNumberFormat="1" applyFont="1" applyBorder="1" applyAlignment="1">
      <alignment vertical="center"/>
    </xf>
    <xf numFmtId="4" fontId="27" fillId="0" borderId="1" xfId="0" applyNumberFormat="1" applyFont="1" applyBorder="1" applyAlignment="1">
      <alignment vertical="center"/>
    </xf>
    <xf numFmtId="14" fontId="31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4" fontId="2" fillId="0" borderId="7" xfId="0" applyNumberFormat="1" applyFont="1" applyBorder="1" applyAlignment="1">
      <alignment vertical="center"/>
    </xf>
    <xf numFmtId="14" fontId="2" fillId="0" borderId="7" xfId="0" applyNumberFormat="1" applyFont="1" applyBorder="1" applyAlignment="1">
      <alignment vertical="center"/>
    </xf>
    <xf numFmtId="0" fontId="29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vertical="center"/>
    </xf>
    <xf numFmtId="4" fontId="3" fillId="0" borderId="1" xfId="0" applyNumberFormat="1" applyFont="1" applyBorder="1" applyAlignment="1">
      <alignment horizontal="right" vertical="center"/>
    </xf>
    <xf numFmtId="0" fontId="2" fillId="0" borderId="24" xfId="0" applyFont="1" applyBorder="1" applyAlignment="1">
      <alignment horizontal="center" vertical="center"/>
    </xf>
    <xf numFmtId="14" fontId="2" fillId="0" borderId="24" xfId="0" applyNumberFormat="1" applyFont="1" applyBorder="1" applyAlignment="1">
      <alignment horizontal="center" vertical="center"/>
    </xf>
    <xf numFmtId="4" fontId="2" fillId="0" borderId="24" xfId="0" applyNumberFormat="1" applyFont="1" applyBorder="1" applyAlignment="1">
      <alignment vertical="center"/>
    </xf>
    <xf numFmtId="14" fontId="2" fillId="0" borderId="24" xfId="0" applyNumberFormat="1" applyFont="1" applyBorder="1" applyAlignment="1">
      <alignment vertical="center"/>
    </xf>
    <xf numFmtId="4" fontId="3" fillId="0" borderId="24" xfId="0" applyNumberFormat="1" applyFont="1" applyBorder="1" applyAlignment="1">
      <alignment vertical="center"/>
    </xf>
    <xf numFmtId="14" fontId="2" fillId="0" borderId="25" xfId="0" applyNumberFormat="1" applyFont="1" applyBorder="1" applyAlignment="1">
      <alignment vertical="center"/>
    </xf>
    <xf numFmtId="4" fontId="2" fillId="2" borderId="26" xfId="0" applyNumberFormat="1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2" borderId="23" xfId="0" applyFont="1" applyFill="1" applyBorder="1" applyAlignment="1">
      <alignment horizontal="center" vertical="center"/>
    </xf>
    <xf numFmtId="14" fontId="2" fillId="2" borderId="23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2" fillId="0" borderId="23" xfId="0" applyNumberFormat="1" applyFont="1" applyBorder="1" applyAlignment="1">
      <alignment vertical="center"/>
    </xf>
    <xf numFmtId="14" fontId="2" fillId="0" borderId="23" xfId="0" applyNumberFormat="1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0" fontId="29" fillId="0" borderId="1" xfId="0" applyFont="1" applyBorder="1" applyAlignment="1">
      <alignment horizontal="left" vertical="center"/>
    </xf>
    <xf numFmtId="4" fontId="3" fillId="0" borderId="0" xfId="0" applyNumberFormat="1" applyFont="1" applyAlignment="1">
      <alignment vertical="center"/>
    </xf>
    <xf numFmtId="4" fontId="9" fillId="5" borderId="18" xfId="0" applyNumberFormat="1" applyFont="1" applyFill="1" applyBorder="1" applyAlignment="1">
      <alignment vertical="center"/>
    </xf>
    <xf numFmtId="4" fontId="9" fillId="5" borderId="20" xfId="0" applyNumberFormat="1" applyFont="1" applyFill="1" applyBorder="1" applyAlignment="1">
      <alignment vertical="center"/>
    </xf>
    <xf numFmtId="4" fontId="9" fillId="5" borderId="19" xfId="0" applyNumberFormat="1" applyFont="1" applyFill="1" applyBorder="1" applyAlignment="1">
      <alignment vertical="center"/>
    </xf>
    <xf numFmtId="0" fontId="36" fillId="7" borderId="0" xfId="0" applyFont="1" applyFill="1" applyAlignment="1">
      <alignment vertical="center"/>
    </xf>
    <xf numFmtId="4" fontId="36" fillId="7" borderId="0" xfId="0" applyNumberFormat="1" applyFont="1" applyFill="1" applyAlignment="1">
      <alignment vertical="center"/>
    </xf>
    <xf numFmtId="0" fontId="37" fillId="15" borderId="0" xfId="0" applyFont="1" applyFill="1" applyAlignment="1">
      <alignment vertical="center"/>
    </xf>
    <xf numFmtId="0" fontId="37" fillId="15" borderId="0" xfId="0" applyFont="1" applyFill="1" applyAlignment="1">
      <alignment horizontal="right" vertical="center"/>
    </xf>
    <xf numFmtId="4" fontId="37" fillId="15" borderId="0" xfId="0" applyNumberFormat="1" applyFont="1" applyFill="1" applyAlignment="1">
      <alignment vertical="center"/>
    </xf>
    <xf numFmtId="4" fontId="2" fillId="16" borderId="4" xfId="0" applyNumberFormat="1" applyFont="1" applyFill="1" applyBorder="1" applyAlignment="1">
      <alignment vertical="center"/>
    </xf>
    <xf numFmtId="0" fontId="29" fillId="2" borderId="23" xfId="0" applyFont="1" applyFill="1" applyBorder="1" applyAlignment="1">
      <alignment horizontal="left" vertical="center"/>
    </xf>
    <xf numFmtId="0" fontId="29" fillId="0" borderId="4" xfId="0" applyFont="1" applyBorder="1" applyAlignment="1">
      <alignment vertical="center"/>
    </xf>
    <xf numFmtId="0" fontId="29" fillId="0" borderId="7" xfId="0" applyFont="1" applyBorder="1" applyAlignment="1">
      <alignment vertical="center"/>
    </xf>
    <xf numFmtId="0" fontId="4" fillId="0" borderId="18" xfId="0" applyFont="1" applyBorder="1" applyAlignment="1">
      <alignment horizontal="right" vertical="center"/>
    </xf>
    <xf numFmtId="0" fontId="2" fillId="0" borderId="18" xfId="0" applyFont="1" applyBorder="1" applyAlignment="1">
      <alignment vertical="center"/>
    </xf>
    <xf numFmtId="4" fontId="4" fillId="0" borderId="20" xfId="0" applyNumberFormat="1" applyFont="1" applyBorder="1" applyAlignment="1">
      <alignment vertical="center"/>
    </xf>
    <xf numFmtId="0" fontId="29" fillId="0" borderId="4" xfId="0" applyFont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29" fillId="0" borderId="4" xfId="0" applyFont="1" applyBorder="1" applyAlignment="1">
      <alignment horizontal="center" vertical="center"/>
    </xf>
    <xf numFmtId="4" fontId="2" fillId="17" borderId="1" xfId="0" applyNumberFormat="1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horizontal="right" vertical="center"/>
    </xf>
    <xf numFmtId="4" fontId="2" fillId="18" borderId="1" xfId="0" applyNumberFormat="1" applyFont="1" applyFill="1" applyBorder="1" applyAlignment="1">
      <alignment vertical="center"/>
    </xf>
    <xf numFmtId="4" fontId="2" fillId="18" borderId="4" xfId="0" applyNumberFormat="1" applyFont="1" applyFill="1" applyBorder="1" applyAlignment="1">
      <alignment vertical="center"/>
    </xf>
    <xf numFmtId="4" fontId="2" fillId="15" borderId="1" xfId="0" applyNumberFormat="1" applyFont="1" applyFill="1" applyBorder="1" applyAlignment="1">
      <alignment vertical="center"/>
    </xf>
    <xf numFmtId="0" fontId="29" fillId="0" borderId="1" xfId="0" applyFont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14" fontId="2" fillId="0" borderId="4" xfId="0" applyNumberFormat="1" applyFont="1" applyFill="1" applyBorder="1" applyAlignment="1">
      <alignment horizontal="center" vertical="center"/>
    </xf>
    <xf numFmtId="4" fontId="2" fillId="19" borderId="4" xfId="0" applyNumberFormat="1" applyFont="1" applyFill="1" applyBorder="1" applyAlignment="1">
      <alignment vertical="center"/>
    </xf>
    <xf numFmtId="4" fontId="2" fillId="19" borderId="1" xfId="0" applyNumberFormat="1" applyFont="1" applyFill="1" applyBorder="1" applyAlignment="1">
      <alignment vertical="center"/>
    </xf>
    <xf numFmtId="0" fontId="29" fillId="0" borderId="2" xfId="0" applyFont="1" applyBorder="1" applyAlignment="1">
      <alignment vertical="center"/>
    </xf>
    <xf numFmtId="4" fontId="2" fillId="20" borderId="1" xfId="0" applyNumberFormat="1" applyFont="1" applyFill="1" applyBorder="1" applyAlignment="1">
      <alignment vertical="center"/>
    </xf>
    <xf numFmtId="4" fontId="2" fillId="20" borderId="7" xfId="0" applyNumberFormat="1" applyFont="1" applyFill="1" applyBorder="1" applyAlignment="1">
      <alignment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left" vertical="center" wrapText="1"/>
    </xf>
    <xf numFmtId="4" fontId="2" fillId="19" borderId="7" xfId="0" applyNumberFormat="1" applyFont="1" applyFill="1" applyBorder="1" applyAlignment="1">
      <alignment vertical="center"/>
    </xf>
    <xf numFmtId="0" fontId="29" fillId="0" borderId="24" xfId="0" applyFont="1" applyBorder="1" applyAlignment="1">
      <alignment horizontal="center" vertical="center"/>
    </xf>
    <xf numFmtId="4" fontId="2" fillId="21" borderId="1" xfId="0" applyNumberFormat="1" applyFont="1" applyFill="1" applyBorder="1" applyAlignment="1">
      <alignment vertical="center"/>
    </xf>
    <xf numFmtId="4" fontId="2" fillId="8" borderId="1" xfId="0" applyNumberFormat="1" applyFont="1" applyFill="1" applyBorder="1" applyAlignment="1">
      <alignment vertical="center"/>
    </xf>
    <xf numFmtId="4" fontId="2" fillId="14" borderId="1" xfId="0" applyNumberFormat="1" applyFont="1" applyFill="1" applyBorder="1" applyAlignment="1">
      <alignment vertical="center"/>
    </xf>
    <xf numFmtId="4" fontId="2" fillId="10" borderId="1" xfId="0" applyNumberFormat="1" applyFont="1" applyFill="1" applyBorder="1" applyAlignment="1">
      <alignment vertical="center"/>
    </xf>
    <xf numFmtId="4" fontId="2" fillId="22" borderId="1" xfId="0" applyNumberFormat="1" applyFont="1" applyFill="1" applyBorder="1" applyAlignment="1">
      <alignment vertical="center"/>
    </xf>
    <xf numFmtId="4" fontId="39" fillId="23" borderId="1" xfId="0" applyNumberFormat="1" applyFont="1" applyFill="1" applyBorder="1" applyAlignment="1">
      <alignment vertical="center"/>
    </xf>
    <xf numFmtId="4" fontId="2" fillId="25" borderId="1" xfId="0" applyNumberFormat="1" applyFont="1" applyFill="1" applyBorder="1" applyAlignment="1">
      <alignment vertical="center"/>
    </xf>
    <xf numFmtId="4" fontId="2" fillId="26" borderId="1" xfId="0" applyNumberFormat="1" applyFont="1" applyFill="1" applyBorder="1" applyAlignment="1">
      <alignment vertical="center"/>
    </xf>
    <xf numFmtId="4" fontId="2" fillId="20" borderId="4" xfId="0" applyNumberFormat="1" applyFont="1" applyFill="1" applyBorder="1" applyAlignment="1">
      <alignment vertical="center"/>
    </xf>
    <xf numFmtId="4" fontId="27" fillId="23" borderId="1" xfId="0" applyNumberFormat="1" applyFont="1" applyFill="1" applyBorder="1" applyAlignment="1">
      <alignment vertical="center"/>
    </xf>
    <xf numFmtId="4" fontId="27" fillId="24" borderId="1" xfId="0" applyNumberFormat="1" applyFont="1" applyFill="1" applyBorder="1" applyAlignment="1">
      <alignment vertical="center"/>
    </xf>
    <xf numFmtId="4" fontId="2" fillId="24" borderId="1" xfId="0" applyNumberFormat="1" applyFont="1" applyFill="1" applyBorder="1" applyAlignment="1">
      <alignment vertical="center"/>
    </xf>
    <xf numFmtId="4" fontId="2" fillId="17" borderId="2" xfId="0" applyNumberFormat="1" applyFont="1" applyFill="1" applyBorder="1" applyAlignment="1">
      <alignment vertical="center"/>
    </xf>
    <xf numFmtId="4" fontId="2" fillId="24" borderId="2" xfId="0" applyNumberFormat="1" applyFont="1" applyFill="1" applyBorder="1" applyAlignment="1">
      <alignment vertical="center"/>
    </xf>
    <xf numFmtId="4" fontId="2" fillId="7" borderId="2" xfId="0" applyNumberFormat="1" applyFont="1" applyFill="1" applyBorder="1" applyAlignment="1">
      <alignment vertical="center"/>
    </xf>
    <xf numFmtId="4" fontId="2" fillId="15" borderId="2" xfId="0" applyNumberFormat="1" applyFont="1" applyFill="1" applyBorder="1" applyAlignment="1">
      <alignment vertical="center"/>
    </xf>
    <xf numFmtId="4" fontId="2" fillId="22" borderId="2" xfId="0" applyNumberFormat="1" applyFont="1" applyFill="1" applyBorder="1" applyAlignment="1">
      <alignment vertical="center"/>
    </xf>
    <xf numFmtId="4" fontId="27" fillId="23" borderId="2" xfId="0" applyNumberFormat="1" applyFont="1" applyFill="1" applyBorder="1" applyAlignment="1">
      <alignment vertical="center"/>
    </xf>
    <xf numFmtId="4" fontId="2" fillId="19" borderId="2" xfId="0" applyNumberFormat="1" applyFont="1" applyFill="1" applyBorder="1" applyAlignment="1">
      <alignment vertical="center"/>
    </xf>
    <xf numFmtId="4" fontId="2" fillId="18" borderId="2" xfId="0" applyNumberFormat="1" applyFont="1" applyFill="1" applyBorder="1" applyAlignment="1">
      <alignment vertical="center"/>
    </xf>
    <xf numFmtId="4" fontId="27" fillId="9" borderId="1" xfId="0" applyNumberFormat="1" applyFont="1" applyFill="1" applyBorder="1" applyAlignment="1">
      <alignment vertical="center"/>
    </xf>
    <xf numFmtId="4" fontId="27" fillId="9" borderId="2" xfId="0" applyNumberFormat="1" applyFont="1" applyFill="1" applyBorder="1" applyAlignment="1">
      <alignment vertical="center"/>
    </xf>
    <xf numFmtId="4" fontId="2" fillId="13" borderId="1" xfId="0" applyNumberFormat="1" applyFont="1" applyFill="1" applyBorder="1" applyAlignment="1">
      <alignment vertical="center"/>
    </xf>
    <xf numFmtId="4" fontId="2" fillId="26" borderId="7" xfId="0" applyNumberFormat="1" applyFont="1" applyFill="1" applyBorder="1" applyAlignment="1">
      <alignment vertical="center"/>
    </xf>
    <xf numFmtId="4" fontId="27" fillId="6" borderId="4" xfId="0" applyNumberFormat="1" applyFont="1" applyFill="1" applyBorder="1" applyAlignment="1">
      <alignment vertical="center"/>
    </xf>
    <xf numFmtId="4" fontId="39" fillId="27" borderId="1" xfId="0" applyNumberFormat="1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horizontal="right" vertical="center"/>
    </xf>
    <xf numFmtId="14" fontId="2" fillId="2" borderId="11" xfId="0" applyNumberFormat="1" applyFont="1" applyFill="1" applyBorder="1" applyAlignment="1">
      <alignment horizontal="right" vertical="center"/>
    </xf>
    <xf numFmtId="14" fontId="2" fillId="2" borderId="24" xfId="0" applyNumberFormat="1" applyFont="1" applyFill="1" applyBorder="1" applyAlignment="1">
      <alignment horizontal="right" vertical="center"/>
    </xf>
    <xf numFmtId="4" fontId="2" fillId="20" borderId="2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 wrapText="1"/>
    </xf>
    <xf numFmtId="0" fontId="19" fillId="10" borderId="8" xfId="0" applyFont="1" applyFill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0" fontId="19" fillId="10" borderId="10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4" fontId="7" fillId="0" borderId="0" xfId="0" applyNumberFormat="1" applyFont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</cellXfs>
  <cellStyles count="17">
    <cellStyle name="Millares" xfId="1" builtinId="3"/>
    <cellStyle name="Millares 2" xfId="2" xr:uid="{00000000-0005-0000-0000-000001000000}"/>
    <cellStyle name="Millares 2 2" xfId="6" xr:uid="{C86EF76D-9F08-4D07-8F90-0F1224F1A498}"/>
    <cellStyle name="Millares 2 2 2" xfId="14" xr:uid="{457ED19A-D1A4-498F-AB41-0E25B5A1F85C}"/>
    <cellStyle name="Millares 2 3" xfId="8" xr:uid="{C05CA9C5-2A4E-432F-9AE3-8B1A1A318566}"/>
    <cellStyle name="Millares 2 3 2" xfId="16" xr:uid="{F3787165-4645-4481-93C7-3C0F52D57794}"/>
    <cellStyle name="Millares 2 4" xfId="10" xr:uid="{BB84E7DF-9EBE-4AF2-BE15-084317E06A5E}"/>
    <cellStyle name="Millares 2 5" xfId="12" xr:uid="{91379D17-E570-4D9C-861F-0A86D58E7806}"/>
    <cellStyle name="Millares 3" xfId="3" xr:uid="{D36DE77A-E9B1-4134-8122-B2A0286FFFFB}"/>
    <cellStyle name="Millares 3 2" xfId="13" xr:uid="{F1F2AAC8-41A6-460F-8119-531EE0884918}"/>
    <cellStyle name="Millares 4" xfId="7" xr:uid="{B2113034-0B81-46BB-BAEC-582E95446C5D}"/>
    <cellStyle name="Millares 4 2" xfId="15" xr:uid="{8B9D006D-3EB5-41C1-B543-6031EE350535}"/>
    <cellStyle name="Millares 5" xfId="9" xr:uid="{4A5843B2-6F88-4A5E-A54F-E743A7FC03A6}"/>
    <cellStyle name="Millares 6" xfId="11" xr:uid="{CE46C1A4-5C99-489B-8492-09E529DEE7A7}"/>
    <cellStyle name="Normal" xfId="0" builtinId="0"/>
    <cellStyle name="Normal 2" xfId="4" xr:uid="{0165B94D-E862-4143-A49E-7B9FA854299D}"/>
    <cellStyle name="Normal 2 2" xfId="5" xr:uid="{BCC551A5-7F98-4059-A844-7BE6D2389673}"/>
  </cellStyles>
  <dxfs count="0"/>
  <tableStyles count="0" defaultTableStyle="TableStyleMedium2" defaultPivotStyle="PivotStyleLight16"/>
  <colors>
    <mruColors>
      <color rgb="FF99FFCC"/>
      <color rgb="FFF09B94"/>
      <color rgb="FFFFCCCC"/>
      <color rgb="FFE65348"/>
      <color rgb="FF336600"/>
      <color rgb="FF38C9D8"/>
      <color rgb="FF000066"/>
      <color rgb="FFFFCC99"/>
      <color rgb="FFFFFFCC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984249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984249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64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486834</xdr:colOff>
      <xdr:row>0</xdr:row>
      <xdr:rowOff>68791</xdr:rowOff>
    </xdr:from>
    <xdr:to>
      <xdr:col>33</xdr:col>
      <xdr:colOff>460902</xdr:colOff>
      <xdr:row>4</xdr:row>
      <xdr:rowOff>31550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29A01E0F-DC40-496B-8421-AB54F6EB49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2743200" y="68791"/>
          <a:ext cx="1480077" cy="800959"/>
        </a:xfrm>
        <a:prstGeom prst="rect">
          <a:avLst/>
        </a:prstGeom>
      </xdr:spPr>
    </xdr:pic>
    <xdr:clientData/>
  </xdr:twoCellAnchor>
  <xdr:twoCellAnchor editAs="oneCell">
    <xdr:from>
      <xdr:col>34</xdr:col>
      <xdr:colOff>783167</xdr:colOff>
      <xdr:row>0</xdr:row>
      <xdr:rowOff>127000</xdr:rowOff>
    </xdr:from>
    <xdr:to>
      <xdr:col>36</xdr:col>
      <xdr:colOff>29102</xdr:colOff>
      <xdr:row>4</xdr:row>
      <xdr:rowOff>126146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5D49534E-8262-4F2E-A728-7907C3128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5192" y="127000"/>
          <a:ext cx="1217610" cy="837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728661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7</xdr:col>
      <xdr:colOff>819150</xdr:colOff>
      <xdr:row>0</xdr:row>
      <xdr:rowOff>161924</xdr:rowOff>
    </xdr:from>
    <xdr:to>
      <xdr:col>9</xdr:col>
      <xdr:colOff>456010</xdr:colOff>
      <xdr:row>4</xdr:row>
      <xdr:rowOff>114299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161924"/>
          <a:ext cx="1398985" cy="981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10</xdr:col>
      <xdr:colOff>69849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984249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984249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64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11113</xdr:colOff>
      <xdr:row>0</xdr:row>
      <xdr:rowOff>85725</xdr:rowOff>
    </xdr:from>
    <xdr:to>
      <xdr:col>2</xdr:col>
      <xdr:colOff>681036</xdr:colOff>
      <xdr:row>3</xdr:row>
      <xdr:rowOff>61184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344488" y="85725"/>
          <a:ext cx="1479548" cy="804134"/>
        </a:xfrm>
        <a:prstGeom prst="rect">
          <a:avLst/>
        </a:prstGeom>
      </xdr:spPr>
    </xdr:pic>
    <xdr:clientData/>
  </xdr:twoCellAnchor>
  <xdr:twoCellAnchor editAs="oneCell">
    <xdr:from>
      <xdr:col>8</xdr:col>
      <xdr:colOff>742950</xdr:colOff>
      <xdr:row>0</xdr:row>
      <xdr:rowOff>66675</xdr:rowOff>
    </xdr:from>
    <xdr:to>
      <xdr:col>9</xdr:col>
      <xdr:colOff>984249</xdr:colOff>
      <xdr:row>3</xdr:row>
      <xdr:rowOff>55144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66675"/>
          <a:ext cx="1165224" cy="81714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984249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984249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984249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64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984249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984249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64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728661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10</xdr:col>
      <xdr:colOff>332185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984249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64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984249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64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486834</xdr:colOff>
      <xdr:row>0</xdr:row>
      <xdr:rowOff>68791</xdr:rowOff>
    </xdr:from>
    <xdr:to>
      <xdr:col>33</xdr:col>
      <xdr:colOff>460902</xdr:colOff>
      <xdr:row>4</xdr:row>
      <xdr:rowOff>31550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3013CD4-A316-41A8-8449-57B1F08C64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2743200" y="68791"/>
          <a:ext cx="1480077" cy="800959"/>
        </a:xfrm>
        <a:prstGeom prst="rect">
          <a:avLst/>
        </a:prstGeom>
      </xdr:spPr>
    </xdr:pic>
    <xdr:clientData/>
  </xdr:twoCellAnchor>
  <xdr:twoCellAnchor editAs="oneCell">
    <xdr:from>
      <xdr:col>34</xdr:col>
      <xdr:colOff>783167</xdr:colOff>
      <xdr:row>0</xdr:row>
      <xdr:rowOff>127000</xdr:rowOff>
    </xdr:from>
    <xdr:to>
      <xdr:col>36</xdr:col>
      <xdr:colOff>29102</xdr:colOff>
      <xdr:row>4</xdr:row>
      <xdr:rowOff>126146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850CB9B2-11DF-4BEC-95DE-48C433DF9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5192" y="127000"/>
          <a:ext cx="1217610" cy="83734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486834</xdr:colOff>
      <xdr:row>0</xdr:row>
      <xdr:rowOff>68791</xdr:rowOff>
    </xdr:from>
    <xdr:to>
      <xdr:col>33</xdr:col>
      <xdr:colOff>460902</xdr:colOff>
      <xdr:row>4</xdr:row>
      <xdr:rowOff>31550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382C6371-EB5D-402A-BF76-A5B1D4F8EA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2743200" y="68791"/>
          <a:ext cx="1480077" cy="800959"/>
        </a:xfrm>
        <a:prstGeom prst="rect">
          <a:avLst/>
        </a:prstGeom>
      </xdr:spPr>
    </xdr:pic>
    <xdr:clientData/>
  </xdr:twoCellAnchor>
  <xdr:twoCellAnchor editAs="oneCell">
    <xdr:from>
      <xdr:col>34</xdr:col>
      <xdr:colOff>783167</xdr:colOff>
      <xdr:row>0</xdr:row>
      <xdr:rowOff>127000</xdr:rowOff>
    </xdr:from>
    <xdr:to>
      <xdr:col>36</xdr:col>
      <xdr:colOff>29102</xdr:colOff>
      <xdr:row>4</xdr:row>
      <xdr:rowOff>126146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F611FBA-F8F3-4033-BAA2-9A4248230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5192" y="127000"/>
          <a:ext cx="1217610" cy="83734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486834</xdr:colOff>
      <xdr:row>0</xdr:row>
      <xdr:rowOff>68791</xdr:rowOff>
    </xdr:from>
    <xdr:to>
      <xdr:col>33</xdr:col>
      <xdr:colOff>460902</xdr:colOff>
      <xdr:row>4</xdr:row>
      <xdr:rowOff>31550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597D1D28-AF6A-4049-BABD-EAD79742BF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2743200" y="68791"/>
          <a:ext cx="1480077" cy="800959"/>
        </a:xfrm>
        <a:prstGeom prst="rect">
          <a:avLst/>
        </a:prstGeom>
      </xdr:spPr>
    </xdr:pic>
    <xdr:clientData/>
  </xdr:twoCellAnchor>
  <xdr:twoCellAnchor editAs="oneCell">
    <xdr:from>
      <xdr:col>34</xdr:col>
      <xdr:colOff>783167</xdr:colOff>
      <xdr:row>0</xdr:row>
      <xdr:rowOff>127000</xdr:rowOff>
    </xdr:from>
    <xdr:to>
      <xdr:col>36</xdr:col>
      <xdr:colOff>29102</xdr:colOff>
      <xdr:row>4</xdr:row>
      <xdr:rowOff>126146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1523DEC9-05AB-4626-B8F8-6DB25CB3A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5192" y="127000"/>
          <a:ext cx="1217610" cy="83734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9</xdr:col>
      <xdr:colOff>509189</xdr:colOff>
      <xdr:row>0</xdr:row>
      <xdr:rowOff>78580</xdr:rowOff>
    </xdr:from>
    <xdr:to>
      <xdr:col>10</xdr:col>
      <xdr:colOff>984250</xdr:colOff>
      <xdr:row>4</xdr:row>
      <xdr:rowOff>30955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002" y="78580"/>
          <a:ext cx="1403748" cy="97631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486834</xdr:colOff>
      <xdr:row>0</xdr:row>
      <xdr:rowOff>68791</xdr:rowOff>
    </xdr:from>
    <xdr:to>
      <xdr:col>33</xdr:col>
      <xdr:colOff>460902</xdr:colOff>
      <xdr:row>4</xdr:row>
      <xdr:rowOff>31550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9025F73B-32B1-4BE3-BB35-DEDA9A4AA0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2743200" y="68791"/>
          <a:ext cx="1480077" cy="800959"/>
        </a:xfrm>
        <a:prstGeom prst="rect">
          <a:avLst/>
        </a:prstGeom>
      </xdr:spPr>
    </xdr:pic>
    <xdr:clientData/>
  </xdr:twoCellAnchor>
  <xdr:twoCellAnchor editAs="oneCell">
    <xdr:from>
      <xdr:col>34</xdr:col>
      <xdr:colOff>783167</xdr:colOff>
      <xdr:row>0</xdr:row>
      <xdr:rowOff>127000</xdr:rowOff>
    </xdr:from>
    <xdr:to>
      <xdr:col>36</xdr:col>
      <xdr:colOff>29102</xdr:colOff>
      <xdr:row>4</xdr:row>
      <xdr:rowOff>126146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70DB9DEB-2F3F-4080-B526-4554FF804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5192" y="127000"/>
          <a:ext cx="1217610" cy="8373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87312</xdr:colOff>
      <xdr:row>0</xdr:row>
      <xdr:rowOff>38100</xdr:rowOff>
    </xdr:from>
    <xdr:to>
      <xdr:col>1</xdr:col>
      <xdr:colOff>1092197</xdr:colOff>
      <xdr:row>4</xdr:row>
      <xdr:rowOff>859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87312" y="38100"/>
          <a:ext cx="1481135" cy="800959"/>
        </a:xfrm>
        <a:prstGeom prst="rect">
          <a:avLst/>
        </a:prstGeom>
      </xdr:spPr>
    </xdr:pic>
    <xdr:clientData/>
  </xdr:twoCellAnchor>
  <xdr:twoCellAnchor editAs="oneCell">
    <xdr:from>
      <xdr:col>6</xdr:col>
      <xdr:colOff>309563</xdr:colOff>
      <xdr:row>0</xdr:row>
      <xdr:rowOff>95250</xdr:rowOff>
    </xdr:from>
    <xdr:to>
      <xdr:col>6</xdr:col>
      <xdr:colOff>1508123</xdr:colOff>
      <xdr:row>4</xdr:row>
      <xdr:rowOff>94396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8938" y="95250"/>
          <a:ext cx="1198560" cy="84052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486834</xdr:colOff>
      <xdr:row>0</xdr:row>
      <xdr:rowOff>68791</xdr:rowOff>
    </xdr:from>
    <xdr:to>
      <xdr:col>33</xdr:col>
      <xdr:colOff>460902</xdr:colOff>
      <xdr:row>4</xdr:row>
      <xdr:rowOff>31550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BA8BC7C1-85E2-457E-9233-6124F5767C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2876550" y="68791"/>
          <a:ext cx="1527702" cy="788259"/>
        </a:xfrm>
        <a:prstGeom prst="rect">
          <a:avLst/>
        </a:prstGeom>
      </xdr:spPr>
    </xdr:pic>
    <xdr:clientData/>
  </xdr:twoCellAnchor>
  <xdr:twoCellAnchor editAs="oneCell">
    <xdr:from>
      <xdr:col>34</xdr:col>
      <xdr:colOff>783167</xdr:colOff>
      <xdr:row>0</xdr:row>
      <xdr:rowOff>127000</xdr:rowOff>
    </xdr:from>
    <xdr:to>
      <xdr:col>36</xdr:col>
      <xdr:colOff>29102</xdr:colOff>
      <xdr:row>4</xdr:row>
      <xdr:rowOff>126146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58EBCCD6-D1C6-45B4-9C11-745C3793A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6967" y="127000"/>
          <a:ext cx="1316035" cy="8246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486834</xdr:colOff>
      <xdr:row>0</xdr:row>
      <xdr:rowOff>68791</xdr:rowOff>
    </xdr:from>
    <xdr:to>
      <xdr:col>33</xdr:col>
      <xdr:colOff>460902</xdr:colOff>
      <xdr:row>4</xdr:row>
      <xdr:rowOff>31550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16D61398-94CA-4435-9CDA-C71D806212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3124200" y="68791"/>
          <a:ext cx="1480077" cy="800959"/>
        </a:xfrm>
        <a:prstGeom prst="rect">
          <a:avLst/>
        </a:prstGeom>
      </xdr:spPr>
    </xdr:pic>
    <xdr:clientData/>
  </xdr:twoCellAnchor>
  <xdr:twoCellAnchor editAs="oneCell">
    <xdr:from>
      <xdr:col>34</xdr:col>
      <xdr:colOff>783167</xdr:colOff>
      <xdr:row>0</xdr:row>
      <xdr:rowOff>127000</xdr:rowOff>
    </xdr:from>
    <xdr:to>
      <xdr:col>36</xdr:col>
      <xdr:colOff>29102</xdr:colOff>
      <xdr:row>4</xdr:row>
      <xdr:rowOff>126146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150A4721-740C-460F-A9FF-B4509F0A5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6192" y="127000"/>
          <a:ext cx="1217610" cy="837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486834</xdr:colOff>
      <xdr:row>0</xdr:row>
      <xdr:rowOff>68791</xdr:rowOff>
    </xdr:from>
    <xdr:to>
      <xdr:col>33</xdr:col>
      <xdr:colOff>460902</xdr:colOff>
      <xdr:row>4</xdr:row>
      <xdr:rowOff>31550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CE496E8-CB83-43B3-BF1D-6860C08424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4086225" y="68791"/>
          <a:ext cx="1480077" cy="800959"/>
        </a:xfrm>
        <a:prstGeom prst="rect">
          <a:avLst/>
        </a:prstGeom>
      </xdr:spPr>
    </xdr:pic>
    <xdr:clientData/>
  </xdr:twoCellAnchor>
  <xdr:twoCellAnchor editAs="oneCell">
    <xdr:from>
      <xdr:col>34</xdr:col>
      <xdr:colOff>783167</xdr:colOff>
      <xdr:row>0</xdr:row>
      <xdr:rowOff>127000</xdr:rowOff>
    </xdr:from>
    <xdr:to>
      <xdr:col>36</xdr:col>
      <xdr:colOff>29102</xdr:colOff>
      <xdr:row>4</xdr:row>
      <xdr:rowOff>126146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C4F3A8E7-3A42-4D0E-A806-574F04D54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8217" y="127000"/>
          <a:ext cx="1217610" cy="83734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984249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  <xdr:oneCellAnchor>
    <xdr:from>
      <xdr:col>0</xdr:col>
      <xdr:colOff>194183</xdr:colOff>
      <xdr:row>34</xdr:row>
      <xdr:rowOff>85724</xdr:rowOff>
    </xdr:from>
    <xdr:ext cx="1629853" cy="885825"/>
    <xdr:pic>
      <xdr:nvPicPr>
        <xdr:cNvPr id="4" name="Imagen 5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oneCellAnchor>
  <xdr:oneCellAnchor>
    <xdr:from>
      <xdr:col>8</xdr:col>
      <xdr:colOff>509189</xdr:colOff>
      <xdr:row>34</xdr:row>
      <xdr:rowOff>66674</xdr:rowOff>
    </xdr:from>
    <xdr:ext cx="1398985" cy="981075"/>
    <xdr:pic>
      <xdr:nvPicPr>
        <xdr:cNvPr id="5" name="Imagen 6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3</xdr:col>
      <xdr:colOff>71436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7</xdr:col>
      <xdr:colOff>547289</xdr:colOff>
      <xdr:row>0</xdr:row>
      <xdr:rowOff>123824</xdr:rowOff>
    </xdr:from>
    <xdr:to>
      <xdr:col>9</xdr:col>
      <xdr:colOff>460374</xdr:colOff>
      <xdr:row>4</xdr:row>
      <xdr:rowOff>76199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564" y="123824"/>
          <a:ext cx="1398985" cy="98107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3</xdr:col>
      <xdr:colOff>71436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7385FC97-CEA4-4552-8EA3-E475AC8260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7</xdr:col>
      <xdr:colOff>547289</xdr:colOff>
      <xdr:row>0</xdr:row>
      <xdr:rowOff>123824</xdr:rowOff>
    </xdr:from>
    <xdr:to>
      <xdr:col>8</xdr:col>
      <xdr:colOff>1108074</xdr:colOff>
      <xdr:row>4</xdr:row>
      <xdr:rowOff>76199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4462BB71-C550-42C8-8F78-A706EED85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564" y="123824"/>
          <a:ext cx="1398985" cy="98107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3</xdr:col>
      <xdr:colOff>71436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C4D8A791-8F0B-4AD7-A380-128C713C28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7</xdr:col>
      <xdr:colOff>547289</xdr:colOff>
      <xdr:row>0</xdr:row>
      <xdr:rowOff>123824</xdr:rowOff>
    </xdr:from>
    <xdr:to>
      <xdr:col>8</xdr:col>
      <xdr:colOff>1108074</xdr:colOff>
      <xdr:row>4</xdr:row>
      <xdr:rowOff>76199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ED435D6D-59B6-44BD-BFA5-27348C999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564" y="123824"/>
          <a:ext cx="1398985" cy="98107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3</xdr:col>
      <xdr:colOff>71436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87C17E75-6047-40BB-8329-2A97EF0D34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7</xdr:col>
      <xdr:colOff>547289</xdr:colOff>
      <xdr:row>0</xdr:row>
      <xdr:rowOff>123824</xdr:rowOff>
    </xdr:from>
    <xdr:to>
      <xdr:col>8</xdr:col>
      <xdr:colOff>1108074</xdr:colOff>
      <xdr:row>4</xdr:row>
      <xdr:rowOff>76199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517EABA1-E8B5-4E72-9F58-2FE58F74F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564" y="123824"/>
          <a:ext cx="1398985" cy="98107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3</xdr:col>
      <xdr:colOff>71436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A52B9D81-CB33-428F-AC07-92663E1CB6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7</xdr:col>
      <xdr:colOff>547289</xdr:colOff>
      <xdr:row>0</xdr:row>
      <xdr:rowOff>123824</xdr:rowOff>
    </xdr:from>
    <xdr:to>
      <xdr:col>8</xdr:col>
      <xdr:colOff>1108074</xdr:colOff>
      <xdr:row>4</xdr:row>
      <xdr:rowOff>76199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FDD53489-45CB-49D6-AC5F-AD04B9143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564" y="123824"/>
          <a:ext cx="1398985" cy="98107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3</xdr:col>
      <xdr:colOff>71436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9EE03E6E-3C74-4887-BE06-1C4EE0ACCC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7</xdr:col>
      <xdr:colOff>547289</xdr:colOff>
      <xdr:row>0</xdr:row>
      <xdr:rowOff>123824</xdr:rowOff>
    </xdr:from>
    <xdr:to>
      <xdr:col>8</xdr:col>
      <xdr:colOff>1108074</xdr:colOff>
      <xdr:row>4</xdr:row>
      <xdr:rowOff>76199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FDB677CB-BF62-4F9A-815D-72015EF01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564" y="123824"/>
          <a:ext cx="1398985" cy="98107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3</xdr:col>
      <xdr:colOff>71436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DDBCD780-CEB2-420A-90C3-C90C5BC3C5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7</xdr:col>
      <xdr:colOff>547289</xdr:colOff>
      <xdr:row>0</xdr:row>
      <xdr:rowOff>123824</xdr:rowOff>
    </xdr:from>
    <xdr:to>
      <xdr:col>8</xdr:col>
      <xdr:colOff>1108074</xdr:colOff>
      <xdr:row>4</xdr:row>
      <xdr:rowOff>76199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5AE549AD-FC67-4E4D-9A49-549226A78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564" y="123824"/>
          <a:ext cx="1398985" cy="98107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3</xdr:col>
      <xdr:colOff>71436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BFC9A761-FAC3-4156-9081-681652DEC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7</xdr:col>
      <xdr:colOff>547289</xdr:colOff>
      <xdr:row>0</xdr:row>
      <xdr:rowOff>123824</xdr:rowOff>
    </xdr:from>
    <xdr:to>
      <xdr:col>8</xdr:col>
      <xdr:colOff>1108074</xdr:colOff>
      <xdr:row>4</xdr:row>
      <xdr:rowOff>76199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B2EB2FB9-20F7-48DC-977B-771A8A2D3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564" y="123824"/>
          <a:ext cx="1398985" cy="98107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3</xdr:col>
      <xdr:colOff>71436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82BB951F-12A6-4166-9336-0B5DEF5EE0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7</xdr:col>
      <xdr:colOff>547289</xdr:colOff>
      <xdr:row>0</xdr:row>
      <xdr:rowOff>123824</xdr:rowOff>
    </xdr:from>
    <xdr:to>
      <xdr:col>8</xdr:col>
      <xdr:colOff>1108074</xdr:colOff>
      <xdr:row>4</xdr:row>
      <xdr:rowOff>76199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58934B53-3D5D-4905-9815-3934CA9C6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564" y="123824"/>
          <a:ext cx="1398985" cy="98107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486834</xdr:colOff>
      <xdr:row>0</xdr:row>
      <xdr:rowOff>68791</xdr:rowOff>
    </xdr:from>
    <xdr:to>
      <xdr:col>33</xdr:col>
      <xdr:colOff>460902</xdr:colOff>
      <xdr:row>4</xdr:row>
      <xdr:rowOff>31550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3CCA8DD-4241-4714-B6DB-42D39BC8C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2743200" y="68791"/>
          <a:ext cx="1480077" cy="800959"/>
        </a:xfrm>
        <a:prstGeom prst="rect">
          <a:avLst/>
        </a:prstGeom>
      </xdr:spPr>
    </xdr:pic>
    <xdr:clientData/>
  </xdr:twoCellAnchor>
  <xdr:twoCellAnchor editAs="oneCell">
    <xdr:from>
      <xdr:col>34</xdr:col>
      <xdr:colOff>783167</xdr:colOff>
      <xdr:row>0</xdr:row>
      <xdr:rowOff>127000</xdr:rowOff>
    </xdr:from>
    <xdr:to>
      <xdr:col>36</xdr:col>
      <xdr:colOff>29102</xdr:colOff>
      <xdr:row>4</xdr:row>
      <xdr:rowOff>126146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73BA677B-2FFC-43EA-8698-9F55DA598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5192" y="127000"/>
          <a:ext cx="1217610" cy="83734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205B1B60-4E13-4098-AF03-0FDD4EE59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1400043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F84FF2D5-0CF2-4F50-AD49-DC36F71AB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550" y="66674"/>
          <a:ext cx="1400043" cy="98107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3</xdr:col>
      <xdr:colOff>55107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38924" cy="893233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635001</xdr:colOff>
      <xdr:row>0</xdr:row>
      <xdr:rowOff>87841</xdr:rowOff>
    </xdr:from>
    <xdr:to>
      <xdr:col>9</xdr:col>
      <xdr:colOff>1088895</xdr:colOff>
      <xdr:row>4</xdr:row>
      <xdr:rowOff>40216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2334" y="87841"/>
          <a:ext cx="1395810" cy="98954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146558</xdr:colOff>
      <xdr:row>0</xdr:row>
      <xdr:rowOff>47624</xdr:rowOff>
    </xdr:from>
    <xdr:to>
      <xdr:col>2</xdr:col>
      <xdr:colOff>890586</xdr:colOff>
      <xdr:row>3</xdr:row>
      <xdr:rowOff>104774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479933" y="476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685800</xdr:colOff>
      <xdr:row>0</xdr:row>
      <xdr:rowOff>114299</xdr:rowOff>
    </xdr:from>
    <xdr:to>
      <xdr:col>8</xdr:col>
      <xdr:colOff>141685</xdr:colOff>
      <xdr:row>4</xdr:row>
      <xdr:rowOff>66674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9275" y="114299"/>
          <a:ext cx="1398985" cy="98107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242489</xdr:colOff>
      <xdr:row>0</xdr:row>
      <xdr:rowOff>85724</xdr:rowOff>
    </xdr:from>
    <xdr:to>
      <xdr:col>10</xdr:col>
      <xdr:colOff>269874</xdr:colOff>
      <xdr:row>4</xdr:row>
      <xdr:rowOff>38099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9039" y="85724"/>
          <a:ext cx="1398985" cy="98107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11</xdr:col>
      <xdr:colOff>31749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1398985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3</xdr:col>
      <xdr:colOff>71436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EDB6F0D8-F668-4BE5-B6EA-093FC5CFE7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7</xdr:col>
      <xdr:colOff>547289</xdr:colOff>
      <xdr:row>0</xdr:row>
      <xdr:rowOff>123824</xdr:rowOff>
    </xdr:from>
    <xdr:to>
      <xdr:col>8</xdr:col>
      <xdr:colOff>1108074</xdr:colOff>
      <xdr:row>4</xdr:row>
      <xdr:rowOff>76199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B31508ED-42B9-406D-B5C7-A796A68FB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564" y="123824"/>
          <a:ext cx="1398985" cy="98107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486834</xdr:colOff>
      <xdr:row>0</xdr:row>
      <xdr:rowOff>68791</xdr:rowOff>
    </xdr:from>
    <xdr:to>
      <xdr:col>33</xdr:col>
      <xdr:colOff>460902</xdr:colOff>
      <xdr:row>4</xdr:row>
      <xdr:rowOff>31550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94BFF82C-20A1-45E9-B1D7-8D222A3211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2743200" y="68791"/>
          <a:ext cx="1480077" cy="800959"/>
        </a:xfrm>
        <a:prstGeom prst="rect">
          <a:avLst/>
        </a:prstGeom>
      </xdr:spPr>
    </xdr:pic>
    <xdr:clientData/>
  </xdr:twoCellAnchor>
  <xdr:twoCellAnchor editAs="oneCell">
    <xdr:from>
      <xdr:col>34</xdr:col>
      <xdr:colOff>783167</xdr:colOff>
      <xdr:row>0</xdr:row>
      <xdr:rowOff>127000</xdr:rowOff>
    </xdr:from>
    <xdr:to>
      <xdr:col>36</xdr:col>
      <xdr:colOff>29102</xdr:colOff>
      <xdr:row>4</xdr:row>
      <xdr:rowOff>126146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54094DA-FA8C-4AAE-AFD9-0CC4E04A5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5192" y="127000"/>
          <a:ext cx="1217610" cy="83734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1395810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1398985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486834</xdr:colOff>
      <xdr:row>0</xdr:row>
      <xdr:rowOff>68791</xdr:rowOff>
    </xdr:from>
    <xdr:to>
      <xdr:col>33</xdr:col>
      <xdr:colOff>460902</xdr:colOff>
      <xdr:row>4</xdr:row>
      <xdr:rowOff>31550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3CC7562A-9110-4729-A999-4CF6CBEF14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2743200" y="68791"/>
          <a:ext cx="1480077" cy="800959"/>
        </a:xfrm>
        <a:prstGeom prst="rect">
          <a:avLst/>
        </a:prstGeom>
      </xdr:spPr>
    </xdr:pic>
    <xdr:clientData/>
  </xdr:twoCellAnchor>
  <xdr:twoCellAnchor editAs="oneCell">
    <xdr:from>
      <xdr:col>34</xdr:col>
      <xdr:colOff>783167</xdr:colOff>
      <xdr:row>0</xdr:row>
      <xdr:rowOff>127000</xdr:rowOff>
    </xdr:from>
    <xdr:to>
      <xdr:col>36</xdr:col>
      <xdr:colOff>29102</xdr:colOff>
      <xdr:row>4</xdr:row>
      <xdr:rowOff>126146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B1AC4F7D-CED4-4603-A965-C49A9D3A4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5192" y="127000"/>
          <a:ext cx="1217610" cy="837346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F6CD1290-FF3C-4EFF-8539-A158315198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184FE3F7-12BC-4092-8AF3-5C43C098A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6BCA0755-AED7-41B1-9F0C-F5B8699564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6A597B5C-F3A8-4B54-804B-126E660B3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DC334936-C59D-4093-9F56-66CE1CE48F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165653C8-0834-4E5C-A130-4F10EA4B3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6653CE6F-79E4-466E-BA13-54D557A7CF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1400043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1E6961D1-C469-47FB-A24F-7494A5B1B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550" y="66674"/>
          <a:ext cx="1400043" cy="98107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FB70C868-022E-4C90-BF6A-7E50660AC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1400043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86657913-63B0-4855-9236-035DE9710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3</xdr:col>
      <xdr:colOff>71436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A591C61A-34DB-46E4-9200-C85626E1F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7</xdr:col>
      <xdr:colOff>547289</xdr:colOff>
      <xdr:row>0</xdr:row>
      <xdr:rowOff>123824</xdr:rowOff>
    </xdr:from>
    <xdr:to>
      <xdr:col>9</xdr:col>
      <xdr:colOff>460374</xdr:colOff>
      <xdr:row>4</xdr:row>
      <xdr:rowOff>76199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18D05FD4-62B7-4508-9D9F-CAA8038C9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564" y="123824"/>
          <a:ext cx="1398985" cy="98107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A220C269-BC52-449A-9EBB-7AA63694E0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9470DF8A-AB59-4FDC-A97A-44057D064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E02F803-4FC1-40AE-934D-B8C6DC7EC9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563B5C9C-0FE5-4B0B-AC1E-1769913D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E7DB9031-EDF1-4641-9FA6-8B5B7A626C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3A1A6506-4099-49E4-B083-655A6400E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5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DB7FB178-AD4D-41D2-A104-E75C0AEE77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5EF39CF5-C0B6-4C6C-A0B1-4604B843E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6739" y="66674"/>
          <a:ext cx="1398985" cy="98107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194183</xdr:colOff>
      <xdr:row>0</xdr:row>
      <xdr:rowOff>85724</xdr:rowOff>
    </xdr:from>
    <xdr:to>
      <xdr:col>2</xdr:col>
      <xdr:colOff>681036</xdr:colOff>
      <xdr:row>3</xdr:row>
      <xdr:rowOff>142874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C188A4CE-942B-4BF9-A125-D524F78A86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194183" y="85724"/>
          <a:ext cx="1629853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509189</xdr:colOff>
      <xdr:row>0</xdr:row>
      <xdr:rowOff>66674</xdr:rowOff>
    </xdr:from>
    <xdr:to>
      <xdr:col>9</xdr:col>
      <xdr:colOff>1231899</xdr:colOff>
      <xdr:row>4</xdr:row>
      <xdr:rowOff>19049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608F1FD4-E002-4CD3-B88E-68263DD23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6739" y="66674"/>
          <a:ext cx="1398985" cy="981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5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K36"/>
  <sheetViews>
    <sheetView topLeftCell="A19" workbookViewId="0">
      <selection activeCell="L29" sqref="L29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25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67598385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13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16">
        <v>120000</v>
      </c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4">
        <v>220910</v>
      </c>
      <c r="C11" s="14"/>
      <c r="D11" s="22">
        <v>44827</v>
      </c>
      <c r="E11" s="12">
        <v>763.80000000000291</v>
      </c>
      <c r="F11" s="12"/>
      <c r="G11" s="11"/>
      <c r="H11" s="12">
        <f>+E11-F11</f>
        <v>763.80000000000291</v>
      </c>
      <c r="I11" s="10"/>
      <c r="J11" s="21"/>
      <c r="K11" s="5"/>
    </row>
    <row r="12" spans="1:11" x14ac:dyDescent="0.25">
      <c r="A12" s="5"/>
      <c r="B12" s="14">
        <v>221011</v>
      </c>
      <c r="C12" s="14"/>
      <c r="D12" s="22">
        <v>44859</v>
      </c>
      <c r="E12" s="12">
        <v>1087.4300000000003</v>
      </c>
      <c r="F12" s="12"/>
      <c r="G12" s="11"/>
      <c r="H12" s="12">
        <f>+H11+E12-F12</f>
        <v>1851.2300000000032</v>
      </c>
      <c r="I12" s="10"/>
      <c r="J12" s="15"/>
      <c r="K12" s="5"/>
    </row>
    <row r="13" spans="1:11" x14ac:dyDescent="0.25">
      <c r="A13" s="5"/>
      <c r="B13" s="14">
        <v>221102</v>
      </c>
      <c r="C13" s="14"/>
      <c r="D13" s="22">
        <v>44872</v>
      </c>
      <c r="E13" s="12">
        <v>4715.4000000000015</v>
      </c>
      <c r="F13" s="12"/>
      <c r="G13" s="11"/>
      <c r="H13" s="12">
        <f t="shared" ref="H13:H23" si="0">+H12+E13-F13</f>
        <v>6566.6300000000047</v>
      </c>
      <c r="I13" s="10"/>
      <c r="J13" s="15"/>
      <c r="K13" s="5"/>
    </row>
    <row r="14" spans="1:11" x14ac:dyDescent="0.25">
      <c r="A14" s="5"/>
      <c r="B14" s="14">
        <v>221106</v>
      </c>
      <c r="C14" s="14"/>
      <c r="D14" s="22">
        <v>44880</v>
      </c>
      <c r="E14" s="12">
        <v>41504.199999999997</v>
      </c>
      <c r="F14" s="12"/>
      <c r="G14" s="11"/>
      <c r="H14" s="12">
        <f t="shared" si="0"/>
        <v>48070.83</v>
      </c>
      <c r="I14" s="10"/>
      <c r="J14" s="10"/>
      <c r="K14" s="5"/>
    </row>
    <row r="15" spans="1:11" x14ac:dyDescent="0.25">
      <c r="A15" s="5"/>
      <c r="B15" s="14">
        <v>221123</v>
      </c>
      <c r="C15" s="14"/>
      <c r="D15" s="22">
        <v>44895</v>
      </c>
      <c r="E15" s="12">
        <v>41223</v>
      </c>
      <c r="F15" s="12"/>
      <c r="G15" s="11"/>
      <c r="H15" s="12">
        <f t="shared" si="0"/>
        <v>89293.83</v>
      </c>
      <c r="I15" s="10"/>
      <c r="J15" s="10"/>
      <c r="K15" s="5"/>
    </row>
    <row r="16" spans="1:11" x14ac:dyDescent="0.25">
      <c r="A16" s="5"/>
      <c r="B16" s="23"/>
      <c r="C16" s="23"/>
      <c r="D16" s="24"/>
      <c r="E16" s="19"/>
      <c r="F16" s="12"/>
      <c r="G16" s="11"/>
      <c r="H16" s="12">
        <f t="shared" si="0"/>
        <v>89293.83</v>
      </c>
      <c r="I16" s="10"/>
      <c r="J16" s="10"/>
      <c r="K16" s="5"/>
    </row>
    <row r="17" spans="1:11" x14ac:dyDescent="0.25">
      <c r="A17" s="5"/>
      <c r="B17" s="23"/>
      <c r="C17" s="23"/>
      <c r="D17" s="24"/>
      <c r="E17" s="19"/>
      <c r="F17" s="12"/>
      <c r="G17" s="18"/>
      <c r="H17" s="12">
        <f t="shared" si="0"/>
        <v>89293.83</v>
      </c>
      <c r="I17" s="10"/>
      <c r="J17" s="10"/>
      <c r="K17" s="5"/>
    </row>
    <row r="18" spans="1:11" x14ac:dyDescent="0.25">
      <c r="A18" s="5"/>
      <c r="B18" s="23"/>
      <c r="C18" s="23"/>
      <c r="D18" s="24"/>
      <c r="E18" s="19"/>
      <c r="F18" s="12"/>
      <c r="G18" s="11"/>
      <c r="H18" s="12">
        <f t="shared" si="0"/>
        <v>89293.83</v>
      </c>
      <c r="I18" s="10"/>
      <c r="J18" s="10"/>
      <c r="K18" s="5"/>
    </row>
    <row r="19" spans="1:11" x14ac:dyDescent="0.25">
      <c r="A19" s="5"/>
      <c r="B19" s="23"/>
      <c r="C19" s="23"/>
      <c r="D19" s="24"/>
      <c r="E19" s="19"/>
      <c r="F19" s="12"/>
      <c r="G19" s="11"/>
      <c r="H19" s="12">
        <f t="shared" si="0"/>
        <v>89293.83</v>
      </c>
      <c r="I19" s="10"/>
      <c r="J19" s="10"/>
      <c r="K19" s="5"/>
    </row>
    <row r="20" spans="1:11" x14ac:dyDescent="0.25">
      <c r="A20" s="5"/>
      <c r="B20" s="23"/>
      <c r="C20" s="23"/>
      <c r="D20" s="24"/>
      <c r="E20" s="19"/>
      <c r="F20" s="12"/>
      <c r="G20" s="11"/>
      <c r="H20" s="12">
        <f t="shared" si="0"/>
        <v>89293.83</v>
      </c>
      <c r="I20" s="10"/>
      <c r="J20" s="10"/>
      <c r="K20" s="5"/>
    </row>
    <row r="21" spans="1:11" x14ac:dyDescent="0.25">
      <c r="A21" s="5"/>
      <c r="B21" s="23"/>
      <c r="C21" s="23"/>
      <c r="D21" s="24"/>
      <c r="E21" s="19"/>
      <c r="F21" s="12"/>
      <c r="G21" s="11"/>
      <c r="H21" s="12">
        <f t="shared" si="0"/>
        <v>89293.83</v>
      </c>
      <c r="I21" s="10"/>
      <c r="J21" s="10"/>
      <c r="K21" s="5"/>
    </row>
    <row r="22" spans="1:11" x14ac:dyDescent="0.25">
      <c r="A22" s="5"/>
      <c r="B22" s="23"/>
      <c r="C22" s="23"/>
      <c r="D22" s="24"/>
      <c r="E22" s="19"/>
      <c r="F22" s="12"/>
      <c r="G22" s="11"/>
      <c r="H22" s="12">
        <f t="shared" si="0"/>
        <v>89293.83</v>
      </c>
      <c r="I22" s="10"/>
      <c r="J22" s="10"/>
      <c r="K22" s="5"/>
    </row>
    <row r="23" spans="1:11" ht="16.5" thickBot="1" x14ac:dyDescent="0.3">
      <c r="A23" s="5"/>
      <c r="B23" s="23"/>
      <c r="C23" s="23"/>
      <c r="D23" s="24"/>
      <c r="E23" s="19"/>
      <c r="F23" s="12"/>
      <c r="G23" s="11"/>
      <c r="H23" s="27">
        <f t="shared" si="0"/>
        <v>89293.83</v>
      </c>
      <c r="I23" s="10"/>
      <c r="J23" s="10"/>
      <c r="K23" s="5"/>
    </row>
    <row r="24" spans="1:11" ht="17.25" thickTop="1" thickBot="1" x14ac:dyDescent="0.3">
      <c r="A24" s="5"/>
      <c r="B24" s="268" t="s">
        <v>55</v>
      </c>
      <c r="C24" s="268"/>
      <c r="D24" s="268"/>
      <c r="E24" s="20">
        <f>SUM(E11:E23)</f>
        <v>89293.83</v>
      </c>
      <c r="F24" s="25">
        <f>SUM(F11:F23)</f>
        <v>0</v>
      </c>
      <c r="G24" s="5"/>
      <c r="H24" s="5"/>
      <c r="I24" s="5"/>
      <c r="J24" s="5"/>
      <c r="K24" s="5"/>
    </row>
    <row r="25" spans="1:11" ht="16.5" thickBot="1" x14ac:dyDescent="0.3">
      <c r="A25" s="5"/>
      <c r="B25" s="5"/>
      <c r="C25" s="5"/>
      <c r="D25" s="5"/>
      <c r="E25" s="5"/>
      <c r="F25" s="26">
        <f>+E24-F24</f>
        <v>89293.83</v>
      </c>
      <c r="G25" s="5"/>
      <c r="H25" s="5"/>
      <c r="I25" s="5"/>
      <c r="J25" s="5"/>
      <c r="K25" s="5"/>
    </row>
    <row r="26" spans="1:11" x14ac:dyDescent="0.25">
      <c r="A26" s="5"/>
      <c r="B26" s="5"/>
      <c r="C26" s="5"/>
      <c r="D26" s="5"/>
      <c r="E26" s="5"/>
      <c r="F26" s="5"/>
      <c r="G26" s="5"/>
      <c r="H26" s="16"/>
      <c r="I26" s="16"/>
      <c r="J26" s="5"/>
      <c r="K26" s="5"/>
    </row>
    <row r="27" spans="1:11" x14ac:dyDescent="0.25">
      <c r="A27" s="5"/>
      <c r="B27" s="5"/>
      <c r="C27" s="5"/>
      <c r="D27" s="5"/>
      <c r="E27" s="5"/>
      <c r="F27" s="5"/>
      <c r="G27" s="5"/>
      <c r="H27" s="16"/>
      <c r="I27" s="5"/>
      <c r="J27" s="5"/>
      <c r="K27" s="5"/>
    </row>
    <row r="28" spans="1:11" x14ac:dyDescent="0.25">
      <c r="B28" s="9" t="s">
        <v>249</v>
      </c>
      <c r="C28" s="5"/>
      <c r="D28" s="5"/>
      <c r="E28" s="5"/>
      <c r="F28" s="5"/>
      <c r="G28" s="5"/>
    </row>
    <row r="29" spans="1:11" x14ac:dyDescent="0.25">
      <c r="B29" s="5"/>
      <c r="C29" s="191" t="s">
        <v>245</v>
      </c>
      <c r="D29" s="5"/>
      <c r="E29" s="114" t="s">
        <v>248</v>
      </c>
      <c r="F29" s="5">
        <v>72898045</v>
      </c>
      <c r="G29" s="5"/>
    </row>
    <row r="30" spans="1:11" x14ac:dyDescent="0.25">
      <c r="B30" s="5"/>
      <c r="C30" s="5" t="s">
        <v>243</v>
      </c>
      <c r="D30" s="5"/>
      <c r="E30" s="114" t="s">
        <v>248</v>
      </c>
      <c r="F30" s="5"/>
      <c r="G30" s="5"/>
    </row>
    <row r="31" spans="1:11" x14ac:dyDescent="0.25">
      <c r="B31" s="5"/>
      <c r="C31" s="191" t="s">
        <v>244</v>
      </c>
      <c r="D31" s="5"/>
      <c r="E31" s="114" t="s">
        <v>248</v>
      </c>
      <c r="F31" s="5">
        <v>67620372</v>
      </c>
      <c r="G31" s="5"/>
    </row>
    <row r="32" spans="1:11" x14ac:dyDescent="0.25">
      <c r="B32" s="5"/>
      <c r="C32" s="5" t="s">
        <v>246</v>
      </c>
      <c r="D32" s="5"/>
      <c r="E32" s="114" t="s">
        <v>248</v>
      </c>
      <c r="F32" s="5"/>
      <c r="G32" s="5"/>
    </row>
    <row r="33" spans="2:7" x14ac:dyDescent="0.25">
      <c r="B33" s="5"/>
      <c r="C33" s="191" t="s">
        <v>246</v>
      </c>
      <c r="D33" s="5"/>
      <c r="E33" s="114" t="s">
        <v>248</v>
      </c>
      <c r="F33" s="5">
        <v>68623440</v>
      </c>
      <c r="G33" s="5"/>
    </row>
    <row r="34" spans="2:7" x14ac:dyDescent="0.25">
      <c r="B34" s="5"/>
      <c r="C34" s="5"/>
      <c r="D34" s="5"/>
      <c r="E34" s="5"/>
      <c r="F34" s="5"/>
      <c r="G34" s="5"/>
    </row>
    <row r="35" spans="2:7" x14ac:dyDescent="0.25">
      <c r="B35" s="5"/>
      <c r="C35" s="191" t="s">
        <v>247</v>
      </c>
      <c r="D35" s="5"/>
      <c r="E35" s="5"/>
      <c r="F35" s="5"/>
      <c r="G35" s="5"/>
    </row>
    <row r="36" spans="2:7" x14ac:dyDescent="0.25">
      <c r="B36" s="5"/>
      <c r="C36" s="5"/>
      <c r="D36" s="5"/>
      <c r="E36" s="5"/>
      <c r="F36" s="5"/>
      <c r="G36" s="5"/>
    </row>
  </sheetData>
  <mergeCells count="3">
    <mergeCell ref="B2:J2"/>
    <mergeCell ref="B3:J3"/>
    <mergeCell ref="B24:D2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K25"/>
  <sheetViews>
    <sheetView topLeftCell="A3" workbookViewId="0">
      <selection activeCell="F11" sqref="F1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3.2851562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11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70152337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52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5"/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0">
        <v>210731</v>
      </c>
      <c r="C11" s="10"/>
      <c r="D11" s="11">
        <v>44406</v>
      </c>
      <c r="E11" s="12">
        <v>7798</v>
      </c>
      <c r="F11" s="10"/>
      <c r="G11" s="10"/>
      <c r="H11" s="12">
        <f>+E11-F11</f>
        <v>7798</v>
      </c>
      <c r="I11" s="10"/>
      <c r="J11" s="15" t="s">
        <v>51</v>
      </c>
      <c r="K11" s="5"/>
    </row>
    <row r="12" spans="1:11" x14ac:dyDescent="0.25">
      <c r="A12" s="5"/>
      <c r="B12" s="10">
        <v>210814</v>
      </c>
      <c r="C12" s="10"/>
      <c r="D12" s="11">
        <v>44422</v>
      </c>
      <c r="E12" s="12">
        <v>39668.5</v>
      </c>
      <c r="F12" s="10"/>
      <c r="G12" s="10"/>
      <c r="H12" s="12">
        <f>+H11+E12-F12</f>
        <v>47466.5</v>
      </c>
      <c r="I12" s="10"/>
      <c r="J12" s="15" t="s">
        <v>51</v>
      </c>
      <c r="K12" s="5"/>
    </row>
    <row r="13" spans="1:11" x14ac:dyDescent="0.25">
      <c r="A13" s="5"/>
      <c r="B13" s="10">
        <v>210830</v>
      </c>
      <c r="C13" s="10"/>
      <c r="D13" s="11">
        <v>44439</v>
      </c>
      <c r="E13" s="12">
        <v>41763.5</v>
      </c>
      <c r="F13" s="10"/>
      <c r="G13" s="10"/>
      <c r="H13" s="12">
        <f t="shared" ref="H13:H21" si="0">+H12+E13-F13</f>
        <v>89230</v>
      </c>
      <c r="I13" s="10"/>
      <c r="J13" s="15" t="s">
        <v>51</v>
      </c>
      <c r="K13" s="5"/>
    </row>
    <row r="14" spans="1:11" x14ac:dyDescent="0.25">
      <c r="A14" s="5"/>
      <c r="B14" s="10"/>
      <c r="C14" s="10"/>
      <c r="D14" s="11"/>
      <c r="E14" s="12"/>
      <c r="F14" s="10"/>
      <c r="G14" s="10"/>
      <c r="H14" s="12">
        <f t="shared" si="0"/>
        <v>89230</v>
      </c>
      <c r="I14" s="10"/>
      <c r="J14" s="10"/>
      <c r="K14" s="5"/>
    </row>
    <row r="15" spans="1:11" x14ac:dyDescent="0.25">
      <c r="A15" s="5"/>
      <c r="B15" s="10"/>
      <c r="C15" s="10"/>
      <c r="D15" s="11"/>
      <c r="E15" s="12"/>
      <c r="F15" s="10"/>
      <c r="G15" s="10"/>
      <c r="H15" s="12">
        <f t="shared" si="0"/>
        <v>89230</v>
      </c>
      <c r="I15" s="10"/>
      <c r="J15" s="10"/>
      <c r="K15" s="5"/>
    </row>
    <row r="16" spans="1:11" x14ac:dyDescent="0.25">
      <c r="A16" s="5"/>
      <c r="B16" s="10"/>
      <c r="C16" s="10"/>
      <c r="D16" s="11"/>
      <c r="E16" s="12"/>
      <c r="F16" s="10"/>
      <c r="G16" s="10"/>
      <c r="H16" s="12">
        <f t="shared" si="0"/>
        <v>89230</v>
      </c>
      <c r="I16" s="10"/>
      <c r="J16" s="10"/>
      <c r="K16" s="5"/>
    </row>
    <row r="17" spans="1:11" x14ac:dyDescent="0.25">
      <c r="A17" s="5"/>
      <c r="B17" s="10"/>
      <c r="C17" s="10"/>
      <c r="D17" s="11"/>
      <c r="E17" s="12"/>
      <c r="F17" s="10"/>
      <c r="G17" s="10"/>
      <c r="H17" s="12">
        <f t="shared" si="0"/>
        <v>89230</v>
      </c>
      <c r="I17" s="10"/>
      <c r="J17" s="10"/>
      <c r="K17" s="5"/>
    </row>
    <row r="18" spans="1:11" x14ac:dyDescent="0.25">
      <c r="A18" s="5"/>
      <c r="B18" s="10"/>
      <c r="C18" s="10"/>
      <c r="D18" s="11"/>
      <c r="E18" s="12"/>
      <c r="F18" s="10"/>
      <c r="G18" s="10"/>
      <c r="H18" s="12">
        <f t="shared" si="0"/>
        <v>89230</v>
      </c>
      <c r="I18" s="10"/>
      <c r="J18" s="10"/>
      <c r="K18" s="5"/>
    </row>
    <row r="19" spans="1:11" x14ac:dyDescent="0.25">
      <c r="A19" s="5"/>
      <c r="B19" s="10"/>
      <c r="C19" s="10"/>
      <c r="D19" s="11"/>
      <c r="E19" s="12"/>
      <c r="F19" s="10"/>
      <c r="G19" s="10"/>
      <c r="H19" s="12">
        <f t="shared" si="0"/>
        <v>89230</v>
      </c>
      <c r="I19" s="10"/>
      <c r="J19" s="10"/>
      <c r="K19" s="5"/>
    </row>
    <row r="20" spans="1:11" x14ac:dyDescent="0.25">
      <c r="A20" s="5"/>
      <c r="B20" s="10"/>
      <c r="C20" s="10"/>
      <c r="D20" s="11"/>
      <c r="E20" s="12"/>
      <c r="F20" s="10"/>
      <c r="G20" s="10"/>
      <c r="H20" s="12">
        <f t="shared" si="0"/>
        <v>89230</v>
      </c>
      <c r="I20" s="10"/>
      <c r="J20" s="10"/>
      <c r="K20" s="5"/>
    </row>
    <row r="21" spans="1:11" ht="16.5" thickBot="1" x14ac:dyDescent="0.3">
      <c r="A21" s="5"/>
      <c r="B21" s="17"/>
      <c r="C21" s="17"/>
      <c r="D21" s="18"/>
      <c r="E21" s="19"/>
      <c r="F21" s="17"/>
      <c r="G21" s="10"/>
      <c r="H21" s="12">
        <f t="shared" si="0"/>
        <v>89230</v>
      </c>
      <c r="I21" s="10"/>
      <c r="J21" s="10"/>
      <c r="K21" s="5"/>
    </row>
    <row r="22" spans="1:11" ht="16.5" thickTop="1" x14ac:dyDescent="0.25">
      <c r="A22" s="5"/>
      <c r="B22" s="268" t="s">
        <v>55</v>
      </c>
      <c r="C22" s="268"/>
      <c r="D22" s="268"/>
      <c r="E22" s="20">
        <f>SUM(E11:E21)</f>
        <v>89230</v>
      </c>
      <c r="F22" s="20">
        <f>SUM(F11:F21)</f>
        <v>0</v>
      </c>
      <c r="G22" s="5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</sheetData>
  <mergeCells count="3">
    <mergeCell ref="B2:J2"/>
    <mergeCell ref="B3:J3"/>
    <mergeCell ref="B22:D22"/>
  </mergeCells>
  <pageMargins left="0.7" right="0.7" top="0.75" bottom="0.75" header="0.3" footer="0.3"/>
  <pageSetup paperSize="9" orientation="portrait" horizontalDpi="0" verticalDpi="0" r:id="rId1"/>
  <ignoredErrors>
    <ignoredError sqref="H12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FD9B-9591-4D24-BAD6-424AFF1485F6}">
  <sheetPr codeName="Hoja3">
    <pageSetUpPr fitToPage="1"/>
  </sheetPr>
  <dimension ref="A1:AK75"/>
  <sheetViews>
    <sheetView topLeftCell="A4" zoomScale="90" zoomScaleNormal="90" workbookViewId="0">
      <pane xSplit="3" ySplit="4" topLeftCell="AG63" activePane="bottomRight" state="frozen"/>
      <selection activeCell="B19" sqref="B19:D19"/>
      <selection pane="topRight" activeCell="B19" sqref="B19:D19"/>
      <selection pane="bottomLeft" activeCell="B19" sqref="B19:D19"/>
      <selection pane="bottomRight" activeCell="B19" sqref="B19:D19"/>
    </sheetView>
  </sheetViews>
  <sheetFormatPr baseColWidth="10" defaultColWidth="11.42578125" defaultRowHeight="15.75" x14ac:dyDescent="0.25"/>
  <cols>
    <col min="1" max="1" width="3.5703125" style="2" customWidth="1"/>
    <col min="2" max="2" width="24.42578125" style="1" customWidth="1"/>
    <col min="3" max="3" width="13.140625" style="1" customWidth="1"/>
    <col min="4" max="29" width="15.140625" style="1" hidden="1" customWidth="1"/>
    <col min="30" max="32" width="15.28515625" style="1" hidden="1" customWidth="1"/>
    <col min="33" max="33" width="15.28515625" style="1" customWidth="1"/>
    <col min="34" max="34" width="15.140625" style="1" customWidth="1"/>
    <col min="35" max="35" width="18.140625" style="1" customWidth="1"/>
    <col min="36" max="36" width="11.42578125" style="1"/>
    <col min="37" max="37" width="12.42578125" style="1" bestFit="1" customWidth="1"/>
    <col min="38" max="16384" width="11.42578125" style="1"/>
  </cols>
  <sheetData>
    <row r="1" spans="1:35" ht="15" customHeight="1" x14ac:dyDescent="0.25">
      <c r="B1" s="30"/>
      <c r="C1" s="31"/>
    </row>
    <row r="2" spans="1:35" ht="15" customHeight="1" x14ac:dyDescent="0.25">
      <c r="B2" s="30"/>
      <c r="C2" s="31"/>
    </row>
    <row r="3" spans="1:35" ht="18" x14ac:dyDescent="0.25">
      <c r="A3" s="90" t="s">
        <v>68</v>
      </c>
      <c r="B3" s="90"/>
      <c r="C3" s="90"/>
    </row>
    <row r="4" spans="1:35" ht="18" x14ac:dyDescent="0.25">
      <c r="A4" s="90" t="s">
        <v>50</v>
      </c>
      <c r="B4" s="90"/>
      <c r="C4" s="90"/>
    </row>
    <row r="5" spans="1:35" ht="20.25" customHeight="1" x14ac:dyDescent="0.25">
      <c r="A5" s="111" t="s">
        <v>197</v>
      </c>
      <c r="B5" s="31"/>
      <c r="C5" s="31"/>
    </row>
    <row r="6" spans="1:35" ht="20.25" customHeight="1" x14ac:dyDescent="0.25">
      <c r="A6" s="270" t="s">
        <v>64</v>
      </c>
      <c r="B6" s="270" t="s">
        <v>1</v>
      </c>
      <c r="C6" s="270" t="s">
        <v>2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9"/>
      <c r="AD6" s="88"/>
      <c r="AE6" s="88"/>
      <c r="AF6" s="88"/>
      <c r="AG6" s="88"/>
      <c r="AH6" s="89"/>
      <c r="AI6" s="270" t="s">
        <v>80</v>
      </c>
    </row>
    <row r="7" spans="1:35" s="32" customFormat="1" ht="17.25" customHeight="1" x14ac:dyDescent="0.25">
      <c r="A7" s="270"/>
      <c r="B7" s="270"/>
      <c r="C7" s="270"/>
      <c r="D7" s="62">
        <v>1</v>
      </c>
      <c r="E7" s="62">
        <v>2</v>
      </c>
      <c r="F7" s="62">
        <v>3</v>
      </c>
      <c r="G7" s="62">
        <v>4</v>
      </c>
      <c r="H7" s="99" t="s">
        <v>81</v>
      </c>
      <c r="I7" s="62">
        <v>6</v>
      </c>
      <c r="J7" s="62">
        <v>7</v>
      </c>
      <c r="K7" s="62">
        <v>8</v>
      </c>
      <c r="L7" s="62">
        <v>9</v>
      </c>
      <c r="M7" s="62">
        <v>10</v>
      </c>
      <c r="N7" s="62">
        <v>11</v>
      </c>
      <c r="O7" s="99" t="s">
        <v>82</v>
      </c>
      <c r="P7" s="62">
        <v>13</v>
      </c>
      <c r="Q7" s="62">
        <v>14</v>
      </c>
      <c r="R7" s="62">
        <v>15</v>
      </c>
      <c r="S7" s="62">
        <v>16</v>
      </c>
      <c r="T7" s="62">
        <v>17</v>
      </c>
      <c r="U7" s="62">
        <v>18</v>
      </c>
      <c r="V7" s="99" t="s">
        <v>83</v>
      </c>
      <c r="W7" s="62">
        <v>20</v>
      </c>
      <c r="X7" s="62">
        <v>21</v>
      </c>
      <c r="Y7" s="62">
        <v>22</v>
      </c>
      <c r="Z7" s="62">
        <v>23</v>
      </c>
      <c r="AA7" s="62">
        <v>24</v>
      </c>
      <c r="AB7" s="62">
        <v>25</v>
      </c>
      <c r="AC7" s="99" t="s">
        <v>84</v>
      </c>
      <c r="AD7" s="62">
        <v>27</v>
      </c>
      <c r="AE7" s="62">
        <v>28</v>
      </c>
      <c r="AF7" s="62">
        <v>29</v>
      </c>
      <c r="AG7" s="62">
        <v>28</v>
      </c>
      <c r="AH7" s="99" t="s">
        <v>84</v>
      </c>
      <c r="AI7" s="270"/>
    </row>
    <row r="8" spans="1:35" s="32" customFormat="1" ht="16.5" customHeight="1" x14ac:dyDescent="0.25">
      <c r="A8" s="56">
        <v>1</v>
      </c>
      <c r="B8" s="57" t="s">
        <v>25</v>
      </c>
      <c r="C8" s="54" t="s">
        <v>13</v>
      </c>
      <c r="D8" s="63"/>
      <c r="E8" s="63"/>
      <c r="F8" s="63"/>
      <c r="G8" s="63"/>
      <c r="H8" s="66">
        <f t="shared" ref="H8:H68" si="0">SUM(D8:G8)</f>
        <v>0</v>
      </c>
      <c r="I8" s="63"/>
      <c r="J8" s="63"/>
      <c r="K8" s="63"/>
      <c r="L8" s="63"/>
      <c r="M8" s="63"/>
      <c r="N8" s="63"/>
      <c r="O8" s="66">
        <f>SUM(I8:N8)</f>
        <v>0</v>
      </c>
      <c r="P8" s="63"/>
      <c r="Q8" s="63"/>
      <c r="R8" s="63"/>
      <c r="S8" s="63"/>
      <c r="T8" s="63"/>
      <c r="U8" s="63"/>
      <c r="V8" s="66">
        <f>SUM(P8:U8)</f>
        <v>0</v>
      </c>
      <c r="W8" s="63"/>
      <c r="X8" s="63"/>
      <c r="Y8" s="63"/>
      <c r="Z8" s="63"/>
      <c r="AA8" s="63"/>
      <c r="AB8" s="63"/>
      <c r="AC8" s="66">
        <f t="shared" ref="AC8:AC68" si="1">SUM(W8:AB8)</f>
        <v>0</v>
      </c>
      <c r="AD8" s="63"/>
      <c r="AE8" s="63"/>
      <c r="AF8" s="63"/>
      <c r="AG8" s="63"/>
      <c r="AH8" s="66">
        <f t="shared" ref="AH8:AH66" si="2">SUM(AD8:AG8)</f>
        <v>0</v>
      </c>
      <c r="AI8" s="68">
        <f t="shared" ref="AI8:AI21" si="3">+H8+O8+V8+AH8</f>
        <v>0</v>
      </c>
    </row>
    <row r="9" spans="1:35" ht="16.5" customHeight="1" x14ac:dyDescent="0.25">
      <c r="A9" s="56">
        <f>1+A8</f>
        <v>2</v>
      </c>
      <c r="B9" s="57" t="s">
        <v>11</v>
      </c>
      <c r="C9" s="54" t="s">
        <v>6</v>
      </c>
      <c r="D9" s="64"/>
      <c r="E9" s="64"/>
      <c r="F9" s="64"/>
      <c r="G9" s="64"/>
      <c r="H9" s="66">
        <f t="shared" si="0"/>
        <v>0</v>
      </c>
      <c r="I9" s="64"/>
      <c r="J9" s="64"/>
      <c r="K9" s="64"/>
      <c r="L9" s="64"/>
      <c r="M9" s="64"/>
      <c r="N9" s="64"/>
      <c r="O9" s="66">
        <f t="shared" ref="O9:O68" si="4">SUM(I9:N9)</f>
        <v>0</v>
      </c>
      <c r="P9" s="64"/>
      <c r="Q9" s="64"/>
      <c r="R9" s="64"/>
      <c r="S9" s="64"/>
      <c r="T9" s="64"/>
      <c r="U9" s="64"/>
      <c r="V9" s="66">
        <f>SUM(P9:U9)</f>
        <v>0</v>
      </c>
      <c r="W9" s="64"/>
      <c r="X9" s="64"/>
      <c r="Y9" s="64"/>
      <c r="Z9" s="64"/>
      <c r="AA9" s="64"/>
      <c r="AB9" s="64"/>
      <c r="AC9" s="66">
        <f t="shared" si="1"/>
        <v>0</v>
      </c>
      <c r="AD9" s="64"/>
      <c r="AE9" s="64"/>
      <c r="AF9" s="64"/>
      <c r="AG9" s="64"/>
      <c r="AH9" s="66">
        <f t="shared" si="2"/>
        <v>0</v>
      </c>
      <c r="AI9" s="68">
        <f t="shared" si="3"/>
        <v>0</v>
      </c>
    </row>
    <row r="10" spans="1:35" ht="16.5" customHeight="1" x14ac:dyDescent="0.25">
      <c r="A10" s="56">
        <f t="shared" ref="A10:A21" si="5">1+A9</f>
        <v>3</v>
      </c>
      <c r="B10" s="57" t="s">
        <v>70</v>
      </c>
      <c r="C10" s="54" t="s">
        <v>13</v>
      </c>
      <c r="D10" s="67"/>
      <c r="E10" s="67"/>
      <c r="F10" s="67"/>
      <c r="G10" s="67"/>
      <c r="H10" s="66">
        <f t="shared" si="0"/>
        <v>0</v>
      </c>
      <c r="I10" s="67"/>
      <c r="J10" s="67"/>
      <c r="K10" s="67"/>
      <c r="L10" s="67"/>
      <c r="M10" s="67"/>
      <c r="N10" s="67"/>
      <c r="O10" s="66">
        <f t="shared" si="4"/>
        <v>0</v>
      </c>
      <c r="P10" s="67"/>
      <c r="Q10" s="67"/>
      <c r="R10" s="67"/>
      <c r="S10" s="67"/>
      <c r="T10" s="67"/>
      <c r="U10" s="67"/>
      <c r="V10" s="66">
        <f t="shared" ref="V10:V23" si="6">SUM(P10:U10)</f>
        <v>0</v>
      </c>
      <c r="W10" s="67"/>
      <c r="X10" s="67"/>
      <c r="Y10" s="67"/>
      <c r="Z10" s="67"/>
      <c r="AA10" s="67"/>
      <c r="AB10" s="67"/>
      <c r="AC10" s="66">
        <f t="shared" si="1"/>
        <v>0</v>
      </c>
      <c r="AD10" s="67"/>
      <c r="AE10" s="67"/>
      <c r="AF10" s="67"/>
      <c r="AG10" s="67"/>
      <c r="AH10" s="66">
        <f t="shared" si="2"/>
        <v>0</v>
      </c>
      <c r="AI10" s="68">
        <f t="shared" si="3"/>
        <v>0</v>
      </c>
    </row>
    <row r="11" spans="1:35" ht="16.5" customHeight="1" x14ac:dyDescent="0.25">
      <c r="A11" s="56">
        <f t="shared" si="5"/>
        <v>4</v>
      </c>
      <c r="B11" s="57" t="s">
        <v>23</v>
      </c>
      <c r="C11" s="54" t="s">
        <v>9</v>
      </c>
      <c r="D11" s="67"/>
      <c r="E11" s="67"/>
      <c r="F11" s="67"/>
      <c r="G11" s="67"/>
      <c r="H11" s="66">
        <f t="shared" si="0"/>
        <v>0</v>
      </c>
      <c r="I11" s="67"/>
      <c r="J11" s="67"/>
      <c r="K11" s="67"/>
      <c r="L11" s="67"/>
      <c r="M11" s="67"/>
      <c r="N11" s="67"/>
      <c r="O11" s="66">
        <f t="shared" si="4"/>
        <v>0</v>
      </c>
      <c r="P11" s="67"/>
      <c r="Q11" s="67"/>
      <c r="R11" s="67"/>
      <c r="S11" s="67"/>
      <c r="T11" s="67"/>
      <c r="U11" s="67"/>
      <c r="V11" s="66">
        <f t="shared" si="6"/>
        <v>0</v>
      </c>
      <c r="W11" s="67"/>
      <c r="X11" s="67"/>
      <c r="Y11" s="67"/>
      <c r="Z11" s="67"/>
      <c r="AA11" s="67"/>
      <c r="AB11" s="67"/>
      <c r="AC11" s="66">
        <f t="shared" si="1"/>
        <v>0</v>
      </c>
      <c r="AD11" s="67"/>
      <c r="AE11" s="67"/>
      <c r="AF11" s="67"/>
      <c r="AG11" s="67"/>
      <c r="AH11" s="66">
        <f t="shared" si="2"/>
        <v>0</v>
      </c>
      <c r="AI11" s="68">
        <f t="shared" si="3"/>
        <v>0</v>
      </c>
    </row>
    <row r="12" spans="1:35" ht="16.5" customHeight="1" x14ac:dyDescent="0.25">
      <c r="A12" s="56">
        <f t="shared" si="5"/>
        <v>5</v>
      </c>
      <c r="B12" s="57" t="s">
        <v>24</v>
      </c>
      <c r="C12" s="54" t="s">
        <v>9</v>
      </c>
      <c r="D12" s="67"/>
      <c r="E12" s="67"/>
      <c r="F12" s="67"/>
      <c r="G12" s="67"/>
      <c r="H12" s="66">
        <f t="shared" si="0"/>
        <v>0</v>
      </c>
      <c r="I12" s="67"/>
      <c r="J12" s="67"/>
      <c r="K12" s="67"/>
      <c r="L12" s="67"/>
      <c r="M12" s="67"/>
      <c r="N12" s="67"/>
      <c r="O12" s="66">
        <f t="shared" si="4"/>
        <v>0</v>
      </c>
      <c r="P12" s="67"/>
      <c r="Q12" s="67"/>
      <c r="R12" s="67"/>
      <c r="S12" s="67"/>
      <c r="T12" s="67"/>
      <c r="U12" s="67"/>
      <c r="V12" s="66">
        <f t="shared" si="6"/>
        <v>0</v>
      </c>
      <c r="W12" s="67"/>
      <c r="X12" s="67"/>
      <c r="Y12" s="67"/>
      <c r="Z12" s="67"/>
      <c r="AA12" s="67"/>
      <c r="AB12" s="67"/>
      <c r="AC12" s="66">
        <f t="shared" si="1"/>
        <v>0</v>
      </c>
      <c r="AD12" s="67"/>
      <c r="AE12" s="67"/>
      <c r="AF12" s="67"/>
      <c r="AG12" s="67"/>
      <c r="AH12" s="66">
        <f t="shared" si="2"/>
        <v>0</v>
      </c>
      <c r="AI12" s="68">
        <f t="shared" si="3"/>
        <v>0</v>
      </c>
    </row>
    <row r="13" spans="1:35" ht="16.5" customHeight="1" x14ac:dyDescent="0.25">
      <c r="A13" s="56">
        <f t="shared" si="5"/>
        <v>6</v>
      </c>
      <c r="B13" s="57" t="s">
        <v>12</v>
      </c>
      <c r="C13" s="54" t="s">
        <v>13</v>
      </c>
      <c r="D13" s="67"/>
      <c r="E13" s="67"/>
      <c r="F13" s="67"/>
      <c r="G13" s="67"/>
      <c r="H13" s="66">
        <f t="shared" si="0"/>
        <v>0</v>
      </c>
      <c r="I13" s="67"/>
      <c r="J13" s="67"/>
      <c r="K13" s="67"/>
      <c r="L13" s="67"/>
      <c r="M13" s="67"/>
      <c r="N13" s="67"/>
      <c r="O13" s="66">
        <f t="shared" si="4"/>
        <v>0</v>
      </c>
      <c r="P13" s="67"/>
      <c r="Q13" s="67"/>
      <c r="R13" s="67"/>
      <c r="S13" s="67"/>
      <c r="T13" s="67"/>
      <c r="U13" s="67"/>
      <c r="V13" s="66">
        <f t="shared" si="6"/>
        <v>0</v>
      </c>
      <c r="W13" s="67"/>
      <c r="X13" s="67"/>
      <c r="Y13" s="67"/>
      <c r="Z13" s="67"/>
      <c r="AA13" s="67"/>
      <c r="AB13" s="67"/>
      <c r="AC13" s="66">
        <f t="shared" si="1"/>
        <v>0</v>
      </c>
      <c r="AD13" s="67"/>
      <c r="AE13" s="67"/>
      <c r="AF13" s="67"/>
      <c r="AG13" s="67"/>
      <c r="AH13" s="66">
        <f t="shared" si="2"/>
        <v>0</v>
      </c>
      <c r="AI13" s="68">
        <f t="shared" si="3"/>
        <v>0</v>
      </c>
    </row>
    <row r="14" spans="1:35" ht="16.5" customHeight="1" x14ac:dyDescent="0.25">
      <c r="A14" s="56">
        <f t="shared" si="5"/>
        <v>7</v>
      </c>
      <c r="B14" s="55" t="s">
        <v>5</v>
      </c>
      <c r="C14" s="54" t="s">
        <v>6</v>
      </c>
      <c r="D14" s="67"/>
      <c r="E14" s="67"/>
      <c r="F14" s="67"/>
      <c r="G14" s="67"/>
      <c r="H14" s="66">
        <f t="shared" si="0"/>
        <v>0</v>
      </c>
      <c r="I14" s="67"/>
      <c r="J14" s="67"/>
      <c r="K14" s="67"/>
      <c r="L14" s="67"/>
      <c r="M14" s="67"/>
      <c r="N14" s="67"/>
      <c r="O14" s="66">
        <f t="shared" si="4"/>
        <v>0</v>
      </c>
      <c r="P14" s="67"/>
      <c r="Q14" s="67"/>
      <c r="R14" s="67"/>
      <c r="S14" s="67"/>
      <c r="T14" s="67"/>
      <c r="U14" s="67"/>
      <c r="V14" s="66">
        <f t="shared" si="6"/>
        <v>0</v>
      </c>
      <c r="W14" s="67"/>
      <c r="X14" s="67"/>
      <c r="Y14" s="67"/>
      <c r="Z14" s="67"/>
      <c r="AA14" s="67"/>
      <c r="AB14" s="67"/>
      <c r="AC14" s="66">
        <f t="shared" si="1"/>
        <v>0</v>
      </c>
      <c r="AD14" s="67"/>
      <c r="AE14" s="67"/>
      <c r="AF14" s="67"/>
      <c r="AG14" s="67"/>
      <c r="AH14" s="66">
        <f t="shared" si="2"/>
        <v>0</v>
      </c>
      <c r="AI14" s="68">
        <f t="shared" si="3"/>
        <v>0</v>
      </c>
    </row>
    <row r="15" spans="1:35" ht="16.5" customHeight="1" x14ac:dyDescent="0.25">
      <c r="A15" s="56">
        <f t="shared" si="5"/>
        <v>8</v>
      </c>
      <c r="B15" s="57" t="s">
        <v>21</v>
      </c>
      <c r="C15" s="54" t="s">
        <v>16</v>
      </c>
      <c r="D15" s="67"/>
      <c r="E15" s="67"/>
      <c r="F15" s="67"/>
      <c r="G15" s="67"/>
      <c r="H15" s="66">
        <f t="shared" si="0"/>
        <v>0</v>
      </c>
      <c r="I15" s="67"/>
      <c r="J15" s="67"/>
      <c r="K15" s="67"/>
      <c r="L15" s="67"/>
      <c r="M15" s="67"/>
      <c r="N15" s="67"/>
      <c r="O15" s="66">
        <f t="shared" si="4"/>
        <v>0</v>
      </c>
      <c r="P15" s="67"/>
      <c r="Q15" s="67"/>
      <c r="R15" s="67"/>
      <c r="S15" s="67"/>
      <c r="T15" s="67"/>
      <c r="U15" s="67"/>
      <c r="V15" s="66">
        <f t="shared" si="6"/>
        <v>0</v>
      </c>
      <c r="W15" s="67"/>
      <c r="X15" s="67"/>
      <c r="Y15" s="67"/>
      <c r="Z15" s="67"/>
      <c r="AA15" s="67"/>
      <c r="AB15" s="67"/>
      <c r="AC15" s="66">
        <f t="shared" si="1"/>
        <v>0</v>
      </c>
      <c r="AD15" s="67"/>
      <c r="AE15" s="67"/>
      <c r="AF15" s="67"/>
      <c r="AG15" s="67"/>
      <c r="AH15" s="66">
        <f t="shared" si="2"/>
        <v>0</v>
      </c>
      <c r="AI15" s="68">
        <f t="shared" si="3"/>
        <v>0</v>
      </c>
    </row>
    <row r="16" spans="1:35" ht="16.5" customHeight="1" x14ac:dyDescent="0.25">
      <c r="A16" s="56">
        <f t="shared" si="5"/>
        <v>9</v>
      </c>
      <c r="B16" s="57" t="s">
        <v>15</v>
      </c>
      <c r="C16" s="54" t="s">
        <v>16</v>
      </c>
      <c r="D16" s="67"/>
      <c r="E16" s="67"/>
      <c r="F16" s="67"/>
      <c r="G16" s="67"/>
      <c r="H16" s="66">
        <f t="shared" si="0"/>
        <v>0</v>
      </c>
      <c r="I16" s="67"/>
      <c r="J16" s="67"/>
      <c r="K16" s="67"/>
      <c r="L16" s="67"/>
      <c r="M16" s="67"/>
      <c r="N16" s="67"/>
      <c r="O16" s="66">
        <f t="shared" si="4"/>
        <v>0</v>
      </c>
      <c r="P16" s="67"/>
      <c r="Q16" s="67"/>
      <c r="R16" s="67"/>
      <c r="S16" s="67"/>
      <c r="T16" s="67"/>
      <c r="U16" s="67"/>
      <c r="V16" s="66">
        <f t="shared" si="6"/>
        <v>0</v>
      </c>
      <c r="W16" s="67"/>
      <c r="X16" s="67"/>
      <c r="Y16" s="67"/>
      <c r="Z16" s="67"/>
      <c r="AA16" s="67"/>
      <c r="AB16" s="67"/>
      <c r="AC16" s="66">
        <f t="shared" si="1"/>
        <v>0</v>
      </c>
      <c r="AD16" s="67"/>
      <c r="AE16" s="67"/>
      <c r="AF16" s="67"/>
      <c r="AG16" s="67"/>
      <c r="AH16" s="66">
        <f t="shared" si="2"/>
        <v>0</v>
      </c>
      <c r="AI16" s="68">
        <f t="shared" si="3"/>
        <v>0</v>
      </c>
    </row>
    <row r="17" spans="1:35" ht="16.5" customHeight="1" x14ac:dyDescent="0.25">
      <c r="A17" s="56">
        <f t="shared" si="5"/>
        <v>10</v>
      </c>
      <c r="B17" s="57" t="s">
        <v>27</v>
      </c>
      <c r="C17" s="54" t="s">
        <v>26</v>
      </c>
      <c r="D17" s="67"/>
      <c r="E17" s="67"/>
      <c r="F17" s="67"/>
      <c r="G17" s="67"/>
      <c r="H17" s="66">
        <f t="shared" si="0"/>
        <v>0</v>
      </c>
      <c r="I17" s="67"/>
      <c r="J17" s="67"/>
      <c r="K17" s="67"/>
      <c r="L17" s="67"/>
      <c r="M17" s="67"/>
      <c r="N17" s="67"/>
      <c r="O17" s="66">
        <f t="shared" si="4"/>
        <v>0</v>
      </c>
      <c r="P17" s="67"/>
      <c r="Q17" s="67"/>
      <c r="R17" s="67"/>
      <c r="S17" s="67"/>
      <c r="T17" s="67"/>
      <c r="U17" s="67"/>
      <c r="V17" s="66">
        <f t="shared" si="6"/>
        <v>0</v>
      </c>
      <c r="W17" s="67"/>
      <c r="X17" s="67"/>
      <c r="Y17" s="67"/>
      <c r="Z17" s="67"/>
      <c r="AA17" s="67"/>
      <c r="AB17" s="67"/>
      <c r="AC17" s="66">
        <f t="shared" si="1"/>
        <v>0</v>
      </c>
      <c r="AD17" s="67"/>
      <c r="AE17" s="67"/>
      <c r="AF17" s="67"/>
      <c r="AG17" s="67"/>
      <c r="AH17" s="66">
        <f t="shared" si="2"/>
        <v>0</v>
      </c>
      <c r="AI17" s="68">
        <f t="shared" si="3"/>
        <v>0</v>
      </c>
    </row>
    <row r="18" spans="1:35" ht="16.5" customHeight="1" x14ac:dyDescent="0.25">
      <c r="A18" s="56">
        <f t="shared" si="5"/>
        <v>11</v>
      </c>
      <c r="B18" s="57" t="s">
        <v>8</v>
      </c>
      <c r="C18" s="54" t="s">
        <v>9</v>
      </c>
      <c r="D18" s="67"/>
      <c r="E18" s="67"/>
      <c r="F18" s="67"/>
      <c r="G18" s="67"/>
      <c r="H18" s="66">
        <f t="shared" si="0"/>
        <v>0</v>
      </c>
      <c r="I18" s="67"/>
      <c r="J18" s="67"/>
      <c r="K18" s="67"/>
      <c r="L18" s="67"/>
      <c r="M18" s="67"/>
      <c r="N18" s="67"/>
      <c r="O18" s="66">
        <f t="shared" si="4"/>
        <v>0</v>
      </c>
      <c r="P18" s="67"/>
      <c r="Q18" s="67"/>
      <c r="R18" s="67"/>
      <c r="S18" s="67"/>
      <c r="T18" s="67"/>
      <c r="U18" s="67"/>
      <c r="V18" s="66">
        <f t="shared" si="6"/>
        <v>0</v>
      </c>
      <c r="W18" s="67"/>
      <c r="X18" s="67"/>
      <c r="Y18" s="67"/>
      <c r="Z18" s="67"/>
      <c r="AA18" s="67"/>
      <c r="AB18" s="67"/>
      <c r="AC18" s="66">
        <f t="shared" si="1"/>
        <v>0</v>
      </c>
      <c r="AD18" s="67"/>
      <c r="AE18" s="67"/>
      <c r="AF18" s="67"/>
      <c r="AG18" s="67"/>
      <c r="AH18" s="66">
        <f t="shared" si="2"/>
        <v>0</v>
      </c>
      <c r="AI18" s="68">
        <f t="shared" si="3"/>
        <v>0</v>
      </c>
    </row>
    <row r="19" spans="1:35" ht="16.5" customHeight="1" x14ac:dyDescent="0.25">
      <c r="A19" s="56">
        <f t="shared" si="5"/>
        <v>12</v>
      </c>
      <c r="B19" s="57" t="s">
        <v>28</v>
      </c>
      <c r="C19" s="54" t="s">
        <v>29</v>
      </c>
      <c r="D19" s="67"/>
      <c r="E19" s="67"/>
      <c r="F19" s="67"/>
      <c r="G19" s="67"/>
      <c r="H19" s="66">
        <f t="shared" si="0"/>
        <v>0</v>
      </c>
      <c r="I19" s="67"/>
      <c r="J19" s="67"/>
      <c r="K19" s="67"/>
      <c r="L19" s="67"/>
      <c r="M19" s="67"/>
      <c r="N19" s="67"/>
      <c r="O19" s="66">
        <f t="shared" si="4"/>
        <v>0</v>
      </c>
      <c r="P19" s="67"/>
      <c r="Q19" s="67"/>
      <c r="R19" s="67"/>
      <c r="S19" s="67"/>
      <c r="T19" s="67"/>
      <c r="U19" s="67"/>
      <c r="V19" s="66">
        <f t="shared" si="6"/>
        <v>0</v>
      </c>
      <c r="W19" s="67"/>
      <c r="X19" s="67"/>
      <c r="Y19" s="67"/>
      <c r="Z19" s="67"/>
      <c r="AA19" s="67"/>
      <c r="AB19" s="67"/>
      <c r="AC19" s="66">
        <f t="shared" si="1"/>
        <v>0</v>
      </c>
      <c r="AD19" s="67"/>
      <c r="AE19" s="67"/>
      <c r="AF19" s="67"/>
      <c r="AG19" s="67"/>
      <c r="AH19" s="66">
        <f t="shared" si="2"/>
        <v>0</v>
      </c>
      <c r="AI19" s="68">
        <f t="shared" si="3"/>
        <v>0</v>
      </c>
    </row>
    <row r="20" spans="1:35" ht="16.5" customHeight="1" x14ac:dyDescent="0.25">
      <c r="A20" s="56">
        <f t="shared" si="5"/>
        <v>13</v>
      </c>
      <c r="B20" s="57" t="s">
        <v>10</v>
      </c>
      <c r="C20" s="65" t="s">
        <v>76</v>
      </c>
      <c r="D20" s="67"/>
      <c r="E20" s="67"/>
      <c r="F20" s="67"/>
      <c r="G20" s="67"/>
      <c r="H20" s="66">
        <f t="shared" si="0"/>
        <v>0</v>
      </c>
      <c r="I20" s="67"/>
      <c r="J20" s="67"/>
      <c r="K20" s="67"/>
      <c r="L20" s="67"/>
      <c r="M20" s="67"/>
      <c r="N20" s="67"/>
      <c r="O20" s="66">
        <f t="shared" si="4"/>
        <v>0</v>
      </c>
      <c r="P20" s="67"/>
      <c r="Q20" s="67"/>
      <c r="R20" s="67"/>
      <c r="S20" s="67"/>
      <c r="T20" s="67"/>
      <c r="U20" s="67"/>
      <c r="V20" s="66">
        <f t="shared" si="6"/>
        <v>0</v>
      </c>
      <c r="W20" s="67"/>
      <c r="X20" s="67"/>
      <c r="Y20" s="67"/>
      <c r="Z20" s="67"/>
      <c r="AA20" s="67"/>
      <c r="AB20" s="67"/>
      <c r="AC20" s="66">
        <f t="shared" si="1"/>
        <v>0</v>
      </c>
      <c r="AD20" s="67"/>
      <c r="AE20" s="67"/>
      <c r="AF20" s="67"/>
      <c r="AG20" s="67"/>
      <c r="AH20" s="66">
        <f t="shared" si="2"/>
        <v>0</v>
      </c>
      <c r="AI20" s="68">
        <f t="shared" si="3"/>
        <v>0</v>
      </c>
    </row>
    <row r="21" spans="1:35" ht="16.5" customHeight="1" x14ac:dyDescent="0.25">
      <c r="A21" s="56">
        <f t="shared" si="5"/>
        <v>14</v>
      </c>
      <c r="B21" s="57" t="s">
        <v>7</v>
      </c>
      <c r="C21" s="65" t="s">
        <v>76</v>
      </c>
      <c r="D21" s="67"/>
      <c r="E21" s="67"/>
      <c r="F21" s="67"/>
      <c r="G21" s="67"/>
      <c r="H21" s="66">
        <f t="shared" si="0"/>
        <v>0</v>
      </c>
      <c r="I21" s="67"/>
      <c r="J21" s="67"/>
      <c r="K21" s="67"/>
      <c r="L21" s="67"/>
      <c r="M21" s="67"/>
      <c r="N21" s="67"/>
      <c r="O21" s="66">
        <f t="shared" si="4"/>
        <v>0</v>
      </c>
      <c r="P21" s="67"/>
      <c r="Q21" s="67"/>
      <c r="R21" s="67"/>
      <c r="S21" s="67"/>
      <c r="T21" s="67"/>
      <c r="U21" s="67"/>
      <c r="V21" s="66">
        <f t="shared" si="6"/>
        <v>0</v>
      </c>
      <c r="W21" s="67"/>
      <c r="X21" s="67"/>
      <c r="Y21" s="67"/>
      <c r="Z21" s="67"/>
      <c r="AA21" s="67"/>
      <c r="AB21" s="67"/>
      <c r="AC21" s="66">
        <f t="shared" si="1"/>
        <v>0</v>
      </c>
      <c r="AD21" s="67"/>
      <c r="AE21" s="67"/>
      <c r="AF21" s="67"/>
      <c r="AG21" s="67"/>
      <c r="AH21" s="66">
        <f t="shared" si="2"/>
        <v>0</v>
      </c>
      <c r="AI21" s="68">
        <f t="shared" si="3"/>
        <v>0</v>
      </c>
    </row>
    <row r="22" spans="1:35" ht="27" customHeight="1" x14ac:dyDescent="0.25">
      <c r="A22" s="56">
        <f>1+A28</f>
        <v>20</v>
      </c>
      <c r="B22" s="105" t="s">
        <v>39</v>
      </c>
      <c r="C22" s="54" t="s">
        <v>40</v>
      </c>
      <c r="D22" s="67"/>
      <c r="E22" s="67"/>
      <c r="F22" s="67"/>
      <c r="G22" s="67"/>
      <c r="H22" s="66">
        <f t="shared" si="0"/>
        <v>0</v>
      </c>
      <c r="I22" s="67"/>
      <c r="J22" s="67"/>
      <c r="K22" s="67"/>
      <c r="L22" s="75"/>
      <c r="M22" s="76"/>
      <c r="N22" s="67"/>
      <c r="O22" s="66">
        <f>SUM(I22:N22)</f>
        <v>0</v>
      </c>
      <c r="P22" s="67"/>
      <c r="Q22" s="67"/>
      <c r="R22" s="67"/>
      <c r="S22" s="67"/>
      <c r="T22" s="67"/>
      <c r="U22" s="67"/>
      <c r="V22" s="66">
        <f>SUM(P22:U22)</f>
        <v>0</v>
      </c>
      <c r="W22" s="67"/>
      <c r="X22" s="67"/>
      <c r="Y22" s="67"/>
      <c r="Z22" s="67"/>
      <c r="AA22" s="67"/>
      <c r="AB22" s="67"/>
      <c r="AC22" s="66">
        <f t="shared" si="1"/>
        <v>0</v>
      </c>
      <c r="AD22" s="67"/>
      <c r="AE22" s="67"/>
      <c r="AF22" s="67"/>
      <c r="AG22" s="67"/>
      <c r="AH22" s="66">
        <f t="shared" si="2"/>
        <v>0</v>
      </c>
      <c r="AI22" s="68">
        <f>H22+O22+V22+AH22</f>
        <v>0</v>
      </c>
    </row>
    <row r="23" spans="1:35" ht="17.25" customHeight="1" x14ac:dyDescent="0.25">
      <c r="A23" s="271" t="s">
        <v>77</v>
      </c>
      <c r="B23" s="272"/>
      <c r="C23" s="273"/>
      <c r="D23" s="93"/>
      <c r="E23" s="93"/>
      <c r="F23" s="93"/>
      <c r="G23" s="93">
        <f t="shared" ref="G23" si="7">SUM(G8:G22)</f>
        <v>0</v>
      </c>
      <c r="H23" s="66">
        <f t="shared" si="0"/>
        <v>0</v>
      </c>
      <c r="I23" s="93">
        <f>SUM(I8:I22)</f>
        <v>0</v>
      </c>
      <c r="J23" s="93">
        <f t="shared" ref="J23:N23" si="8">SUM(J8:J22)</f>
        <v>0</v>
      </c>
      <c r="K23" s="93">
        <f t="shared" si="8"/>
        <v>0</v>
      </c>
      <c r="L23" s="93">
        <f t="shared" si="8"/>
        <v>0</v>
      </c>
      <c r="M23" s="93">
        <f t="shared" si="8"/>
        <v>0</v>
      </c>
      <c r="N23" s="93">
        <f t="shared" si="8"/>
        <v>0</v>
      </c>
      <c r="O23" s="91">
        <f t="shared" si="4"/>
        <v>0</v>
      </c>
      <c r="P23" s="93">
        <f>SUM(P8:P22)</f>
        <v>0</v>
      </c>
      <c r="Q23" s="93">
        <f t="shared" ref="Q23:U23" si="9">SUM(Q8:Q22)</f>
        <v>0</v>
      </c>
      <c r="R23" s="93">
        <f t="shared" si="9"/>
        <v>0</v>
      </c>
      <c r="S23" s="93">
        <f t="shared" si="9"/>
        <v>0</v>
      </c>
      <c r="T23" s="93">
        <f t="shared" si="9"/>
        <v>0</v>
      </c>
      <c r="U23" s="93">
        <f t="shared" si="9"/>
        <v>0</v>
      </c>
      <c r="V23" s="91">
        <f t="shared" si="6"/>
        <v>0</v>
      </c>
      <c r="W23" s="93">
        <f>SUM(W8:W22)</f>
        <v>0</v>
      </c>
      <c r="X23" s="93">
        <f>SUM(X8:X22)</f>
        <v>0</v>
      </c>
      <c r="Y23" s="93">
        <f t="shared" ref="Y23:AB23" si="10">SUM(Y8:Y22)</f>
        <v>0</v>
      </c>
      <c r="Z23" s="93">
        <f t="shared" si="10"/>
        <v>0</v>
      </c>
      <c r="AA23" s="93">
        <f t="shared" si="10"/>
        <v>0</v>
      </c>
      <c r="AB23" s="93">
        <f t="shared" si="10"/>
        <v>0</v>
      </c>
      <c r="AC23" s="91">
        <f t="shared" si="1"/>
        <v>0</v>
      </c>
      <c r="AD23" s="93">
        <f>SUM(AD8:AD22)</f>
        <v>0</v>
      </c>
      <c r="AE23" s="93"/>
      <c r="AF23" s="93"/>
      <c r="AG23" s="93">
        <f>SUM(AG8:AG22)</f>
        <v>0</v>
      </c>
      <c r="AH23" s="66">
        <f t="shared" si="2"/>
        <v>0</v>
      </c>
      <c r="AI23" s="69">
        <f>SUM(AI8:AI22)</f>
        <v>0</v>
      </c>
    </row>
    <row r="24" spans="1:35" ht="17.25" customHeight="1" x14ac:dyDescent="0.25">
      <c r="A24" s="40">
        <f>1+A21</f>
        <v>15</v>
      </c>
      <c r="B24" s="153" t="s">
        <v>56</v>
      </c>
      <c r="C24" s="38" t="s">
        <v>69</v>
      </c>
      <c r="D24" s="67"/>
      <c r="E24" s="67"/>
      <c r="F24" s="67"/>
      <c r="G24" s="67"/>
      <c r="H24" s="66">
        <f t="shared" si="0"/>
        <v>0</v>
      </c>
      <c r="I24" s="67"/>
      <c r="J24" s="67"/>
      <c r="K24" s="12"/>
      <c r="L24" s="12"/>
      <c r="M24" s="67"/>
      <c r="N24" s="67"/>
      <c r="O24" s="66">
        <f>SUM(I24:N24)</f>
        <v>0</v>
      </c>
      <c r="P24" s="12"/>
      <c r="Q24" s="80"/>
      <c r="R24" s="67"/>
      <c r="S24" s="67"/>
      <c r="T24" s="67"/>
      <c r="U24" s="67"/>
      <c r="V24" s="66">
        <f>SUM(P24:U24)</f>
        <v>0</v>
      </c>
      <c r="W24" s="67"/>
      <c r="X24" s="67"/>
      <c r="Y24" s="67"/>
      <c r="Z24" s="67"/>
      <c r="AA24" s="67"/>
      <c r="AB24" s="67"/>
      <c r="AC24" s="66">
        <f t="shared" si="1"/>
        <v>0</v>
      </c>
      <c r="AD24" s="67"/>
      <c r="AE24" s="67"/>
      <c r="AF24" s="67"/>
      <c r="AG24" s="67"/>
      <c r="AH24" s="66">
        <f t="shared" si="2"/>
        <v>0</v>
      </c>
      <c r="AI24" s="68">
        <f>H24+O24+V24+AC24+AH24</f>
        <v>0</v>
      </c>
    </row>
    <row r="25" spans="1:35" ht="17.25" customHeight="1" x14ac:dyDescent="0.25">
      <c r="A25" s="40">
        <f t="shared" ref="A25:A38" si="11">1+A24</f>
        <v>16</v>
      </c>
      <c r="B25" s="41" t="s">
        <v>19</v>
      </c>
      <c r="C25" s="38" t="s">
        <v>18</v>
      </c>
      <c r="D25" s="67"/>
      <c r="E25" s="67"/>
      <c r="F25" s="67"/>
      <c r="G25" s="67"/>
      <c r="H25" s="66">
        <f t="shared" si="0"/>
        <v>0</v>
      </c>
      <c r="I25" s="67"/>
      <c r="J25" s="67"/>
      <c r="K25" s="67"/>
      <c r="L25" s="67"/>
      <c r="M25" s="67"/>
      <c r="N25" s="67"/>
      <c r="O25" s="66">
        <f t="shared" ref="O25:O66" si="12">SUM(I25:N25)</f>
        <v>0</v>
      </c>
      <c r="P25" s="67"/>
      <c r="Q25" s="67"/>
      <c r="R25" s="67"/>
      <c r="S25" s="67"/>
      <c r="T25" s="67"/>
      <c r="U25" s="67"/>
      <c r="V25" s="66">
        <f t="shared" ref="V25:V66" si="13">SUM(P25:U25)</f>
        <v>0</v>
      </c>
      <c r="W25" s="67"/>
      <c r="X25" s="67"/>
      <c r="Y25" s="67"/>
      <c r="Z25" s="67"/>
      <c r="AA25" s="67"/>
      <c r="AB25" s="67"/>
      <c r="AC25" s="66">
        <f t="shared" si="1"/>
        <v>0</v>
      </c>
      <c r="AD25" s="67"/>
      <c r="AE25" s="67"/>
      <c r="AF25" s="67"/>
      <c r="AG25" s="67"/>
      <c r="AH25" s="66">
        <f t="shared" si="2"/>
        <v>0</v>
      </c>
      <c r="AI25" s="68">
        <f>H25+O25+V25+AC25+AH25</f>
        <v>0</v>
      </c>
    </row>
    <row r="26" spans="1:35" ht="17.25" customHeight="1" x14ac:dyDescent="0.25">
      <c r="A26" s="40">
        <f t="shared" si="11"/>
        <v>17</v>
      </c>
      <c r="B26" s="41" t="s">
        <v>31</v>
      </c>
      <c r="C26" s="38" t="s">
        <v>32</v>
      </c>
      <c r="D26" s="67"/>
      <c r="E26" s="67"/>
      <c r="F26" s="67"/>
      <c r="G26" s="67"/>
      <c r="H26" s="66">
        <f t="shared" si="0"/>
        <v>0</v>
      </c>
      <c r="I26" s="67"/>
      <c r="J26" s="12"/>
      <c r="K26" s="67"/>
      <c r="L26" s="12"/>
      <c r="M26" s="67"/>
      <c r="N26" s="67"/>
      <c r="O26" s="66">
        <f t="shared" si="12"/>
        <v>0</v>
      </c>
      <c r="P26" s="67"/>
      <c r="Q26" s="67"/>
      <c r="R26" s="67"/>
      <c r="S26" s="67"/>
      <c r="T26" s="67"/>
      <c r="U26" s="67"/>
      <c r="V26" s="66">
        <f t="shared" si="13"/>
        <v>0</v>
      </c>
      <c r="W26" s="67"/>
      <c r="X26" s="67"/>
      <c r="Y26" s="67"/>
      <c r="Z26" s="67"/>
      <c r="AA26" s="67"/>
      <c r="AB26" s="67"/>
      <c r="AC26" s="66">
        <f t="shared" si="1"/>
        <v>0</v>
      </c>
      <c r="AD26" s="67"/>
      <c r="AE26" s="67"/>
      <c r="AF26" s="67"/>
      <c r="AG26" s="67">
        <f>+'Cristhian Murillo'!F43</f>
        <v>341500</v>
      </c>
      <c r="AH26" s="66">
        <f t="shared" si="2"/>
        <v>341500</v>
      </c>
      <c r="AI26" s="68">
        <f>H26+O26+V26+AC26+AH26</f>
        <v>341500</v>
      </c>
    </row>
    <row r="27" spans="1:35" ht="17.25" customHeight="1" x14ac:dyDescent="0.25">
      <c r="A27" s="40">
        <f t="shared" si="11"/>
        <v>18</v>
      </c>
      <c r="B27" s="41" t="s">
        <v>33</v>
      </c>
      <c r="C27" s="38" t="s">
        <v>16</v>
      </c>
      <c r="D27" s="67"/>
      <c r="E27" s="67"/>
      <c r="F27" s="67"/>
      <c r="G27" s="67"/>
      <c r="H27" s="66">
        <f t="shared" si="0"/>
        <v>0</v>
      </c>
      <c r="I27" s="67"/>
      <c r="J27" s="67"/>
      <c r="K27" s="67"/>
      <c r="L27" s="67"/>
      <c r="M27" s="67"/>
      <c r="N27" s="67"/>
      <c r="O27" s="66">
        <f t="shared" si="12"/>
        <v>0</v>
      </c>
      <c r="P27" s="67"/>
      <c r="Q27" s="67"/>
      <c r="R27" s="67"/>
      <c r="S27" s="67"/>
      <c r="T27" s="67"/>
      <c r="U27" s="67"/>
      <c r="V27" s="66">
        <f t="shared" si="13"/>
        <v>0</v>
      </c>
      <c r="W27" s="67"/>
      <c r="X27" s="67"/>
      <c r="Y27" s="67"/>
      <c r="Z27" s="67"/>
      <c r="AA27" s="67"/>
      <c r="AB27" s="67"/>
      <c r="AC27" s="66">
        <f t="shared" si="1"/>
        <v>0</v>
      </c>
      <c r="AD27" s="67"/>
      <c r="AE27" s="67"/>
      <c r="AF27" s="67"/>
      <c r="AG27" s="67"/>
      <c r="AH27" s="66">
        <f t="shared" si="2"/>
        <v>0</v>
      </c>
      <c r="AI27" s="68">
        <f t="shared" ref="AI27:AI66" si="14">H27+O27+V27+AC27+AH27</f>
        <v>0</v>
      </c>
    </row>
    <row r="28" spans="1:35" ht="17.25" hidden="1" customHeight="1" x14ac:dyDescent="0.25">
      <c r="A28" s="40">
        <f t="shared" si="11"/>
        <v>19</v>
      </c>
      <c r="B28" s="41" t="s">
        <v>34</v>
      </c>
      <c r="C28" s="38" t="s">
        <v>26</v>
      </c>
      <c r="D28" s="67"/>
      <c r="E28" s="67"/>
      <c r="F28" s="67"/>
      <c r="G28" s="67"/>
      <c r="H28" s="66">
        <f t="shared" si="0"/>
        <v>0</v>
      </c>
      <c r="I28" s="67"/>
      <c r="J28" s="67"/>
      <c r="K28" s="67"/>
      <c r="L28" s="67"/>
      <c r="M28" s="67"/>
      <c r="N28" s="67"/>
      <c r="O28" s="66">
        <f t="shared" si="12"/>
        <v>0</v>
      </c>
      <c r="P28" s="67"/>
      <c r="Q28" s="67"/>
      <c r="R28" s="67"/>
      <c r="S28" s="67"/>
      <c r="T28" s="67"/>
      <c r="U28" s="67"/>
      <c r="V28" s="66">
        <f t="shared" si="13"/>
        <v>0</v>
      </c>
      <c r="W28" s="67"/>
      <c r="X28" s="67"/>
      <c r="Y28" s="67"/>
      <c r="Z28" s="67"/>
      <c r="AA28" s="67"/>
      <c r="AB28" s="67"/>
      <c r="AC28" s="66">
        <f t="shared" si="1"/>
        <v>0</v>
      </c>
      <c r="AD28" s="67"/>
      <c r="AE28" s="67"/>
      <c r="AF28" s="67"/>
      <c r="AG28" s="67"/>
      <c r="AH28" s="66">
        <f t="shared" si="2"/>
        <v>0</v>
      </c>
      <c r="AI28" s="68">
        <f t="shared" si="14"/>
        <v>0</v>
      </c>
    </row>
    <row r="29" spans="1:35" ht="17.25" customHeight="1" x14ac:dyDescent="0.25">
      <c r="A29" s="40">
        <f t="shared" si="11"/>
        <v>20</v>
      </c>
      <c r="B29" s="43" t="s">
        <v>73</v>
      </c>
      <c r="C29" s="38" t="s">
        <v>9</v>
      </c>
      <c r="D29" s="67"/>
      <c r="E29" s="12"/>
      <c r="F29" s="67"/>
      <c r="G29" s="67"/>
      <c r="H29" s="66">
        <f t="shared" si="0"/>
        <v>0</v>
      </c>
      <c r="I29" s="67"/>
      <c r="J29" s="67"/>
      <c r="K29" s="67"/>
      <c r="L29" s="67"/>
      <c r="M29" s="67"/>
      <c r="N29" s="67"/>
      <c r="O29" s="66">
        <f t="shared" si="12"/>
        <v>0</v>
      </c>
      <c r="P29" s="67"/>
      <c r="Q29" s="67"/>
      <c r="R29" s="67"/>
      <c r="S29" s="67"/>
      <c r="T29" s="67"/>
      <c r="U29" s="67"/>
      <c r="V29" s="66">
        <f t="shared" si="13"/>
        <v>0</v>
      </c>
      <c r="W29" s="67"/>
      <c r="X29" s="67"/>
      <c r="Y29" s="67"/>
      <c r="Z29" s="67"/>
      <c r="AA29" s="67"/>
      <c r="AB29" s="67"/>
      <c r="AC29" s="66">
        <f t="shared" si="1"/>
        <v>0</v>
      </c>
      <c r="AD29" s="67"/>
      <c r="AE29" s="67"/>
      <c r="AF29" s="67"/>
      <c r="AG29" s="67">
        <f>+'Orlando Aldunate'!L23</f>
        <v>136757.5</v>
      </c>
      <c r="AH29" s="66">
        <f t="shared" si="2"/>
        <v>136757.5</v>
      </c>
      <c r="AI29" s="68">
        <f t="shared" si="14"/>
        <v>136757.5</v>
      </c>
    </row>
    <row r="30" spans="1:35" ht="17.25" customHeight="1" x14ac:dyDescent="0.25">
      <c r="A30" s="40">
        <f t="shared" si="11"/>
        <v>21</v>
      </c>
      <c r="B30" s="58" t="s">
        <v>75</v>
      </c>
      <c r="C30" s="59" t="s">
        <v>13</v>
      </c>
      <c r="D30" s="67"/>
      <c r="E30" s="67"/>
      <c r="F30" s="67"/>
      <c r="G30" s="67"/>
      <c r="H30" s="66">
        <f t="shared" si="0"/>
        <v>0</v>
      </c>
      <c r="I30" s="67"/>
      <c r="J30" s="67"/>
      <c r="K30" s="67"/>
      <c r="L30" s="67"/>
      <c r="M30" s="67"/>
      <c r="N30" s="67"/>
      <c r="O30" s="66">
        <f t="shared" si="12"/>
        <v>0</v>
      </c>
      <c r="P30" s="67"/>
      <c r="Q30" s="67"/>
      <c r="R30" s="67"/>
      <c r="S30" s="67"/>
      <c r="T30" s="67"/>
      <c r="U30" s="67"/>
      <c r="V30" s="66">
        <f t="shared" si="13"/>
        <v>0</v>
      </c>
      <c r="W30" s="67"/>
      <c r="X30" s="67"/>
      <c r="Y30" s="67"/>
      <c r="Z30" s="67"/>
      <c r="AA30" s="67"/>
      <c r="AB30" s="67"/>
      <c r="AC30" s="66">
        <f t="shared" si="1"/>
        <v>0</v>
      </c>
      <c r="AD30" s="67"/>
      <c r="AE30" s="67"/>
      <c r="AF30" s="67"/>
      <c r="AG30" s="67"/>
      <c r="AH30" s="66">
        <f t="shared" si="2"/>
        <v>0</v>
      </c>
      <c r="AI30" s="68">
        <f t="shared" si="14"/>
        <v>0</v>
      </c>
    </row>
    <row r="31" spans="1:35" ht="17.25" customHeight="1" x14ac:dyDescent="0.25">
      <c r="A31" s="40">
        <f t="shared" si="11"/>
        <v>22</v>
      </c>
      <c r="B31" s="43" t="s">
        <v>85</v>
      </c>
      <c r="C31" s="38" t="s">
        <v>86</v>
      </c>
      <c r="D31" s="67"/>
      <c r="E31" s="67"/>
      <c r="F31" s="67"/>
      <c r="G31" s="67"/>
      <c r="H31" s="66">
        <f t="shared" si="0"/>
        <v>0</v>
      </c>
      <c r="I31" s="67"/>
      <c r="J31" s="67"/>
      <c r="K31" s="67"/>
      <c r="L31" s="12"/>
      <c r="M31" s="11"/>
      <c r="N31" s="67"/>
      <c r="O31" s="66">
        <f t="shared" si="12"/>
        <v>0</v>
      </c>
      <c r="P31" s="67"/>
      <c r="Q31" s="67"/>
      <c r="R31" s="67"/>
      <c r="S31" s="67"/>
      <c r="T31" s="67"/>
      <c r="U31" s="67"/>
      <c r="V31" s="66">
        <f t="shared" si="13"/>
        <v>0</v>
      </c>
      <c r="W31" s="67"/>
      <c r="X31" s="67"/>
      <c r="Y31" s="67"/>
      <c r="Z31" s="67"/>
      <c r="AA31" s="67"/>
      <c r="AB31" s="67"/>
      <c r="AC31" s="66">
        <f t="shared" si="1"/>
        <v>0</v>
      </c>
      <c r="AD31" s="67"/>
      <c r="AE31" s="67"/>
      <c r="AF31" s="67"/>
      <c r="AG31" s="67"/>
      <c r="AH31" s="66">
        <f t="shared" si="2"/>
        <v>0</v>
      </c>
      <c r="AI31" s="68">
        <f t="shared" si="14"/>
        <v>0</v>
      </c>
    </row>
    <row r="32" spans="1:35" ht="17.25" customHeight="1" x14ac:dyDescent="0.25">
      <c r="A32" s="40">
        <f t="shared" si="11"/>
        <v>23</v>
      </c>
      <c r="B32" s="58" t="s">
        <v>87</v>
      </c>
      <c r="C32" s="59" t="s">
        <v>6</v>
      </c>
      <c r="D32" s="67"/>
      <c r="E32" s="67"/>
      <c r="F32" s="67"/>
      <c r="G32" s="67"/>
      <c r="H32" s="66">
        <f t="shared" si="0"/>
        <v>0</v>
      </c>
      <c r="I32" s="67"/>
      <c r="J32" s="67"/>
      <c r="K32" s="67"/>
      <c r="L32" s="12"/>
      <c r="M32" s="11"/>
      <c r="N32" s="67"/>
      <c r="O32" s="66">
        <f t="shared" si="12"/>
        <v>0</v>
      </c>
      <c r="P32" s="67"/>
      <c r="Q32" s="67"/>
      <c r="R32" s="67"/>
      <c r="S32" s="67"/>
      <c r="T32" s="67"/>
      <c r="U32" s="67"/>
      <c r="V32" s="66">
        <f t="shared" si="13"/>
        <v>0</v>
      </c>
      <c r="W32" s="67"/>
      <c r="X32" s="67"/>
      <c r="Y32" s="12"/>
      <c r="Z32" s="67"/>
      <c r="AA32" s="67"/>
      <c r="AB32" s="67"/>
      <c r="AC32" s="66">
        <f t="shared" si="1"/>
        <v>0</v>
      </c>
      <c r="AD32" s="67"/>
      <c r="AE32" s="67"/>
      <c r="AF32" s="67"/>
      <c r="AG32" s="67"/>
      <c r="AH32" s="66">
        <f t="shared" si="2"/>
        <v>0</v>
      </c>
      <c r="AI32" s="68">
        <f t="shared" si="14"/>
        <v>0</v>
      </c>
    </row>
    <row r="33" spans="1:37" ht="17.25" customHeight="1" x14ac:dyDescent="0.25">
      <c r="A33" s="40">
        <f t="shared" si="11"/>
        <v>24</v>
      </c>
      <c r="B33" s="43" t="s">
        <v>89</v>
      </c>
      <c r="C33" s="38" t="s">
        <v>26</v>
      </c>
      <c r="D33" s="67"/>
      <c r="E33" s="67"/>
      <c r="F33" s="67"/>
      <c r="G33" s="67"/>
      <c r="H33" s="66">
        <f t="shared" si="0"/>
        <v>0</v>
      </c>
      <c r="I33" s="67"/>
      <c r="J33" s="67"/>
      <c r="K33" s="67"/>
      <c r="L33" s="12"/>
      <c r="M33" s="11"/>
      <c r="N33" s="67"/>
      <c r="O33" s="66">
        <f t="shared" si="12"/>
        <v>0</v>
      </c>
      <c r="P33" s="12"/>
      <c r="Q33" s="11"/>
      <c r="R33" s="67"/>
      <c r="S33" s="67"/>
      <c r="T33" s="67"/>
      <c r="U33" s="67"/>
      <c r="V33" s="66">
        <f t="shared" si="13"/>
        <v>0</v>
      </c>
      <c r="W33" s="67"/>
      <c r="X33" s="67"/>
      <c r="Y33" s="67"/>
      <c r="Z33" s="67"/>
      <c r="AA33" s="67"/>
      <c r="AB33" s="67"/>
      <c r="AC33" s="66">
        <f t="shared" si="1"/>
        <v>0</v>
      </c>
      <c r="AD33" s="67"/>
      <c r="AE33" s="67"/>
      <c r="AF33" s="67"/>
      <c r="AG33" s="67"/>
      <c r="AH33" s="66">
        <f t="shared" si="2"/>
        <v>0</v>
      </c>
      <c r="AI33" s="68">
        <f t="shared" si="14"/>
        <v>0</v>
      </c>
    </row>
    <row r="34" spans="1:37" ht="17.25" customHeight="1" x14ac:dyDescent="0.25">
      <c r="A34" s="40">
        <f t="shared" si="11"/>
        <v>25</v>
      </c>
      <c r="B34" s="58" t="s">
        <v>93</v>
      </c>
      <c r="C34" s="59" t="s">
        <v>26</v>
      </c>
      <c r="D34" s="67"/>
      <c r="E34" s="67"/>
      <c r="F34" s="67"/>
      <c r="G34" s="67"/>
      <c r="H34" s="66">
        <f t="shared" si="0"/>
        <v>0</v>
      </c>
      <c r="I34" s="67"/>
      <c r="J34" s="67"/>
      <c r="K34" s="67"/>
      <c r="L34" s="12"/>
      <c r="M34" s="11"/>
      <c r="N34" s="67"/>
      <c r="O34" s="66">
        <f t="shared" si="12"/>
        <v>0</v>
      </c>
      <c r="P34" s="12"/>
      <c r="Q34" s="11"/>
      <c r="R34" s="67"/>
      <c r="S34" s="67"/>
      <c r="T34" s="67"/>
      <c r="U34" s="67"/>
      <c r="V34" s="66">
        <f t="shared" si="13"/>
        <v>0</v>
      </c>
      <c r="W34" s="67"/>
      <c r="X34" s="67"/>
      <c r="Y34" s="67"/>
      <c r="Z34" s="67"/>
      <c r="AA34" s="67"/>
      <c r="AB34" s="67"/>
      <c r="AC34" s="66">
        <f t="shared" si="1"/>
        <v>0</v>
      </c>
      <c r="AD34" s="67"/>
      <c r="AE34" s="67"/>
      <c r="AF34" s="67"/>
      <c r="AG34" s="67"/>
      <c r="AH34" s="66">
        <f t="shared" si="2"/>
        <v>0</v>
      </c>
      <c r="AI34" s="68">
        <f t="shared" si="14"/>
        <v>0</v>
      </c>
    </row>
    <row r="35" spans="1:37" ht="17.25" customHeight="1" x14ac:dyDescent="0.25">
      <c r="A35" s="40">
        <f>1+A34</f>
        <v>26</v>
      </c>
      <c r="B35" s="58" t="s">
        <v>112</v>
      </c>
      <c r="C35" s="59" t="s">
        <v>32</v>
      </c>
      <c r="D35" s="67"/>
      <c r="E35" s="67"/>
      <c r="F35" s="67"/>
      <c r="G35" s="67"/>
      <c r="H35" s="66">
        <f t="shared" si="0"/>
        <v>0</v>
      </c>
      <c r="I35" s="67"/>
      <c r="J35" s="67"/>
      <c r="K35" s="67"/>
      <c r="L35" s="12"/>
      <c r="M35" s="11"/>
      <c r="N35" s="67"/>
      <c r="O35" s="66">
        <f t="shared" si="12"/>
        <v>0</v>
      </c>
      <c r="P35" s="12"/>
      <c r="Q35" s="19"/>
      <c r="R35" s="67"/>
      <c r="S35" s="67"/>
      <c r="T35" s="67"/>
      <c r="U35" s="67"/>
      <c r="V35" s="66">
        <f t="shared" si="13"/>
        <v>0</v>
      </c>
      <c r="W35" s="67"/>
      <c r="X35" s="67"/>
      <c r="Y35" s="67"/>
      <c r="Z35" s="67"/>
      <c r="AA35" s="67"/>
      <c r="AB35" s="67"/>
      <c r="AC35" s="66">
        <f t="shared" si="1"/>
        <v>0</v>
      </c>
      <c r="AD35" s="67"/>
      <c r="AE35" s="67"/>
      <c r="AF35" s="67"/>
      <c r="AG35" s="67">
        <f>+GAMS!F12</f>
        <v>11745</v>
      </c>
      <c r="AH35" s="66">
        <f t="shared" si="2"/>
        <v>11745</v>
      </c>
      <c r="AI35" s="68">
        <f t="shared" si="14"/>
        <v>11745</v>
      </c>
    </row>
    <row r="36" spans="1:37" ht="17.25" customHeight="1" x14ac:dyDescent="0.25">
      <c r="A36" s="40">
        <f t="shared" ref="A36:A37" si="15">1+A35</f>
        <v>27</v>
      </c>
      <c r="B36" s="58" t="s">
        <v>113</v>
      </c>
      <c r="C36" s="59" t="s">
        <v>32</v>
      </c>
      <c r="D36" s="67"/>
      <c r="E36" s="67"/>
      <c r="F36" s="67"/>
      <c r="G36" s="67"/>
      <c r="H36" s="66">
        <f t="shared" si="0"/>
        <v>0</v>
      </c>
      <c r="I36" s="67"/>
      <c r="J36" s="67"/>
      <c r="K36" s="67"/>
      <c r="L36" s="12"/>
      <c r="M36" s="11"/>
      <c r="N36" s="67"/>
      <c r="O36" s="66">
        <f t="shared" si="12"/>
        <v>0</v>
      </c>
      <c r="P36" s="12"/>
      <c r="Q36" s="19"/>
      <c r="R36" s="67"/>
      <c r="S36" s="67"/>
      <c r="T36" s="67"/>
      <c r="U36" s="67"/>
      <c r="V36" s="66">
        <f t="shared" si="13"/>
        <v>0</v>
      </c>
      <c r="W36" s="67"/>
      <c r="X36" s="67"/>
      <c r="Y36" s="67"/>
      <c r="Z36" s="67"/>
      <c r="AA36" s="67"/>
      <c r="AB36" s="67"/>
      <c r="AC36" s="66">
        <f t="shared" si="1"/>
        <v>0</v>
      </c>
      <c r="AD36" s="67"/>
      <c r="AE36" s="67"/>
      <c r="AF36" s="67"/>
      <c r="AG36" s="67"/>
      <c r="AH36" s="66">
        <f t="shared" si="2"/>
        <v>0</v>
      </c>
      <c r="AI36" s="68">
        <f t="shared" si="14"/>
        <v>0</v>
      </c>
    </row>
    <row r="37" spans="1:37" ht="17.25" customHeight="1" x14ac:dyDescent="0.25">
      <c r="A37" s="40">
        <f t="shared" si="15"/>
        <v>28</v>
      </c>
      <c r="B37" s="58" t="s">
        <v>94</v>
      </c>
      <c r="C37" s="59" t="s">
        <v>26</v>
      </c>
      <c r="D37" s="67"/>
      <c r="E37" s="67"/>
      <c r="F37" s="67"/>
      <c r="G37" s="67"/>
      <c r="H37" s="66">
        <f t="shared" si="0"/>
        <v>0</v>
      </c>
      <c r="I37" s="12"/>
      <c r="J37" s="12"/>
      <c r="K37" s="12"/>
      <c r="L37" s="12"/>
      <c r="M37" s="11"/>
      <c r="N37" s="67"/>
      <c r="O37" s="66">
        <f t="shared" si="12"/>
        <v>0</v>
      </c>
      <c r="P37" s="67"/>
      <c r="Q37" s="19"/>
      <c r="R37" s="67"/>
      <c r="S37" s="67"/>
      <c r="T37" s="67"/>
      <c r="U37" s="67"/>
      <c r="V37" s="66">
        <f t="shared" si="13"/>
        <v>0</v>
      </c>
      <c r="W37" s="67"/>
      <c r="X37" s="67"/>
      <c r="Y37" s="67"/>
      <c r="Z37" s="12"/>
      <c r="AA37" s="67"/>
      <c r="AB37" s="67"/>
      <c r="AC37" s="66">
        <f t="shared" si="1"/>
        <v>0</v>
      </c>
      <c r="AD37" s="12"/>
      <c r="AE37" s="12"/>
      <c r="AF37" s="12"/>
      <c r="AG37" s="12" t="e">
        <f>+#REF!</f>
        <v>#REF!</v>
      </c>
      <c r="AH37" s="66" t="e">
        <f t="shared" si="2"/>
        <v>#REF!</v>
      </c>
      <c r="AI37" s="68" t="e">
        <f t="shared" si="14"/>
        <v>#REF!</v>
      </c>
    </row>
    <row r="38" spans="1:37" ht="17.25" customHeight="1" x14ac:dyDescent="0.25">
      <c r="A38" s="40">
        <f t="shared" si="11"/>
        <v>29</v>
      </c>
      <c r="B38" s="58" t="s">
        <v>100</v>
      </c>
      <c r="C38" s="59" t="s">
        <v>13</v>
      </c>
      <c r="D38" s="67"/>
      <c r="E38" s="67"/>
      <c r="F38" s="67"/>
      <c r="G38" s="67"/>
      <c r="H38" s="66">
        <f t="shared" si="0"/>
        <v>0</v>
      </c>
      <c r="I38" s="12"/>
      <c r="J38" s="12"/>
      <c r="K38" s="12"/>
      <c r="L38" s="67"/>
      <c r="M38" s="67"/>
      <c r="N38" s="67"/>
      <c r="O38" s="66">
        <f t="shared" si="12"/>
        <v>0</v>
      </c>
      <c r="P38" s="67"/>
      <c r="Q38" s="19"/>
      <c r="R38" s="67"/>
      <c r="S38" s="67"/>
      <c r="T38" s="67"/>
      <c r="U38" s="67"/>
      <c r="V38" s="66">
        <f t="shared" si="13"/>
        <v>0</v>
      </c>
      <c r="W38" s="67"/>
      <c r="X38" s="67"/>
      <c r="Y38" s="67"/>
      <c r="Z38" s="67"/>
      <c r="AA38" s="67"/>
      <c r="AB38" s="67"/>
      <c r="AC38" s="66">
        <f t="shared" si="1"/>
        <v>0</v>
      </c>
      <c r="AD38" s="67"/>
      <c r="AE38" s="67"/>
      <c r="AF38" s="67"/>
      <c r="AG38" s="67"/>
      <c r="AH38" s="66">
        <f t="shared" si="2"/>
        <v>0</v>
      </c>
      <c r="AI38" s="68">
        <f t="shared" si="14"/>
        <v>0</v>
      </c>
      <c r="AK38" s="49"/>
    </row>
    <row r="39" spans="1:37" ht="17.25" customHeight="1" x14ac:dyDescent="0.25">
      <c r="A39" s="40">
        <f>1+A38</f>
        <v>30</v>
      </c>
      <c r="B39" s="58" t="s">
        <v>101</v>
      </c>
      <c r="C39" s="59" t="s">
        <v>16</v>
      </c>
      <c r="D39" s="67"/>
      <c r="E39" s="67"/>
      <c r="F39" s="67"/>
      <c r="G39" s="67"/>
      <c r="H39" s="66">
        <f t="shared" si="0"/>
        <v>0</v>
      </c>
      <c r="I39" s="12"/>
      <c r="J39" s="12"/>
      <c r="K39" s="12"/>
      <c r="L39" s="67"/>
      <c r="M39" s="67"/>
      <c r="N39" s="67"/>
      <c r="O39" s="66">
        <f t="shared" si="12"/>
        <v>0</v>
      </c>
      <c r="P39" s="67"/>
      <c r="Q39" s="19"/>
      <c r="R39" s="67"/>
      <c r="S39" s="67"/>
      <c r="T39" s="67"/>
      <c r="U39" s="67"/>
      <c r="V39" s="66">
        <f t="shared" si="13"/>
        <v>0</v>
      </c>
      <c r="W39" s="67"/>
      <c r="X39" s="67"/>
      <c r="Y39" s="67"/>
      <c r="Z39" s="67"/>
      <c r="AA39" s="67"/>
      <c r="AB39" s="67"/>
      <c r="AC39" s="66">
        <f t="shared" si="1"/>
        <v>0</v>
      </c>
      <c r="AD39" s="67"/>
      <c r="AE39" s="67"/>
      <c r="AF39" s="67"/>
      <c r="AG39" s="67"/>
      <c r="AH39" s="66">
        <f t="shared" si="2"/>
        <v>0</v>
      </c>
      <c r="AI39" s="68">
        <f t="shared" si="14"/>
        <v>0</v>
      </c>
    </row>
    <row r="40" spans="1:37" ht="17.25" customHeight="1" x14ac:dyDescent="0.25">
      <c r="A40" s="40">
        <f t="shared" ref="A40:A65" si="16">1+A39</f>
        <v>31</v>
      </c>
      <c r="B40" s="58" t="s">
        <v>103</v>
      </c>
      <c r="C40" s="59" t="s">
        <v>104</v>
      </c>
      <c r="D40" s="67"/>
      <c r="E40" s="67"/>
      <c r="F40" s="67"/>
      <c r="G40" s="67"/>
      <c r="H40" s="66">
        <f t="shared" si="0"/>
        <v>0</v>
      </c>
      <c r="I40" s="12"/>
      <c r="J40" s="12"/>
      <c r="K40" s="12"/>
      <c r="L40" s="67"/>
      <c r="M40" s="67"/>
      <c r="N40" s="67"/>
      <c r="O40" s="66">
        <f t="shared" si="12"/>
        <v>0</v>
      </c>
      <c r="P40" s="67"/>
      <c r="Q40" s="19"/>
      <c r="R40" s="67"/>
      <c r="S40" s="67"/>
      <c r="T40" s="67"/>
      <c r="U40" s="67"/>
      <c r="V40" s="66">
        <f t="shared" si="13"/>
        <v>0</v>
      </c>
      <c r="W40" s="67"/>
      <c r="X40" s="67"/>
      <c r="Y40" s="67"/>
      <c r="Z40" s="67"/>
      <c r="AA40" s="67"/>
      <c r="AB40" s="67"/>
      <c r="AC40" s="66">
        <f t="shared" si="1"/>
        <v>0</v>
      </c>
      <c r="AD40" s="67"/>
      <c r="AE40" s="67"/>
      <c r="AF40" s="67"/>
      <c r="AG40" s="67" t="e">
        <f>+#REF!</f>
        <v>#REF!</v>
      </c>
      <c r="AH40" s="66" t="e">
        <f t="shared" si="2"/>
        <v>#REF!</v>
      </c>
      <c r="AI40" s="68" t="e">
        <f t="shared" si="14"/>
        <v>#REF!</v>
      </c>
    </row>
    <row r="41" spans="1:37" ht="17.25" customHeight="1" x14ac:dyDescent="0.25">
      <c r="A41" s="40">
        <f t="shared" si="16"/>
        <v>32</v>
      </c>
      <c r="B41" s="58" t="s">
        <v>98</v>
      </c>
      <c r="C41" s="59" t="s">
        <v>88</v>
      </c>
      <c r="D41" s="67"/>
      <c r="E41" s="67"/>
      <c r="F41" s="67"/>
      <c r="G41" s="67"/>
      <c r="H41" s="66">
        <f t="shared" si="0"/>
        <v>0</v>
      </c>
      <c r="I41" s="12"/>
      <c r="J41" s="12"/>
      <c r="K41" s="12"/>
      <c r="L41" s="67"/>
      <c r="M41" s="67"/>
      <c r="N41" s="67"/>
      <c r="O41" s="66">
        <f t="shared" si="12"/>
        <v>0</v>
      </c>
      <c r="P41" s="67"/>
      <c r="Q41" s="19"/>
      <c r="R41" s="67"/>
      <c r="S41" s="67"/>
      <c r="T41" s="67"/>
      <c r="U41" s="67"/>
      <c r="V41" s="66">
        <f t="shared" si="13"/>
        <v>0</v>
      </c>
      <c r="W41" s="67"/>
      <c r="X41" s="67"/>
      <c r="Y41" s="67"/>
      <c r="Z41" s="67"/>
      <c r="AA41" s="67"/>
      <c r="AB41" s="67"/>
      <c r="AC41" s="66">
        <f t="shared" si="1"/>
        <v>0</v>
      </c>
      <c r="AD41" s="67"/>
      <c r="AE41" s="67"/>
      <c r="AF41" s="67"/>
      <c r="AG41" s="181" t="e">
        <f>+#REF!</f>
        <v>#REF!</v>
      </c>
      <c r="AH41" s="66" t="e">
        <f t="shared" si="2"/>
        <v>#REF!</v>
      </c>
      <c r="AI41" s="68" t="e">
        <f t="shared" si="14"/>
        <v>#REF!</v>
      </c>
    </row>
    <row r="42" spans="1:37" ht="17.25" customHeight="1" x14ac:dyDescent="0.25">
      <c r="A42" s="40">
        <f t="shared" si="16"/>
        <v>33</v>
      </c>
      <c r="B42" s="58" t="s">
        <v>114</v>
      </c>
      <c r="C42" s="59" t="s">
        <v>88</v>
      </c>
      <c r="D42" s="67"/>
      <c r="E42" s="67"/>
      <c r="F42" s="67"/>
      <c r="G42" s="67"/>
      <c r="H42" s="66">
        <f t="shared" si="0"/>
        <v>0</v>
      </c>
      <c r="I42" s="12"/>
      <c r="J42" s="12"/>
      <c r="K42" s="12"/>
      <c r="L42" s="67"/>
      <c r="M42" s="67"/>
      <c r="N42" s="67"/>
      <c r="O42" s="66">
        <f t="shared" si="12"/>
        <v>0</v>
      </c>
      <c r="P42" s="67"/>
      <c r="Q42" s="19"/>
      <c r="R42" s="67"/>
      <c r="S42" s="67"/>
      <c r="T42" s="67"/>
      <c r="U42" s="67"/>
      <c r="V42" s="66">
        <f t="shared" si="13"/>
        <v>0</v>
      </c>
      <c r="W42" s="67"/>
      <c r="X42" s="67"/>
      <c r="Y42" s="67"/>
      <c r="Z42" s="67"/>
      <c r="AA42" s="67"/>
      <c r="AB42" s="67"/>
      <c r="AC42" s="66">
        <f t="shared" si="1"/>
        <v>0</v>
      </c>
      <c r="AD42" s="67"/>
      <c r="AE42" s="67"/>
      <c r="AF42" s="67"/>
      <c r="AG42" s="181" t="e">
        <f>+#REF!</f>
        <v>#REF!</v>
      </c>
      <c r="AH42" s="66" t="e">
        <f t="shared" si="2"/>
        <v>#REF!</v>
      </c>
      <c r="AI42" s="68" t="e">
        <f t="shared" si="14"/>
        <v>#REF!</v>
      </c>
      <c r="AK42" s="49"/>
    </row>
    <row r="43" spans="1:37" ht="17.25" customHeight="1" x14ac:dyDescent="0.25">
      <c r="A43" s="40">
        <f t="shared" si="16"/>
        <v>34</v>
      </c>
      <c r="B43" s="58" t="s">
        <v>121</v>
      </c>
      <c r="C43" s="59" t="s">
        <v>86</v>
      </c>
      <c r="D43" s="67"/>
      <c r="E43" s="67"/>
      <c r="F43" s="67"/>
      <c r="G43" s="67"/>
      <c r="H43" s="66">
        <f t="shared" si="0"/>
        <v>0</v>
      </c>
      <c r="I43" s="12"/>
      <c r="J43" s="12"/>
      <c r="K43" s="12"/>
      <c r="L43" s="67"/>
      <c r="M43" s="67"/>
      <c r="N43" s="67"/>
      <c r="O43" s="66">
        <f t="shared" si="12"/>
        <v>0</v>
      </c>
      <c r="P43" s="67"/>
      <c r="Q43" s="19"/>
      <c r="R43" s="67"/>
      <c r="S43" s="67"/>
      <c r="T43" s="67"/>
      <c r="U43" s="67"/>
      <c r="V43" s="66">
        <f t="shared" si="13"/>
        <v>0</v>
      </c>
      <c r="W43" s="67"/>
      <c r="X43" s="67"/>
      <c r="Y43" s="67"/>
      <c r="Z43" s="67"/>
      <c r="AA43" s="67"/>
      <c r="AB43" s="67"/>
      <c r="AC43" s="66">
        <f t="shared" si="1"/>
        <v>0</v>
      </c>
      <c r="AD43" s="67"/>
      <c r="AE43" s="67"/>
      <c r="AF43" s="67"/>
      <c r="AG43" s="67">
        <f>+'Rene Cahuana'!L22</f>
        <v>206975</v>
      </c>
      <c r="AH43" s="66">
        <f t="shared" si="2"/>
        <v>206975</v>
      </c>
      <c r="AI43" s="68">
        <f t="shared" si="14"/>
        <v>206975</v>
      </c>
    </row>
    <row r="44" spans="1:37" ht="17.25" customHeight="1" x14ac:dyDescent="0.25">
      <c r="A44" s="40">
        <f t="shared" si="16"/>
        <v>35</v>
      </c>
      <c r="B44" s="58" t="s">
        <v>118</v>
      </c>
      <c r="C44" s="59" t="s">
        <v>122</v>
      </c>
      <c r="D44" s="67"/>
      <c r="E44" s="67"/>
      <c r="F44" s="67"/>
      <c r="G44" s="67"/>
      <c r="H44" s="66">
        <f t="shared" si="0"/>
        <v>0</v>
      </c>
      <c r="I44" s="12"/>
      <c r="J44" s="12"/>
      <c r="K44" s="12"/>
      <c r="L44" s="67"/>
      <c r="M44" s="67"/>
      <c r="N44" s="67"/>
      <c r="O44" s="66">
        <f t="shared" si="12"/>
        <v>0</v>
      </c>
      <c r="P44" s="67"/>
      <c r="Q44" s="19"/>
      <c r="R44" s="67"/>
      <c r="S44" s="67"/>
      <c r="T44" s="67"/>
      <c r="U44" s="67"/>
      <c r="V44" s="66">
        <f t="shared" si="13"/>
        <v>0</v>
      </c>
      <c r="W44" s="67"/>
      <c r="X44" s="67"/>
      <c r="Y44" s="67"/>
      <c r="Z44" s="67"/>
      <c r="AA44" s="67"/>
      <c r="AB44" s="67"/>
      <c r="AC44" s="66">
        <f t="shared" si="1"/>
        <v>0</v>
      </c>
      <c r="AD44" s="67"/>
      <c r="AE44" s="67"/>
      <c r="AF44" s="67"/>
      <c r="AG44" s="67">
        <f>+'Ines A - Villazon'!F11</f>
        <v>91740</v>
      </c>
      <c r="AH44" s="66">
        <f t="shared" si="2"/>
        <v>91740</v>
      </c>
      <c r="AI44" s="68">
        <f t="shared" si="14"/>
        <v>91740</v>
      </c>
    </row>
    <row r="45" spans="1:37" ht="17.25" customHeight="1" x14ac:dyDescent="0.25">
      <c r="A45" s="40">
        <f t="shared" si="16"/>
        <v>36</v>
      </c>
      <c r="B45" s="58" t="s">
        <v>115</v>
      </c>
      <c r="C45" s="59" t="s">
        <v>116</v>
      </c>
      <c r="D45" s="67"/>
      <c r="E45" s="67"/>
      <c r="F45" s="67"/>
      <c r="G45" s="67"/>
      <c r="H45" s="66">
        <f t="shared" si="0"/>
        <v>0</v>
      </c>
      <c r="I45" s="12"/>
      <c r="J45" s="12"/>
      <c r="K45" s="12"/>
      <c r="L45" s="12"/>
      <c r="M45" s="12"/>
      <c r="N45" s="12"/>
      <c r="O45" s="66">
        <f t="shared" si="12"/>
        <v>0</v>
      </c>
      <c r="P45" s="67"/>
      <c r="Q45" s="19"/>
      <c r="R45" s="67"/>
      <c r="S45" s="67"/>
      <c r="T45" s="12"/>
      <c r="U45" s="12"/>
      <c r="V45" s="66">
        <f t="shared" si="13"/>
        <v>0</v>
      </c>
      <c r="W45" s="67"/>
      <c r="X45" s="12"/>
      <c r="Y45" s="12"/>
      <c r="Z45" s="67"/>
      <c r="AA45" s="67"/>
      <c r="AB45" s="67"/>
      <c r="AC45" s="66">
        <f t="shared" si="1"/>
        <v>0</v>
      </c>
      <c r="AD45" s="67"/>
      <c r="AE45" s="67"/>
      <c r="AF45" s="67"/>
      <c r="AG45" s="67"/>
      <c r="AH45" s="66">
        <f t="shared" si="2"/>
        <v>0</v>
      </c>
      <c r="AI45" s="68">
        <f t="shared" si="14"/>
        <v>0</v>
      </c>
    </row>
    <row r="46" spans="1:37" ht="17.25" customHeight="1" x14ac:dyDescent="0.25">
      <c r="A46" s="40">
        <f t="shared" si="16"/>
        <v>37</v>
      </c>
      <c r="B46" s="58" t="s">
        <v>123</v>
      </c>
      <c r="C46" s="59" t="s">
        <v>125</v>
      </c>
      <c r="D46" s="67"/>
      <c r="E46" s="67"/>
      <c r="F46" s="67"/>
      <c r="G46" s="67"/>
      <c r="H46" s="66">
        <f t="shared" si="0"/>
        <v>0</v>
      </c>
      <c r="I46" s="12"/>
      <c r="J46" s="12"/>
      <c r="K46" s="12"/>
      <c r="L46" s="12"/>
      <c r="M46" s="12"/>
      <c r="N46" s="12"/>
      <c r="O46" s="66">
        <f t="shared" si="12"/>
        <v>0</v>
      </c>
      <c r="P46" s="67"/>
      <c r="Q46" s="67"/>
      <c r="R46" s="67"/>
      <c r="S46" s="67"/>
      <c r="T46" s="12"/>
      <c r="U46" s="12"/>
      <c r="V46" s="66">
        <f t="shared" si="13"/>
        <v>0</v>
      </c>
      <c r="W46" s="67"/>
      <c r="X46" s="12"/>
      <c r="Y46" s="12"/>
      <c r="Z46" s="67"/>
      <c r="AA46" s="67"/>
      <c r="AB46" s="67"/>
      <c r="AC46" s="66">
        <f t="shared" si="1"/>
        <v>0</v>
      </c>
      <c r="AD46" s="67"/>
      <c r="AE46" s="67"/>
      <c r="AF46" s="67"/>
      <c r="AG46" s="67">
        <f>+'Hernan - Pisiga'!L13</f>
        <v>76560</v>
      </c>
      <c r="AH46" s="66">
        <f t="shared" si="2"/>
        <v>76560</v>
      </c>
      <c r="AI46" s="68">
        <f t="shared" si="14"/>
        <v>76560</v>
      </c>
    </row>
    <row r="47" spans="1:37" ht="17.25" customHeight="1" x14ac:dyDescent="0.25">
      <c r="A47" s="40">
        <f t="shared" si="16"/>
        <v>38</v>
      </c>
      <c r="B47" s="58" t="s">
        <v>128</v>
      </c>
      <c r="C47" s="59" t="s">
        <v>129</v>
      </c>
      <c r="D47" s="67"/>
      <c r="E47" s="67"/>
      <c r="F47" s="67"/>
      <c r="G47" s="67"/>
      <c r="H47" s="66">
        <f t="shared" si="0"/>
        <v>0</v>
      </c>
      <c r="I47" s="12"/>
      <c r="J47" s="12"/>
      <c r="K47" s="12"/>
      <c r="L47" s="12"/>
      <c r="M47" s="12"/>
      <c r="N47" s="12"/>
      <c r="O47" s="66">
        <f t="shared" si="12"/>
        <v>0</v>
      </c>
      <c r="P47" s="67"/>
      <c r="Q47" s="67"/>
      <c r="R47" s="67"/>
      <c r="S47" s="67"/>
      <c r="T47" s="12"/>
      <c r="U47" s="12"/>
      <c r="V47" s="66">
        <f t="shared" si="13"/>
        <v>0</v>
      </c>
      <c r="W47" s="12"/>
      <c r="X47" s="11"/>
      <c r="Y47" s="12"/>
      <c r="Z47" s="67"/>
      <c r="AA47" s="67"/>
      <c r="AB47" s="67"/>
      <c r="AC47" s="66">
        <f t="shared" si="1"/>
        <v>0</v>
      </c>
      <c r="AD47" s="67"/>
      <c r="AE47" s="67"/>
      <c r="AF47" s="67"/>
      <c r="AG47" s="67"/>
      <c r="AH47" s="66">
        <f t="shared" si="2"/>
        <v>0</v>
      </c>
      <c r="AI47" s="68">
        <f t="shared" si="14"/>
        <v>0</v>
      </c>
    </row>
    <row r="48" spans="1:37" ht="17.25" customHeight="1" x14ac:dyDescent="0.25">
      <c r="A48" s="40">
        <f t="shared" si="16"/>
        <v>39</v>
      </c>
      <c r="B48" s="58" t="s">
        <v>126</v>
      </c>
      <c r="C48" s="59" t="s">
        <v>29</v>
      </c>
      <c r="D48" s="67"/>
      <c r="E48" s="67"/>
      <c r="F48" s="67"/>
      <c r="G48" s="67"/>
      <c r="H48" s="66">
        <f t="shared" si="0"/>
        <v>0</v>
      </c>
      <c r="I48" s="12"/>
      <c r="J48" s="12"/>
      <c r="K48" s="12"/>
      <c r="L48" s="12"/>
      <c r="M48" s="12"/>
      <c r="N48" s="12"/>
      <c r="O48" s="66">
        <f t="shared" si="12"/>
        <v>0</v>
      </c>
      <c r="P48" s="67"/>
      <c r="Q48" s="67"/>
      <c r="R48" s="67"/>
      <c r="S48" s="67"/>
      <c r="T48" s="12"/>
      <c r="U48" s="12"/>
      <c r="V48" s="66">
        <f t="shared" si="13"/>
        <v>0</v>
      </c>
      <c r="W48" s="12"/>
      <c r="X48" s="11"/>
      <c r="Y48" s="12"/>
      <c r="Z48" s="67"/>
      <c r="AA48" s="67"/>
      <c r="AB48" s="67"/>
      <c r="AC48" s="66">
        <f t="shared" si="1"/>
        <v>0</v>
      </c>
      <c r="AD48" s="67"/>
      <c r="AE48" s="67"/>
      <c r="AF48" s="67"/>
      <c r="AG48" s="67"/>
      <c r="AH48" s="66">
        <f t="shared" si="2"/>
        <v>0</v>
      </c>
      <c r="AI48" s="68">
        <f t="shared" si="14"/>
        <v>0</v>
      </c>
    </row>
    <row r="49" spans="1:35" ht="17.25" customHeight="1" x14ac:dyDescent="0.25">
      <c r="A49" s="40">
        <f t="shared" si="16"/>
        <v>40</v>
      </c>
      <c r="B49" s="58" t="s">
        <v>132</v>
      </c>
      <c r="C49" s="59" t="s">
        <v>16</v>
      </c>
      <c r="D49" s="67"/>
      <c r="E49" s="67"/>
      <c r="F49" s="67"/>
      <c r="G49" s="67"/>
      <c r="H49" s="66">
        <f t="shared" si="0"/>
        <v>0</v>
      </c>
      <c r="I49" s="12"/>
      <c r="J49" s="12"/>
      <c r="K49" s="12"/>
      <c r="L49" s="12"/>
      <c r="M49" s="12"/>
      <c r="N49" s="12"/>
      <c r="O49" s="66"/>
      <c r="P49" s="67"/>
      <c r="Q49" s="67"/>
      <c r="R49" s="67"/>
      <c r="S49" s="67"/>
      <c r="T49" s="12"/>
      <c r="U49" s="12"/>
      <c r="V49" s="66"/>
      <c r="W49" s="12"/>
      <c r="X49" s="11"/>
      <c r="Y49" s="12"/>
      <c r="Z49" s="67"/>
      <c r="AA49" s="67"/>
      <c r="AB49" s="67"/>
      <c r="AC49" s="66"/>
      <c r="AD49" s="67"/>
      <c r="AE49" s="67"/>
      <c r="AF49" s="67"/>
      <c r="AG49" s="67"/>
      <c r="AH49" s="66">
        <f t="shared" si="2"/>
        <v>0</v>
      </c>
      <c r="AI49" s="68">
        <f t="shared" si="14"/>
        <v>0</v>
      </c>
    </row>
    <row r="50" spans="1:35" ht="29.25" customHeight="1" x14ac:dyDescent="0.25">
      <c r="A50" s="40">
        <f t="shared" si="16"/>
        <v>41</v>
      </c>
      <c r="B50" s="58" t="s">
        <v>218</v>
      </c>
      <c r="C50" s="59" t="s">
        <v>140</v>
      </c>
      <c r="D50" s="67"/>
      <c r="E50" s="67"/>
      <c r="F50" s="67"/>
      <c r="G50" s="67"/>
      <c r="H50" s="66">
        <f t="shared" si="0"/>
        <v>0</v>
      </c>
      <c r="I50" s="12"/>
      <c r="J50" s="12"/>
      <c r="K50" s="12"/>
      <c r="L50" s="12"/>
      <c r="M50" s="12"/>
      <c r="N50" s="12"/>
      <c r="O50" s="66"/>
      <c r="P50" s="67"/>
      <c r="Q50" s="67"/>
      <c r="R50" s="67"/>
      <c r="S50" s="67"/>
      <c r="T50" s="12"/>
      <c r="U50" s="12"/>
      <c r="V50" s="66"/>
      <c r="W50" s="12"/>
      <c r="X50" s="11"/>
      <c r="Y50" s="12"/>
      <c r="Z50" s="67"/>
      <c r="AA50" s="67"/>
      <c r="AB50" s="67"/>
      <c r="AC50" s="66"/>
      <c r="AD50" s="67"/>
      <c r="AE50" s="67"/>
      <c r="AF50" s="67"/>
      <c r="AG50" s="67">
        <f>+'David Choque - Katerine'!L28</f>
        <v>123435</v>
      </c>
      <c r="AH50" s="66">
        <f t="shared" si="2"/>
        <v>123435</v>
      </c>
      <c r="AI50" s="68">
        <f t="shared" si="14"/>
        <v>123435</v>
      </c>
    </row>
    <row r="51" spans="1:35" ht="29.25" customHeight="1" x14ac:dyDescent="0.25">
      <c r="A51" s="40">
        <f t="shared" si="16"/>
        <v>42</v>
      </c>
      <c r="B51" s="43" t="s">
        <v>141</v>
      </c>
      <c r="C51" s="59" t="s">
        <v>142</v>
      </c>
      <c r="D51" s="67"/>
      <c r="E51" s="67"/>
      <c r="F51" s="67"/>
      <c r="G51" s="67"/>
      <c r="H51" s="66">
        <f t="shared" si="0"/>
        <v>0</v>
      </c>
      <c r="I51" s="12"/>
      <c r="J51" s="12"/>
      <c r="K51" s="12"/>
      <c r="L51" s="12"/>
      <c r="M51" s="12"/>
      <c r="N51" s="12"/>
      <c r="O51" s="66"/>
      <c r="P51" s="67"/>
      <c r="Q51" s="67"/>
      <c r="R51" s="67"/>
      <c r="S51" s="67"/>
      <c r="T51" s="12"/>
      <c r="U51" s="12"/>
      <c r="V51" s="66"/>
      <c r="W51" s="12"/>
      <c r="X51" s="11"/>
      <c r="Y51" s="12"/>
      <c r="Z51" s="67"/>
      <c r="AA51" s="67"/>
      <c r="AB51" s="67"/>
      <c r="AC51" s="66"/>
      <c r="AD51" s="67"/>
      <c r="AE51" s="67"/>
      <c r="AF51" s="67"/>
      <c r="AG51" s="67"/>
      <c r="AH51" s="66">
        <f t="shared" si="2"/>
        <v>0</v>
      </c>
      <c r="AI51" s="68">
        <f t="shared" si="14"/>
        <v>0</v>
      </c>
    </row>
    <row r="52" spans="1:35" ht="19.5" customHeight="1" x14ac:dyDescent="0.25">
      <c r="A52" s="40">
        <f t="shared" si="16"/>
        <v>43</v>
      </c>
      <c r="B52" s="64" t="s">
        <v>143</v>
      </c>
      <c r="C52" s="59" t="s">
        <v>16</v>
      </c>
      <c r="D52" s="67"/>
      <c r="E52" s="67"/>
      <c r="F52" s="67"/>
      <c r="G52" s="67"/>
      <c r="H52" s="66"/>
      <c r="I52" s="12"/>
      <c r="J52" s="12"/>
      <c r="K52" s="12"/>
      <c r="L52" s="12"/>
      <c r="M52" s="12"/>
      <c r="N52" s="12"/>
      <c r="O52" s="66"/>
      <c r="P52" s="67"/>
      <c r="Q52" s="67"/>
      <c r="R52" s="67"/>
      <c r="S52" s="67"/>
      <c r="T52" s="12"/>
      <c r="U52" s="12"/>
      <c r="V52" s="66"/>
      <c r="W52" s="12"/>
      <c r="X52" s="11"/>
      <c r="Y52" s="12"/>
      <c r="Z52" s="67"/>
      <c r="AA52" s="67"/>
      <c r="AB52" s="67"/>
      <c r="AC52" s="66"/>
      <c r="AD52" s="67"/>
      <c r="AE52" s="67"/>
      <c r="AF52" s="67"/>
      <c r="AG52" s="67"/>
      <c r="AH52" s="66">
        <f t="shared" si="2"/>
        <v>0</v>
      </c>
      <c r="AI52" s="68">
        <f t="shared" si="14"/>
        <v>0</v>
      </c>
    </row>
    <row r="53" spans="1:35" ht="19.5" customHeight="1" x14ac:dyDescent="0.25">
      <c r="A53" s="40">
        <f t="shared" si="16"/>
        <v>44</v>
      </c>
      <c r="B53" s="64" t="s">
        <v>144</v>
      </c>
      <c r="C53" s="59" t="s">
        <v>145</v>
      </c>
      <c r="D53" s="67"/>
      <c r="E53" s="67"/>
      <c r="F53" s="67"/>
      <c r="G53" s="67"/>
      <c r="H53" s="66"/>
      <c r="I53" s="12"/>
      <c r="J53" s="12"/>
      <c r="K53" s="12"/>
      <c r="L53" s="12"/>
      <c r="M53" s="12"/>
      <c r="N53" s="12"/>
      <c r="O53" s="66"/>
      <c r="P53" s="67"/>
      <c r="Q53" s="67"/>
      <c r="R53" s="67"/>
      <c r="S53" s="67"/>
      <c r="T53" s="12"/>
      <c r="U53" s="12"/>
      <c r="V53" s="66"/>
      <c r="W53" s="12"/>
      <c r="X53" s="11"/>
      <c r="Y53" s="12"/>
      <c r="Z53" s="67"/>
      <c r="AA53" s="67"/>
      <c r="AB53" s="67"/>
      <c r="AC53" s="66"/>
      <c r="AD53" s="67"/>
      <c r="AE53" s="67"/>
      <c r="AF53" s="67"/>
      <c r="AG53" s="67"/>
      <c r="AH53" s="66">
        <f t="shared" si="2"/>
        <v>0</v>
      </c>
      <c r="AI53" s="68">
        <f t="shared" si="14"/>
        <v>0</v>
      </c>
    </row>
    <row r="54" spans="1:35" ht="19.5" customHeight="1" x14ac:dyDescent="0.25">
      <c r="A54" s="40">
        <f t="shared" si="16"/>
        <v>45</v>
      </c>
      <c r="B54" s="64" t="s">
        <v>146</v>
      </c>
      <c r="C54" s="59" t="s">
        <v>32</v>
      </c>
      <c r="D54" s="67"/>
      <c r="E54" s="67"/>
      <c r="F54" s="67"/>
      <c r="G54" s="67"/>
      <c r="H54" s="66"/>
      <c r="I54" s="12"/>
      <c r="J54" s="12"/>
      <c r="K54" s="12"/>
      <c r="L54" s="12"/>
      <c r="M54" s="12"/>
      <c r="N54" s="12"/>
      <c r="O54" s="66"/>
      <c r="P54" s="67"/>
      <c r="Q54" s="67"/>
      <c r="R54" s="67"/>
      <c r="S54" s="67"/>
      <c r="T54" s="12"/>
      <c r="U54" s="12"/>
      <c r="V54" s="66"/>
      <c r="W54" s="12"/>
      <c r="X54" s="11"/>
      <c r="Y54" s="12"/>
      <c r="Z54" s="67"/>
      <c r="AA54" s="67"/>
      <c r="AB54" s="67"/>
      <c r="AC54" s="66"/>
      <c r="AD54" s="67"/>
      <c r="AE54" s="67"/>
      <c r="AF54" s="67"/>
      <c r="AG54" s="67"/>
      <c r="AH54" s="66">
        <f t="shared" si="2"/>
        <v>0</v>
      </c>
      <c r="AI54" s="68">
        <f t="shared" si="14"/>
        <v>0</v>
      </c>
    </row>
    <row r="55" spans="1:35" ht="19.5" customHeight="1" x14ac:dyDescent="0.25">
      <c r="A55" s="40">
        <f t="shared" si="16"/>
        <v>46</v>
      </c>
      <c r="B55" s="58" t="s">
        <v>150</v>
      </c>
      <c r="C55" s="59" t="s">
        <v>88</v>
      </c>
      <c r="D55" s="67"/>
      <c r="E55" s="67"/>
      <c r="F55" s="67"/>
      <c r="G55" s="67"/>
      <c r="H55" s="66">
        <f t="shared" si="0"/>
        <v>0</v>
      </c>
      <c r="I55" s="12"/>
      <c r="J55" s="12"/>
      <c r="K55" s="12"/>
      <c r="L55" s="12"/>
      <c r="M55" s="12"/>
      <c r="N55" s="12"/>
      <c r="O55" s="66">
        <f t="shared" si="12"/>
        <v>0</v>
      </c>
      <c r="P55" s="67"/>
      <c r="Q55" s="67"/>
      <c r="R55" s="67"/>
      <c r="S55" s="67"/>
      <c r="T55" s="12"/>
      <c r="U55" s="12"/>
      <c r="V55" s="66">
        <f t="shared" si="13"/>
        <v>0</v>
      </c>
      <c r="W55" s="12"/>
      <c r="X55" s="11"/>
      <c r="Y55" s="12"/>
      <c r="Z55" s="67"/>
      <c r="AA55" s="67"/>
      <c r="AB55" s="67"/>
      <c r="AC55" s="66">
        <f t="shared" si="1"/>
        <v>0</v>
      </c>
      <c r="AD55" s="67"/>
      <c r="AE55" s="67"/>
      <c r="AF55" s="67"/>
      <c r="AG55" s="67"/>
      <c r="AH55" s="66">
        <f t="shared" si="2"/>
        <v>0</v>
      </c>
      <c r="AI55" s="68">
        <f t="shared" si="14"/>
        <v>0</v>
      </c>
    </row>
    <row r="56" spans="1:35" ht="17.25" customHeight="1" x14ac:dyDescent="0.25">
      <c r="A56" s="40">
        <f t="shared" si="16"/>
        <v>47</v>
      </c>
      <c r="B56" s="58" t="s">
        <v>152</v>
      </c>
      <c r="C56" s="59" t="s">
        <v>6</v>
      </c>
      <c r="D56" s="67"/>
      <c r="E56" s="67"/>
      <c r="F56" s="67"/>
      <c r="G56" s="67"/>
      <c r="H56" s="66"/>
      <c r="I56" s="12"/>
      <c r="J56" s="12"/>
      <c r="K56" s="12"/>
      <c r="L56" s="12"/>
      <c r="M56" s="12"/>
      <c r="N56" s="12"/>
      <c r="O56" s="66"/>
      <c r="P56" s="67"/>
      <c r="Q56" s="67"/>
      <c r="R56" s="67"/>
      <c r="S56" s="67"/>
      <c r="T56" s="12"/>
      <c r="U56" s="12"/>
      <c r="V56" s="66"/>
      <c r="W56" s="12"/>
      <c r="X56" s="11"/>
      <c r="Y56" s="12"/>
      <c r="Z56" s="67"/>
      <c r="AA56" s="67"/>
      <c r="AB56" s="67"/>
      <c r="AC56" s="66"/>
      <c r="AD56" s="67"/>
      <c r="AE56" s="67"/>
      <c r="AF56" s="67"/>
      <c r="AG56" s="67"/>
      <c r="AH56" s="66">
        <f t="shared" si="2"/>
        <v>0</v>
      </c>
      <c r="AI56" s="68">
        <f t="shared" si="14"/>
        <v>0</v>
      </c>
    </row>
    <row r="57" spans="1:35" ht="17.25" customHeight="1" x14ac:dyDescent="0.25">
      <c r="A57" s="40">
        <f t="shared" si="16"/>
        <v>48</v>
      </c>
      <c r="B57" s="58" t="s">
        <v>156</v>
      </c>
      <c r="C57" s="59" t="s">
        <v>16</v>
      </c>
      <c r="D57" s="67"/>
      <c r="E57" s="67"/>
      <c r="F57" s="67"/>
      <c r="G57" s="67"/>
      <c r="H57" s="66"/>
      <c r="I57" s="12"/>
      <c r="J57" s="12"/>
      <c r="K57" s="12"/>
      <c r="L57" s="12"/>
      <c r="M57" s="12"/>
      <c r="N57" s="12"/>
      <c r="O57" s="66"/>
      <c r="P57" s="67"/>
      <c r="Q57" s="67"/>
      <c r="R57" s="67"/>
      <c r="S57" s="67"/>
      <c r="T57" s="12"/>
      <c r="U57" s="12"/>
      <c r="V57" s="66"/>
      <c r="W57" s="12"/>
      <c r="X57" s="11"/>
      <c r="Y57" s="12"/>
      <c r="Z57" s="67"/>
      <c r="AA57" s="67"/>
      <c r="AB57" s="67"/>
      <c r="AC57" s="66"/>
      <c r="AD57" s="67"/>
      <c r="AE57" s="67"/>
      <c r="AF57" s="67"/>
      <c r="AG57" s="67" t="e">
        <f>+#REF!</f>
        <v>#REF!</v>
      </c>
      <c r="AH57" s="66" t="e">
        <f>SUM(AD57:AG57)</f>
        <v>#REF!</v>
      </c>
      <c r="AI57" s="68" t="e">
        <f t="shared" si="14"/>
        <v>#REF!</v>
      </c>
    </row>
    <row r="58" spans="1:35" ht="17.25" customHeight="1" x14ac:dyDescent="0.25">
      <c r="A58" s="40">
        <f t="shared" si="16"/>
        <v>49</v>
      </c>
      <c r="B58" s="58" t="s">
        <v>160</v>
      </c>
      <c r="C58" s="59" t="s">
        <v>16</v>
      </c>
      <c r="D58" s="67"/>
      <c r="E58" s="67"/>
      <c r="F58" s="67"/>
      <c r="G58" s="67"/>
      <c r="H58" s="66"/>
      <c r="I58" s="12"/>
      <c r="J58" s="12"/>
      <c r="K58" s="12"/>
      <c r="L58" s="12"/>
      <c r="M58" s="12"/>
      <c r="N58" s="12"/>
      <c r="O58" s="66"/>
      <c r="P58" s="67"/>
      <c r="Q58" s="67"/>
      <c r="R58" s="67"/>
      <c r="S58" s="67"/>
      <c r="T58" s="12"/>
      <c r="U58" s="12"/>
      <c r="V58" s="66"/>
      <c r="W58" s="12"/>
      <c r="X58" s="11"/>
      <c r="Y58" s="12"/>
      <c r="Z58" s="67"/>
      <c r="AA58" s="67"/>
      <c r="AB58" s="67"/>
      <c r="AC58" s="66"/>
      <c r="AD58" s="67"/>
      <c r="AE58" s="67"/>
      <c r="AF58" s="67"/>
      <c r="AG58" s="67"/>
      <c r="AH58" s="66">
        <f t="shared" ref="AH58:AH65" si="17">SUM(AD58:AG58)</f>
        <v>0</v>
      </c>
      <c r="AI58" s="68">
        <f t="shared" si="14"/>
        <v>0</v>
      </c>
    </row>
    <row r="59" spans="1:35" ht="17.25" customHeight="1" x14ac:dyDescent="0.25">
      <c r="A59" s="40">
        <f t="shared" si="16"/>
        <v>50</v>
      </c>
      <c r="B59" s="58" t="s">
        <v>159</v>
      </c>
      <c r="C59" s="59" t="s">
        <v>158</v>
      </c>
      <c r="D59" s="67"/>
      <c r="E59" s="67"/>
      <c r="F59" s="67"/>
      <c r="G59" s="67"/>
      <c r="H59" s="66"/>
      <c r="I59" s="12"/>
      <c r="J59" s="12"/>
      <c r="K59" s="12"/>
      <c r="L59" s="12"/>
      <c r="M59" s="12"/>
      <c r="N59" s="12"/>
      <c r="O59" s="66"/>
      <c r="P59" s="67"/>
      <c r="Q59" s="67"/>
      <c r="R59" s="67"/>
      <c r="S59" s="67"/>
      <c r="T59" s="12"/>
      <c r="U59" s="12"/>
      <c r="V59" s="66"/>
      <c r="W59" s="12"/>
      <c r="X59" s="11"/>
      <c r="Y59" s="12"/>
      <c r="Z59" s="67"/>
      <c r="AA59" s="67"/>
      <c r="AB59" s="67"/>
      <c r="AC59" s="66"/>
      <c r="AD59" s="67"/>
      <c r="AE59" s="67"/>
      <c r="AF59" s="67"/>
      <c r="AG59" s="67"/>
      <c r="AH59" s="66">
        <f t="shared" si="17"/>
        <v>0</v>
      </c>
      <c r="AI59" s="68">
        <f t="shared" si="14"/>
        <v>0</v>
      </c>
    </row>
    <row r="60" spans="1:35" ht="17.25" customHeight="1" x14ac:dyDescent="0.25">
      <c r="A60" s="40">
        <f t="shared" si="16"/>
        <v>51</v>
      </c>
      <c r="B60" s="58" t="s">
        <v>168</v>
      </c>
      <c r="C60" s="59" t="s">
        <v>13</v>
      </c>
      <c r="D60" s="67"/>
      <c r="E60" s="67"/>
      <c r="F60" s="67"/>
      <c r="G60" s="67"/>
      <c r="H60" s="66"/>
      <c r="I60" s="12"/>
      <c r="J60" s="12"/>
      <c r="K60" s="12"/>
      <c r="L60" s="12"/>
      <c r="M60" s="12"/>
      <c r="N60" s="12"/>
      <c r="O60" s="66"/>
      <c r="P60" s="67"/>
      <c r="Q60" s="67"/>
      <c r="R60" s="67"/>
      <c r="S60" s="67"/>
      <c r="T60" s="12"/>
      <c r="U60" s="12"/>
      <c r="V60" s="66"/>
      <c r="W60" s="12"/>
      <c r="X60" s="11"/>
      <c r="Y60" s="12"/>
      <c r="Z60" s="67"/>
      <c r="AA60" s="67"/>
      <c r="AB60" s="67"/>
      <c r="AC60" s="66"/>
      <c r="AD60" s="67"/>
      <c r="AE60" s="67"/>
      <c r="AF60" s="67"/>
      <c r="AG60" s="67">
        <f>+'Paul Yamani'!L16</f>
        <v>135234</v>
      </c>
      <c r="AH60" s="66">
        <f t="shared" si="17"/>
        <v>135234</v>
      </c>
      <c r="AI60" s="68">
        <f t="shared" si="14"/>
        <v>135234</v>
      </c>
    </row>
    <row r="61" spans="1:35" ht="17.25" customHeight="1" x14ac:dyDescent="0.25">
      <c r="A61" s="40">
        <f t="shared" si="16"/>
        <v>52</v>
      </c>
      <c r="B61" s="58" t="s">
        <v>162</v>
      </c>
      <c r="C61" s="59" t="s">
        <v>163</v>
      </c>
      <c r="D61" s="67"/>
      <c r="E61" s="67"/>
      <c r="F61" s="67"/>
      <c r="G61" s="67"/>
      <c r="H61" s="66">
        <f t="shared" ref="H61" si="18">SUM(D61:G61)</f>
        <v>0</v>
      </c>
      <c r="I61" s="12"/>
      <c r="J61" s="12"/>
      <c r="K61" s="12"/>
      <c r="L61" s="12"/>
      <c r="M61" s="12"/>
      <c r="N61" s="12"/>
      <c r="O61" s="66">
        <f t="shared" ref="O61" si="19">SUM(I61:N61)</f>
        <v>0</v>
      </c>
      <c r="P61" s="67"/>
      <c r="Q61" s="67"/>
      <c r="R61" s="67"/>
      <c r="S61" s="67"/>
      <c r="T61" s="12"/>
      <c r="U61" s="12"/>
      <c r="V61" s="66">
        <f t="shared" ref="V61" si="20">SUM(P61:U61)</f>
        <v>0</v>
      </c>
      <c r="W61" s="67"/>
      <c r="X61" s="12"/>
      <c r="Y61" s="11"/>
      <c r="Z61" s="67"/>
      <c r="AA61" s="67"/>
      <c r="AB61" s="67"/>
      <c r="AC61" s="66">
        <f t="shared" ref="AC61" si="21">SUM(W61:AB61)</f>
        <v>0</v>
      </c>
      <c r="AD61" s="67"/>
      <c r="AE61" s="67"/>
      <c r="AF61" s="67"/>
      <c r="AG61" s="67"/>
      <c r="AH61" s="66">
        <f t="shared" si="17"/>
        <v>0</v>
      </c>
      <c r="AI61" s="68">
        <f t="shared" si="14"/>
        <v>0</v>
      </c>
    </row>
    <row r="62" spans="1:35" ht="17.25" customHeight="1" x14ac:dyDescent="0.25">
      <c r="A62" s="40">
        <f t="shared" si="16"/>
        <v>53</v>
      </c>
      <c r="B62" s="58" t="s">
        <v>188</v>
      </c>
      <c r="C62" s="59" t="s">
        <v>88</v>
      </c>
      <c r="D62" s="67"/>
      <c r="E62" s="67"/>
      <c r="F62" s="67"/>
      <c r="G62" s="67"/>
      <c r="H62" s="66"/>
      <c r="I62" s="12"/>
      <c r="J62" s="12"/>
      <c r="K62" s="12"/>
      <c r="L62" s="12"/>
      <c r="M62" s="12"/>
      <c r="N62" s="12"/>
      <c r="O62" s="66"/>
      <c r="P62" s="67"/>
      <c r="Q62" s="67"/>
      <c r="R62" s="67"/>
      <c r="S62" s="67"/>
      <c r="T62" s="12"/>
      <c r="U62" s="12"/>
      <c r="V62" s="66"/>
      <c r="W62" s="67"/>
      <c r="X62" s="12"/>
      <c r="Y62" s="11"/>
      <c r="Z62" s="67"/>
      <c r="AA62" s="67"/>
      <c r="AB62" s="67"/>
      <c r="AC62" s="66"/>
      <c r="AD62" s="67"/>
      <c r="AE62" s="67"/>
      <c r="AF62" s="67"/>
      <c r="AG62" s="67"/>
      <c r="AH62" s="66">
        <f t="shared" si="17"/>
        <v>0</v>
      </c>
      <c r="AI62" s="68">
        <f t="shared" si="14"/>
        <v>0</v>
      </c>
    </row>
    <row r="63" spans="1:35" ht="17.25" customHeight="1" x14ac:dyDescent="0.25">
      <c r="A63" s="40">
        <f t="shared" si="16"/>
        <v>54</v>
      </c>
      <c r="B63" s="58" t="s">
        <v>190</v>
      </c>
      <c r="C63" s="59" t="s">
        <v>88</v>
      </c>
      <c r="D63" s="67"/>
      <c r="E63" s="67"/>
      <c r="F63" s="67"/>
      <c r="G63" s="67"/>
      <c r="H63" s="66"/>
      <c r="I63" s="12"/>
      <c r="J63" s="12"/>
      <c r="K63" s="12"/>
      <c r="L63" s="12"/>
      <c r="M63" s="12"/>
      <c r="N63" s="12"/>
      <c r="O63" s="66"/>
      <c r="P63" s="67"/>
      <c r="Q63" s="67"/>
      <c r="R63" s="67"/>
      <c r="S63" s="67"/>
      <c r="T63" s="12"/>
      <c r="U63" s="12"/>
      <c r="V63" s="66"/>
      <c r="W63" s="67"/>
      <c r="X63" s="12"/>
      <c r="Y63" s="11"/>
      <c r="Z63" s="67"/>
      <c r="AA63" s="67"/>
      <c r="AB63" s="67"/>
      <c r="AC63" s="66"/>
      <c r="AD63" s="67"/>
      <c r="AE63" s="67"/>
      <c r="AF63" s="67"/>
      <c r="AG63" s="67"/>
      <c r="AH63" s="66">
        <f t="shared" si="17"/>
        <v>0</v>
      </c>
      <c r="AI63" s="68">
        <f t="shared" si="14"/>
        <v>0</v>
      </c>
    </row>
    <row r="64" spans="1:35" ht="17.25" customHeight="1" x14ac:dyDescent="0.25">
      <c r="A64" s="40">
        <f t="shared" si="16"/>
        <v>55</v>
      </c>
      <c r="B64" s="58" t="s">
        <v>199</v>
      </c>
      <c r="C64" s="59" t="s">
        <v>32</v>
      </c>
      <c r="D64" s="67"/>
      <c r="E64" s="67"/>
      <c r="F64" s="67"/>
      <c r="G64" s="67"/>
      <c r="H64" s="66">
        <f t="shared" si="0"/>
        <v>0</v>
      </c>
      <c r="I64" s="12"/>
      <c r="J64" s="12"/>
      <c r="K64" s="12"/>
      <c r="L64" s="12"/>
      <c r="M64" s="12"/>
      <c r="N64" s="12"/>
      <c r="O64" s="66">
        <f t="shared" si="12"/>
        <v>0</v>
      </c>
      <c r="P64" s="67"/>
      <c r="Q64" s="67"/>
      <c r="R64" s="67"/>
      <c r="S64" s="67"/>
      <c r="T64" s="12"/>
      <c r="U64" s="12"/>
      <c r="V64" s="66">
        <f t="shared" si="13"/>
        <v>0</v>
      </c>
      <c r="W64" s="67"/>
      <c r="X64" s="12"/>
      <c r="Y64" s="11"/>
      <c r="Z64" s="67"/>
      <c r="AA64" s="67"/>
      <c r="AB64" s="67"/>
      <c r="AC64" s="66">
        <f t="shared" si="1"/>
        <v>0</v>
      </c>
      <c r="AD64" s="67"/>
      <c r="AE64" s="67"/>
      <c r="AF64" s="67"/>
      <c r="AG64" s="67"/>
      <c r="AH64" s="66">
        <f t="shared" si="17"/>
        <v>0</v>
      </c>
      <c r="AI64" s="68">
        <f t="shared" si="14"/>
        <v>0</v>
      </c>
    </row>
    <row r="65" spans="1:37" ht="17.25" customHeight="1" x14ac:dyDescent="0.25">
      <c r="A65" s="40">
        <f t="shared" si="16"/>
        <v>56</v>
      </c>
      <c r="B65" s="58" t="s">
        <v>194</v>
      </c>
      <c r="C65" s="59" t="s">
        <v>32</v>
      </c>
      <c r="D65" s="67"/>
      <c r="E65" s="67"/>
      <c r="F65" s="67"/>
      <c r="G65" s="67"/>
      <c r="H65" s="66"/>
      <c r="I65" s="12"/>
      <c r="J65" s="12"/>
      <c r="K65" s="12"/>
      <c r="L65" s="12"/>
      <c r="M65" s="12"/>
      <c r="N65" s="12"/>
      <c r="O65" s="66"/>
      <c r="P65" s="67"/>
      <c r="Q65" s="67"/>
      <c r="R65" s="67"/>
      <c r="S65" s="67"/>
      <c r="T65" s="12"/>
      <c r="U65" s="12"/>
      <c r="V65" s="66"/>
      <c r="W65" s="67"/>
      <c r="X65" s="12"/>
      <c r="Y65" s="11"/>
      <c r="Z65" s="67"/>
      <c r="AA65" s="67"/>
      <c r="AB65" s="67"/>
      <c r="AC65" s="66"/>
      <c r="AD65" s="67"/>
      <c r="AE65" s="67"/>
      <c r="AF65" s="67"/>
      <c r="AG65" s="67"/>
      <c r="AH65" s="66">
        <f t="shared" si="17"/>
        <v>0</v>
      </c>
      <c r="AI65" s="68">
        <f t="shared" si="14"/>
        <v>0</v>
      </c>
    </row>
    <row r="66" spans="1:37" ht="17.25" customHeight="1" x14ac:dyDescent="0.25">
      <c r="A66" s="40">
        <f>1+A64</f>
        <v>56</v>
      </c>
      <c r="B66" s="58" t="s">
        <v>184</v>
      </c>
      <c r="C66" s="59" t="s">
        <v>32</v>
      </c>
      <c r="D66" s="67"/>
      <c r="E66" s="67"/>
      <c r="F66" s="67"/>
      <c r="G66" s="67"/>
      <c r="H66" s="66">
        <f t="shared" si="0"/>
        <v>0</v>
      </c>
      <c r="I66" s="12"/>
      <c r="J66" s="12"/>
      <c r="K66" s="12"/>
      <c r="L66" s="12"/>
      <c r="M66" s="12"/>
      <c r="N66" s="12"/>
      <c r="O66" s="66">
        <f t="shared" si="12"/>
        <v>0</v>
      </c>
      <c r="P66" s="67"/>
      <c r="Q66" s="67"/>
      <c r="R66" s="67"/>
      <c r="S66" s="67"/>
      <c r="T66" s="67"/>
      <c r="U66" s="67"/>
      <c r="V66" s="66">
        <f t="shared" si="13"/>
        <v>0</v>
      </c>
      <c r="W66" s="67"/>
      <c r="X66" s="67"/>
      <c r="Y66" s="67"/>
      <c r="Z66" s="67"/>
      <c r="AA66" s="67"/>
      <c r="AB66" s="67"/>
      <c r="AC66" s="66">
        <f t="shared" si="1"/>
        <v>0</v>
      </c>
      <c r="AD66" s="67"/>
      <c r="AE66" s="67"/>
      <c r="AF66" s="67"/>
      <c r="AG66" s="67">
        <v>150295.5</v>
      </c>
      <c r="AH66" s="66">
        <f t="shared" si="2"/>
        <v>150295.5</v>
      </c>
      <c r="AI66" s="68">
        <f t="shared" si="14"/>
        <v>150295.5</v>
      </c>
    </row>
    <row r="67" spans="1:37" ht="16.5" thickBot="1" x14ac:dyDescent="0.3">
      <c r="A67" s="274" t="s">
        <v>79</v>
      </c>
      <c r="B67" s="274"/>
      <c r="C67" s="274"/>
      <c r="D67" s="92"/>
      <c r="E67" s="92"/>
      <c r="F67" s="92"/>
      <c r="G67" s="92">
        <f>SUM(G24:G66)</f>
        <v>0</v>
      </c>
      <c r="H67" s="91">
        <f t="shared" si="0"/>
        <v>0</v>
      </c>
      <c r="I67" s="92">
        <f t="shared" ref="I67:N67" si="22">SUM(I24:I66)</f>
        <v>0</v>
      </c>
      <c r="J67" s="92">
        <f t="shared" si="22"/>
        <v>0</v>
      </c>
      <c r="K67" s="92">
        <f t="shared" si="22"/>
        <v>0</v>
      </c>
      <c r="L67" s="92">
        <f t="shared" si="22"/>
        <v>0</v>
      </c>
      <c r="M67" s="92">
        <f t="shared" si="22"/>
        <v>0</v>
      </c>
      <c r="N67" s="92">
        <f t="shared" si="22"/>
        <v>0</v>
      </c>
      <c r="O67" s="91">
        <f>SUM(I67:N67)</f>
        <v>0</v>
      </c>
      <c r="P67" s="92">
        <f t="shared" ref="P67:U67" si="23">SUM(P24:P66)</f>
        <v>0</v>
      </c>
      <c r="Q67" s="92">
        <f t="shared" si="23"/>
        <v>0</v>
      </c>
      <c r="R67" s="92">
        <f t="shared" si="23"/>
        <v>0</v>
      </c>
      <c r="S67" s="92">
        <f t="shared" si="23"/>
        <v>0</v>
      </c>
      <c r="T67" s="92">
        <f t="shared" si="23"/>
        <v>0</v>
      </c>
      <c r="U67" s="92">
        <f t="shared" si="23"/>
        <v>0</v>
      </c>
      <c r="V67" s="91">
        <f>SUM(P67:U67)</f>
        <v>0</v>
      </c>
      <c r="W67" s="92">
        <f t="shared" ref="W67:AB67" si="24">SUM(W24:W66)</f>
        <v>0</v>
      </c>
      <c r="X67" s="92">
        <f t="shared" si="24"/>
        <v>0</v>
      </c>
      <c r="Y67" s="92">
        <f t="shared" si="24"/>
        <v>0</v>
      </c>
      <c r="Z67" s="92">
        <f t="shared" si="24"/>
        <v>0</v>
      </c>
      <c r="AA67" s="92">
        <f t="shared" si="24"/>
        <v>0</v>
      </c>
      <c r="AB67" s="92">
        <f t="shared" si="24"/>
        <v>0</v>
      </c>
      <c r="AC67" s="91">
        <f t="shared" si="1"/>
        <v>0</v>
      </c>
      <c r="AD67" s="92">
        <f>SUM(AD24:AD66)</f>
        <v>0</v>
      </c>
      <c r="AE67" s="92">
        <f t="shared" ref="AE67:AF67" si="25">SUM(AE24:AE66)</f>
        <v>0</v>
      </c>
      <c r="AF67" s="92">
        <f t="shared" si="25"/>
        <v>0</v>
      </c>
      <c r="AG67" s="92" t="e">
        <f>SUM(AG24:AG66)</f>
        <v>#REF!</v>
      </c>
      <c r="AH67" s="66" t="e">
        <f>SUM(AD67:AG67)</f>
        <v>#REF!</v>
      </c>
      <c r="AI67" s="70" t="e">
        <f>SUM(AI24:AI66)</f>
        <v>#REF!</v>
      </c>
    </row>
    <row r="68" spans="1:37" ht="29.25" customHeight="1" thickTop="1" x14ac:dyDescent="0.25">
      <c r="A68" s="269" t="s">
        <v>78</v>
      </c>
      <c r="B68" s="269"/>
      <c r="C68" s="269"/>
      <c r="D68" s="71">
        <f>+D23+D67</f>
        <v>0</v>
      </c>
      <c r="E68" s="71">
        <f>+E23+E67</f>
        <v>0</v>
      </c>
      <c r="F68" s="71">
        <f>+F23+F67</f>
        <v>0</v>
      </c>
      <c r="G68" s="71">
        <f>+G23+G67</f>
        <v>0</v>
      </c>
      <c r="H68" s="66">
        <f t="shared" si="0"/>
        <v>0</v>
      </c>
      <c r="I68" s="71">
        <f t="shared" ref="I68:N68" si="26">+I23+I67</f>
        <v>0</v>
      </c>
      <c r="J68" s="71">
        <f t="shared" si="26"/>
        <v>0</v>
      </c>
      <c r="K68" s="71">
        <f t="shared" si="26"/>
        <v>0</v>
      </c>
      <c r="L68" s="71">
        <f t="shared" si="26"/>
        <v>0</v>
      </c>
      <c r="M68" s="71">
        <f t="shared" si="26"/>
        <v>0</v>
      </c>
      <c r="N68" s="71">
        <f t="shared" si="26"/>
        <v>0</v>
      </c>
      <c r="O68" s="66">
        <f t="shared" si="4"/>
        <v>0</v>
      </c>
      <c r="P68" s="71">
        <f t="shared" ref="P68:U68" si="27">+P23+P67</f>
        <v>0</v>
      </c>
      <c r="Q68" s="71">
        <f t="shared" si="27"/>
        <v>0</v>
      </c>
      <c r="R68" s="71">
        <f t="shared" si="27"/>
        <v>0</v>
      </c>
      <c r="S68" s="71">
        <f t="shared" si="27"/>
        <v>0</v>
      </c>
      <c r="T68" s="71">
        <f t="shared" si="27"/>
        <v>0</v>
      </c>
      <c r="U68" s="71">
        <f t="shared" si="27"/>
        <v>0</v>
      </c>
      <c r="V68" s="66">
        <f>SUM(P68:U68)</f>
        <v>0</v>
      </c>
      <c r="W68" s="71">
        <f t="shared" ref="W68:AB68" si="28">+W23+W67</f>
        <v>0</v>
      </c>
      <c r="X68" s="71">
        <f t="shared" si="28"/>
        <v>0</v>
      </c>
      <c r="Y68" s="71">
        <f t="shared" si="28"/>
        <v>0</v>
      </c>
      <c r="Z68" s="71">
        <f t="shared" si="28"/>
        <v>0</v>
      </c>
      <c r="AA68" s="71">
        <f t="shared" si="28"/>
        <v>0</v>
      </c>
      <c r="AB68" s="71">
        <f t="shared" si="28"/>
        <v>0</v>
      </c>
      <c r="AC68" s="66">
        <f t="shared" si="1"/>
        <v>0</v>
      </c>
      <c r="AD68" s="71">
        <f>+AD23+AD67</f>
        <v>0</v>
      </c>
      <c r="AE68" s="71"/>
      <c r="AF68" s="71"/>
      <c r="AG68" s="71"/>
      <c r="AH68" s="66">
        <f>SUM(AD68:AG68)</f>
        <v>0</v>
      </c>
      <c r="AI68" s="71" t="e">
        <f>SUM(AI67,AI23)</f>
        <v>#REF!</v>
      </c>
    </row>
    <row r="69" spans="1:37" x14ac:dyDescent="0.25">
      <c r="A69" s="37"/>
      <c r="B69" s="33"/>
      <c r="C69" s="33"/>
      <c r="AK69" s="49"/>
    </row>
    <row r="70" spans="1:37" x14ac:dyDescent="0.25">
      <c r="A70" s="37"/>
      <c r="B70" s="34"/>
      <c r="C70" s="34"/>
      <c r="AI70" s="49"/>
    </row>
    <row r="71" spans="1:37" x14ac:dyDescent="0.25">
      <c r="A71" s="37"/>
      <c r="B71" s="34"/>
      <c r="C71" s="34"/>
      <c r="M71" s="49"/>
      <c r="N71" s="100"/>
    </row>
    <row r="72" spans="1:37" x14ac:dyDescent="0.25">
      <c r="M72" s="49"/>
      <c r="N72" s="100"/>
      <c r="AI72" s="49"/>
      <c r="AK72" s="49"/>
    </row>
    <row r="73" spans="1:37" x14ac:dyDescent="0.25">
      <c r="M73" s="49"/>
      <c r="N73" s="101"/>
    </row>
    <row r="74" spans="1:37" x14ac:dyDescent="0.25">
      <c r="M74" s="49"/>
      <c r="N74" s="101"/>
    </row>
    <row r="75" spans="1:37" x14ac:dyDescent="0.25">
      <c r="M75" s="49"/>
      <c r="N75" s="101"/>
    </row>
  </sheetData>
  <mergeCells count="7">
    <mergeCell ref="A68:C68"/>
    <mergeCell ref="A6:A7"/>
    <mergeCell ref="B6:B7"/>
    <mergeCell ref="C6:C7"/>
    <mergeCell ref="AI6:AI7"/>
    <mergeCell ref="A23:C23"/>
    <mergeCell ref="A67:C67"/>
  </mergeCells>
  <pageMargins left="0.7" right="0.7" top="0.75" bottom="0.75" header="0.3" footer="0.3"/>
  <pageSetup paperSize="9" scale="24" orientation="landscape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/>
  <dimension ref="A1:M65"/>
  <sheetViews>
    <sheetView topLeftCell="A43" workbookViewId="0">
      <selection activeCell="M59" sqref="M59"/>
    </sheetView>
  </sheetViews>
  <sheetFormatPr baseColWidth="10" defaultColWidth="11.42578125" defaultRowHeight="15.75" x14ac:dyDescent="0.25"/>
  <cols>
    <col min="1" max="1" width="4.28515625" style="1" customWidth="1"/>
    <col min="2" max="2" width="12.140625" style="1" customWidth="1"/>
    <col min="3" max="3" width="12" style="1" customWidth="1"/>
    <col min="4" max="4" width="14.7109375" style="1" customWidth="1"/>
    <col min="5" max="5" width="14" style="1" customWidth="1"/>
    <col min="6" max="6" width="12.85546875" style="1" customWidth="1"/>
    <col min="7" max="7" width="14.8554687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4.2851562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35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74333570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13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16">
        <v>80000</v>
      </c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4">
        <v>230328</v>
      </c>
      <c r="C11" s="14" t="s">
        <v>59</v>
      </c>
      <c r="D11" s="22">
        <v>45010</v>
      </c>
      <c r="E11" s="12">
        <v>9977.9</v>
      </c>
      <c r="F11" s="12"/>
      <c r="G11" s="11"/>
      <c r="H11" s="12">
        <f>+E11-F11</f>
        <v>9977.9</v>
      </c>
      <c r="I11" s="10"/>
      <c r="J11" s="21"/>
      <c r="K11" s="5"/>
    </row>
    <row r="12" spans="1:11" x14ac:dyDescent="0.25">
      <c r="A12" s="5"/>
      <c r="B12" s="14">
        <v>230511</v>
      </c>
      <c r="C12" s="14">
        <v>294</v>
      </c>
      <c r="D12" s="22">
        <v>45054</v>
      </c>
      <c r="E12" s="12">
        <v>39134</v>
      </c>
      <c r="F12" s="12"/>
      <c r="G12" s="11"/>
      <c r="H12" s="12">
        <f>+H11+E12-F12</f>
        <v>49111.9</v>
      </c>
      <c r="I12" s="10"/>
      <c r="J12" s="15"/>
      <c r="K12" s="5"/>
    </row>
    <row r="13" spans="1:11" x14ac:dyDescent="0.25">
      <c r="A13" s="5"/>
      <c r="B13" s="14">
        <v>230644</v>
      </c>
      <c r="C13" s="14">
        <v>370</v>
      </c>
      <c r="D13" s="22">
        <v>45106</v>
      </c>
      <c r="E13" s="12">
        <v>33574</v>
      </c>
      <c r="F13" s="12"/>
      <c r="G13" s="11"/>
      <c r="H13" s="12">
        <f t="shared" ref="H13:H18" si="0">+H12+E13-F13</f>
        <v>82685.899999999994</v>
      </c>
      <c r="I13" s="10"/>
      <c r="J13" s="15"/>
      <c r="K13" s="5"/>
    </row>
    <row r="14" spans="1:11" x14ac:dyDescent="0.25">
      <c r="A14" s="5"/>
      <c r="B14" s="14"/>
      <c r="C14" s="14"/>
      <c r="D14" s="22"/>
      <c r="E14" s="12"/>
      <c r="F14" s="12"/>
      <c r="G14" s="11"/>
      <c r="H14" s="12">
        <f t="shared" si="0"/>
        <v>82685.899999999994</v>
      </c>
      <c r="I14" s="10"/>
      <c r="J14" s="10"/>
      <c r="K14" s="5"/>
    </row>
    <row r="15" spans="1:11" x14ac:dyDescent="0.25">
      <c r="A15" s="5"/>
      <c r="B15" s="23"/>
      <c r="C15" s="23"/>
      <c r="D15" s="24"/>
      <c r="E15" s="19"/>
      <c r="F15" s="12"/>
      <c r="G15" s="11"/>
      <c r="H15" s="12">
        <f t="shared" si="0"/>
        <v>82685.899999999994</v>
      </c>
      <c r="I15" s="10"/>
      <c r="J15" s="10"/>
      <c r="K15" s="5"/>
    </row>
    <row r="16" spans="1:11" x14ac:dyDescent="0.25">
      <c r="A16" s="5"/>
      <c r="B16" s="23"/>
      <c r="C16" s="23"/>
      <c r="D16" s="24"/>
      <c r="E16" s="19"/>
      <c r="F16" s="12"/>
      <c r="G16" s="11"/>
      <c r="H16" s="12">
        <f t="shared" si="0"/>
        <v>82685.899999999994</v>
      </c>
      <c r="I16" s="10"/>
      <c r="J16" s="10"/>
      <c r="K16" s="5"/>
    </row>
    <row r="17" spans="1:11" x14ac:dyDescent="0.25">
      <c r="A17" s="5"/>
      <c r="B17" s="23"/>
      <c r="C17" s="23"/>
      <c r="D17" s="24"/>
      <c r="E17" s="19"/>
      <c r="F17" s="12"/>
      <c r="G17" s="11"/>
      <c r="H17" s="12">
        <f t="shared" si="0"/>
        <v>82685.899999999994</v>
      </c>
      <c r="I17" s="10"/>
      <c r="J17" s="10"/>
      <c r="K17" s="5"/>
    </row>
    <row r="18" spans="1:11" ht="16.5" thickBot="1" x14ac:dyDescent="0.3">
      <c r="A18" s="5"/>
      <c r="B18" s="23"/>
      <c r="C18" s="23"/>
      <c r="D18" s="24"/>
      <c r="E18" s="19"/>
      <c r="F18" s="12"/>
      <c r="G18" s="11"/>
      <c r="H18" s="27">
        <f t="shared" si="0"/>
        <v>82685.899999999994</v>
      </c>
      <c r="I18" s="10"/>
      <c r="J18" s="10"/>
      <c r="K18" s="5"/>
    </row>
    <row r="19" spans="1:11" ht="17.25" thickTop="1" thickBot="1" x14ac:dyDescent="0.3">
      <c r="A19" s="5"/>
      <c r="B19" s="268" t="s">
        <v>55</v>
      </c>
      <c r="C19" s="268"/>
      <c r="D19" s="268"/>
      <c r="E19" s="20">
        <f>SUM(E11:E18)</f>
        <v>82685.899999999994</v>
      </c>
      <c r="F19" s="25">
        <f>SUM(F11:F18)</f>
        <v>0</v>
      </c>
      <c r="G19" s="5"/>
      <c r="H19" s="5"/>
      <c r="I19" s="5"/>
      <c r="J19" s="5"/>
      <c r="K19" s="5"/>
    </row>
    <row r="20" spans="1:11" ht="16.5" thickBot="1" x14ac:dyDescent="0.3">
      <c r="A20" s="5"/>
      <c r="B20" s="5"/>
      <c r="C20" s="5"/>
      <c r="D20" s="5"/>
      <c r="E20" s="5"/>
      <c r="F20" s="26">
        <f>+E19-F19</f>
        <v>82685.899999999994</v>
      </c>
      <c r="G20" s="5"/>
      <c r="H20" s="5"/>
      <c r="I20" s="5"/>
      <c r="J20" s="5"/>
      <c r="K20" s="5"/>
    </row>
    <row r="21" spans="1:11" x14ac:dyDescent="0.25">
      <c r="A21" s="5"/>
      <c r="B21" s="5"/>
      <c r="C21" s="5"/>
      <c r="D21" s="5"/>
      <c r="E21" s="5"/>
      <c r="F21" s="5"/>
      <c r="G21" s="5"/>
      <c r="H21" s="16"/>
      <c r="I21" s="16"/>
      <c r="J21" s="5"/>
      <c r="K21" s="5"/>
    </row>
    <row r="22" spans="1:11" x14ac:dyDescent="0.25">
      <c r="A22" s="5"/>
      <c r="B22" s="5"/>
      <c r="C22" s="5"/>
      <c r="D22" s="5"/>
      <c r="E22" s="5"/>
      <c r="F22" s="5"/>
      <c r="G22" s="5"/>
      <c r="H22" s="16"/>
      <c r="I22" s="5"/>
      <c r="J22" s="5"/>
      <c r="K22" s="5"/>
    </row>
    <row r="23" spans="1:11" x14ac:dyDescent="0.25">
      <c r="A23" s="5"/>
      <c r="B23" s="7"/>
      <c r="C23" s="8" t="s">
        <v>49</v>
      </c>
      <c r="D23" s="5" t="s">
        <v>75</v>
      </c>
      <c r="E23" s="9"/>
      <c r="F23" s="9"/>
      <c r="G23" s="9"/>
      <c r="H23" s="9"/>
      <c r="I23" s="9"/>
      <c r="J23" s="9"/>
      <c r="K23" s="5"/>
    </row>
    <row r="24" spans="1:11" x14ac:dyDescent="0.25">
      <c r="A24" s="5"/>
      <c r="B24" s="7"/>
      <c r="C24" s="8" t="s">
        <v>45</v>
      </c>
      <c r="D24" s="13"/>
      <c r="E24" s="9"/>
      <c r="F24" s="9"/>
      <c r="G24" s="9"/>
      <c r="H24" s="9"/>
      <c r="I24" s="9"/>
      <c r="J24" s="9"/>
      <c r="K24" s="5"/>
    </row>
    <row r="25" spans="1:11" x14ac:dyDescent="0.25">
      <c r="A25" s="5"/>
      <c r="B25" s="7"/>
      <c r="C25" s="8" t="s">
        <v>48</v>
      </c>
      <c r="D25" s="5" t="s">
        <v>13</v>
      </c>
      <c r="E25" s="9"/>
      <c r="F25" s="9"/>
      <c r="G25" s="9"/>
      <c r="H25" s="9"/>
      <c r="I25" s="9"/>
      <c r="J25" s="9"/>
      <c r="K25" s="5"/>
    </row>
    <row r="26" spans="1:11" x14ac:dyDescent="0.25">
      <c r="A26" s="5"/>
      <c r="B26" s="7"/>
      <c r="C26" s="8" t="s">
        <v>47</v>
      </c>
      <c r="D26" s="16"/>
      <c r="E26" s="9"/>
      <c r="F26" s="9"/>
      <c r="G26" s="9"/>
      <c r="H26" s="9"/>
      <c r="I26" s="9"/>
      <c r="J26" s="9"/>
      <c r="K26" s="5"/>
    </row>
    <row r="27" spans="1:11" x14ac:dyDescent="0.25">
      <c r="A27" s="5"/>
      <c r="B27" s="9"/>
      <c r="C27" s="9"/>
      <c r="D27" s="9"/>
      <c r="E27" s="9"/>
      <c r="F27" s="9"/>
      <c r="G27" s="9"/>
      <c r="H27" s="9"/>
      <c r="I27" s="9"/>
      <c r="J27" s="9"/>
      <c r="K27" s="5"/>
    </row>
    <row r="28" spans="1:11" s="2" customFormat="1" ht="42" customHeight="1" x14ac:dyDescent="0.25">
      <c r="A28" s="6"/>
      <c r="B28" s="3" t="s">
        <v>0</v>
      </c>
      <c r="C28" s="3" t="s">
        <v>38</v>
      </c>
      <c r="D28" s="3" t="s">
        <v>43</v>
      </c>
      <c r="E28" s="3" t="s">
        <v>44</v>
      </c>
      <c r="F28" s="4" t="s">
        <v>36</v>
      </c>
      <c r="G28" s="4" t="s">
        <v>37</v>
      </c>
      <c r="H28" s="3" t="s">
        <v>46</v>
      </c>
      <c r="I28" s="3" t="s">
        <v>3</v>
      </c>
      <c r="J28" s="3" t="s">
        <v>4</v>
      </c>
      <c r="K28" s="6"/>
    </row>
    <row r="29" spans="1:11" x14ac:dyDescent="0.25">
      <c r="A29" s="5"/>
      <c r="B29" s="14">
        <v>230903</v>
      </c>
      <c r="C29" s="14">
        <v>479</v>
      </c>
      <c r="D29" s="22">
        <v>45173</v>
      </c>
      <c r="E29" s="12">
        <v>33522</v>
      </c>
      <c r="F29" s="12">
        <v>20000</v>
      </c>
      <c r="G29" s="11">
        <v>45171</v>
      </c>
      <c r="H29" s="12">
        <f>+E29-F29</f>
        <v>13522</v>
      </c>
      <c r="I29" s="10"/>
      <c r="J29" s="21"/>
      <c r="K29" s="5"/>
    </row>
    <row r="30" spans="1:11" x14ac:dyDescent="0.25">
      <c r="A30" s="5"/>
      <c r="B30" s="14">
        <v>230923</v>
      </c>
      <c r="C30" s="14">
        <v>505</v>
      </c>
      <c r="D30" s="22">
        <v>45178</v>
      </c>
      <c r="E30" s="12">
        <v>62755</v>
      </c>
      <c r="F30" s="12">
        <v>13522</v>
      </c>
      <c r="G30" s="11">
        <v>45175</v>
      </c>
      <c r="H30" s="12">
        <f>+H29+E30-F30</f>
        <v>62755</v>
      </c>
      <c r="I30" s="10"/>
      <c r="J30" s="15"/>
      <c r="K30" s="5"/>
    </row>
    <row r="31" spans="1:11" x14ac:dyDescent="0.25">
      <c r="A31" s="5"/>
      <c r="B31" s="14">
        <v>230958</v>
      </c>
      <c r="C31" s="14">
        <v>538</v>
      </c>
      <c r="D31" s="22">
        <v>45194</v>
      </c>
      <c r="E31" s="12">
        <v>30904.799999999999</v>
      </c>
      <c r="F31" s="12">
        <v>25000</v>
      </c>
      <c r="G31" s="11">
        <v>45178</v>
      </c>
      <c r="H31" s="12">
        <f t="shared" ref="H31:H62" si="1">+H30+E31-F31</f>
        <v>68659.8</v>
      </c>
      <c r="I31" s="10"/>
      <c r="J31" s="15"/>
      <c r="K31" s="5"/>
    </row>
    <row r="32" spans="1:11" x14ac:dyDescent="0.25">
      <c r="A32" s="5"/>
      <c r="B32" s="14">
        <v>231058</v>
      </c>
      <c r="C32" s="14">
        <v>618</v>
      </c>
      <c r="D32" s="22">
        <v>45229</v>
      </c>
      <c r="E32" s="12">
        <v>71602.8</v>
      </c>
      <c r="F32" s="12">
        <v>37755</v>
      </c>
      <c r="G32" s="11">
        <v>45182</v>
      </c>
      <c r="H32" s="12">
        <f t="shared" si="1"/>
        <v>102507.6</v>
      </c>
      <c r="I32" s="10"/>
      <c r="J32" s="10"/>
      <c r="K32" s="5"/>
    </row>
    <row r="33" spans="1:13" x14ac:dyDescent="0.25">
      <c r="A33" s="5"/>
      <c r="B33" s="14"/>
      <c r="C33" s="14"/>
      <c r="D33" s="22"/>
      <c r="E33" s="12"/>
      <c r="F33" s="12">
        <v>14224.5</v>
      </c>
      <c r="G33" s="11">
        <v>45194</v>
      </c>
      <c r="H33" s="12">
        <f t="shared" si="1"/>
        <v>88283.1</v>
      </c>
      <c r="I33" s="10"/>
      <c r="J33" s="10"/>
      <c r="K33" s="5"/>
    </row>
    <row r="34" spans="1:13" x14ac:dyDescent="0.25">
      <c r="A34" s="5"/>
      <c r="B34" s="23"/>
      <c r="C34" s="23"/>
      <c r="D34" s="24"/>
      <c r="E34" s="19"/>
      <c r="F34" s="12">
        <v>16680.3</v>
      </c>
      <c r="G34" s="11">
        <v>45197</v>
      </c>
      <c r="H34" s="12">
        <f t="shared" si="1"/>
        <v>71602.8</v>
      </c>
      <c r="I34" s="10"/>
      <c r="J34" s="10"/>
      <c r="K34" s="5"/>
    </row>
    <row r="35" spans="1:13" x14ac:dyDescent="0.25">
      <c r="A35" s="5"/>
      <c r="B35" s="23"/>
      <c r="C35" s="23"/>
      <c r="D35" s="24"/>
      <c r="E35" s="19"/>
      <c r="F35" s="12">
        <v>50000</v>
      </c>
      <c r="G35" s="11">
        <v>45230</v>
      </c>
      <c r="H35" s="12">
        <f t="shared" si="1"/>
        <v>21602.800000000003</v>
      </c>
      <c r="I35" s="10"/>
      <c r="J35" s="10"/>
      <c r="K35" s="5"/>
    </row>
    <row r="36" spans="1:13" x14ac:dyDescent="0.25">
      <c r="A36" s="5"/>
      <c r="B36" s="23"/>
      <c r="C36" s="23"/>
      <c r="D36" s="24"/>
      <c r="E36" s="19"/>
      <c r="F36" s="12">
        <v>21600.799999999999</v>
      </c>
      <c r="G36" s="11">
        <v>45246</v>
      </c>
      <c r="H36" s="12">
        <f t="shared" si="1"/>
        <v>2.000000000003638</v>
      </c>
      <c r="I36" s="10"/>
      <c r="J36" s="10"/>
      <c r="K36" s="5"/>
    </row>
    <row r="37" spans="1:13" x14ac:dyDescent="0.25">
      <c r="A37" s="5"/>
      <c r="B37" s="23">
        <v>240243</v>
      </c>
      <c r="C37" s="23">
        <v>863</v>
      </c>
      <c r="D37" s="24">
        <v>45346</v>
      </c>
      <c r="E37" s="19">
        <v>26400</v>
      </c>
      <c r="F37" s="19">
        <v>26400</v>
      </c>
      <c r="G37" s="11">
        <v>45348</v>
      </c>
      <c r="H37" s="12">
        <f t="shared" si="1"/>
        <v>2.000000000003638</v>
      </c>
      <c r="I37" s="10"/>
      <c r="J37" s="10"/>
      <c r="K37" s="5"/>
    </row>
    <row r="38" spans="1:13" ht="16.5" thickBot="1" x14ac:dyDescent="0.3">
      <c r="A38" s="5"/>
      <c r="B38" s="83">
        <v>240437</v>
      </c>
      <c r="C38" s="83">
        <v>981</v>
      </c>
      <c r="D38" s="84">
        <v>45399</v>
      </c>
      <c r="E38" s="85">
        <v>36800</v>
      </c>
      <c r="F38" s="85">
        <v>36800</v>
      </c>
      <c r="G38" s="84">
        <v>45399</v>
      </c>
      <c r="H38" s="85">
        <f t="shared" si="1"/>
        <v>2</v>
      </c>
      <c r="I38" s="10"/>
      <c r="J38" s="10"/>
      <c r="K38" s="5"/>
    </row>
    <row r="39" spans="1:13" ht="16.5" thickTop="1" x14ac:dyDescent="0.25">
      <c r="A39" s="5"/>
      <c r="B39" s="118">
        <v>240736</v>
      </c>
      <c r="C39" s="118">
        <v>1180</v>
      </c>
      <c r="D39" s="117">
        <v>45492</v>
      </c>
      <c r="E39" s="80">
        <v>36420</v>
      </c>
      <c r="F39" s="108">
        <v>36420</v>
      </c>
      <c r="G39" s="81">
        <v>45492</v>
      </c>
      <c r="H39" s="80">
        <f>+H38+E39-F39</f>
        <v>2</v>
      </c>
      <c r="I39" s="10"/>
      <c r="J39" s="10" t="s">
        <v>139</v>
      </c>
      <c r="K39" s="5"/>
      <c r="L39" s="1" t="s">
        <v>136</v>
      </c>
    </row>
    <row r="40" spans="1:13" x14ac:dyDescent="0.25">
      <c r="A40" s="5"/>
      <c r="B40" s="14">
        <v>240751</v>
      </c>
      <c r="C40" s="14">
        <v>1195</v>
      </c>
      <c r="D40" s="22">
        <v>45498</v>
      </c>
      <c r="E40" s="12">
        <v>41646</v>
      </c>
      <c r="F40" s="108">
        <v>37930</v>
      </c>
      <c r="G40" s="81">
        <v>45498</v>
      </c>
      <c r="H40" s="80">
        <f>+H39+E40-F40</f>
        <v>3718</v>
      </c>
      <c r="I40" s="10"/>
      <c r="J40" s="10" t="s">
        <v>137</v>
      </c>
      <c r="K40" s="5"/>
      <c r="L40" s="1" t="s">
        <v>135</v>
      </c>
    </row>
    <row r="41" spans="1:13" ht="16.5" thickBot="1" x14ac:dyDescent="0.3">
      <c r="A41" s="5"/>
      <c r="B41" s="83"/>
      <c r="C41" s="83"/>
      <c r="D41" s="84"/>
      <c r="E41" s="85"/>
      <c r="F41" s="131">
        <v>3650</v>
      </c>
      <c r="G41" s="135">
        <v>45498</v>
      </c>
      <c r="H41" s="131">
        <f>+H40+E41-F41</f>
        <v>68</v>
      </c>
      <c r="I41" s="87"/>
      <c r="J41" s="87" t="s">
        <v>138</v>
      </c>
      <c r="K41" s="5"/>
      <c r="L41" s="1" t="s">
        <v>135</v>
      </c>
      <c r="M41" s="49">
        <f>SUM(F39:F41)</f>
        <v>78000</v>
      </c>
    </row>
    <row r="42" spans="1:13" ht="16.5" thickTop="1" x14ac:dyDescent="0.25">
      <c r="A42" s="5"/>
      <c r="B42" s="133">
        <v>240839</v>
      </c>
      <c r="C42" s="133">
        <v>1243</v>
      </c>
      <c r="D42" s="134">
        <v>45532</v>
      </c>
      <c r="E42" s="128">
        <v>38219</v>
      </c>
      <c r="F42" s="128">
        <v>23300</v>
      </c>
      <c r="G42" s="129">
        <v>45532</v>
      </c>
      <c r="H42" s="128">
        <f t="shared" ref="H42:H61" si="2">+H41+E42-F42</f>
        <v>14987</v>
      </c>
      <c r="I42" s="130"/>
      <c r="J42" s="130"/>
      <c r="K42" s="5"/>
    </row>
    <row r="43" spans="1:13" ht="16.5" thickBot="1" x14ac:dyDescent="0.3">
      <c r="A43" s="5"/>
      <c r="B43" s="83"/>
      <c r="C43" s="83"/>
      <c r="D43" s="84"/>
      <c r="E43" s="85"/>
      <c r="F43" s="131">
        <v>20000</v>
      </c>
      <c r="G43" s="135">
        <v>45532</v>
      </c>
      <c r="H43" s="131">
        <f t="shared" si="2"/>
        <v>-5013</v>
      </c>
      <c r="I43" s="87"/>
      <c r="J43" s="87"/>
      <c r="K43" s="5"/>
      <c r="M43" s="49">
        <f>SUM(F42:F43)</f>
        <v>43300</v>
      </c>
    </row>
    <row r="44" spans="1:13" ht="16.5" thickTop="1" x14ac:dyDescent="0.25">
      <c r="A44" s="5"/>
      <c r="B44" s="118">
        <v>240905</v>
      </c>
      <c r="C44" s="118">
        <v>1260</v>
      </c>
      <c r="D44" s="117">
        <v>45539</v>
      </c>
      <c r="E44" s="80">
        <v>53566</v>
      </c>
      <c r="F44" s="80">
        <v>30000</v>
      </c>
      <c r="G44" s="81">
        <v>45539</v>
      </c>
      <c r="H44" s="80">
        <f t="shared" si="2"/>
        <v>18553</v>
      </c>
      <c r="I44" s="82"/>
      <c r="J44" s="82"/>
      <c r="K44" s="5"/>
    </row>
    <row r="45" spans="1:13" x14ac:dyDescent="0.25">
      <c r="A45" s="5"/>
      <c r="B45" s="14"/>
      <c r="C45" s="14"/>
      <c r="D45" s="22"/>
      <c r="E45" s="12"/>
      <c r="F45" s="80">
        <v>10000</v>
      </c>
      <c r="G45" s="81">
        <v>45539</v>
      </c>
      <c r="H45" s="80">
        <f t="shared" si="2"/>
        <v>8553</v>
      </c>
      <c r="I45" s="10"/>
      <c r="J45" s="10"/>
      <c r="K45" s="5"/>
    </row>
    <row r="46" spans="1:13" ht="16.5" thickBot="1" x14ac:dyDescent="0.3">
      <c r="A46" s="5"/>
      <c r="B46" s="83"/>
      <c r="C46" s="83"/>
      <c r="D46" s="84"/>
      <c r="E46" s="85"/>
      <c r="F46" s="85">
        <v>8485</v>
      </c>
      <c r="G46" s="86">
        <v>45540</v>
      </c>
      <c r="H46" s="85">
        <f t="shared" si="2"/>
        <v>68</v>
      </c>
      <c r="I46" s="87"/>
      <c r="J46" s="87"/>
      <c r="K46" s="5"/>
      <c r="M46" s="49">
        <f>SUM(F44:F46)</f>
        <v>48485</v>
      </c>
    </row>
    <row r="47" spans="1:13" ht="16.5" thickTop="1" x14ac:dyDescent="0.25">
      <c r="A47" s="5"/>
      <c r="B47" s="133">
        <v>241015</v>
      </c>
      <c r="C47" s="133">
        <v>1346</v>
      </c>
      <c r="D47" s="134">
        <v>45572</v>
      </c>
      <c r="E47" s="128">
        <v>42940</v>
      </c>
      <c r="F47" s="128">
        <v>20940</v>
      </c>
      <c r="G47" s="129">
        <v>45572</v>
      </c>
      <c r="H47" s="128">
        <f t="shared" si="2"/>
        <v>22068</v>
      </c>
      <c r="I47" s="130"/>
      <c r="J47" s="130"/>
      <c r="K47" s="5"/>
    </row>
    <row r="48" spans="1:13" ht="16.5" thickBot="1" x14ac:dyDescent="0.3">
      <c r="A48" s="5"/>
      <c r="B48" s="83"/>
      <c r="C48" s="83"/>
      <c r="D48" s="84"/>
      <c r="E48" s="85"/>
      <c r="F48" s="131">
        <v>22000</v>
      </c>
      <c r="G48" s="135">
        <v>45572</v>
      </c>
      <c r="H48" s="131">
        <f t="shared" si="2"/>
        <v>68</v>
      </c>
      <c r="I48" s="87"/>
      <c r="J48" s="87"/>
      <c r="K48" s="5"/>
      <c r="M48" s="49">
        <f>+F47+F48</f>
        <v>42940</v>
      </c>
    </row>
    <row r="49" spans="1:13" ht="16.5" thickTop="1" x14ac:dyDescent="0.25">
      <c r="A49" s="5"/>
      <c r="B49" s="118">
        <v>241121</v>
      </c>
      <c r="C49" s="118">
        <v>1423</v>
      </c>
      <c r="D49" s="117">
        <v>45615</v>
      </c>
      <c r="E49" s="80">
        <v>50839</v>
      </c>
      <c r="F49" s="80">
        <v>23000</v>
      </c>
      <c r="G49" s="81">
        <v>45615</v>
      </c>
      <c r="H49" s="80">
        <f t="shared" si="2"/>
        <v>27907</v>
      </c>
      <c r="I49" s="82"/>
      <c r="J49" s="82" t="s">
        <v>149</v>
      </c>
      <c r="K49" s="5"/>
      <c r="L49" s="1" t="s">
        <v>136</v>
      </c>
    </row>
    <row r="50" spans="1:13" x14ac:dyDescent="0.25">
      <c r="A50" s="5"/>
      <c r="B50" s="14"/>
      <c r="C50" s="14"/>
      <c r="D50" s="22"/>
      <c r="E50" s="12"/>
      <c r="F50" s="80">
        <v>22000</v>
      </c>
      <c r="G50" s="81">
        <v>45615</v>
      </c>
      <c r="H50" s="80">
        <f t="shared" si="2"/>
        <v>5907</v>
      </c>
      <c r="I50" s="10"/>
      <c r="J50" s="10" t="s">
        <v>139</v>
      </c>
      <c r="K50" s="5"/>
      <c r="L50" s="1" t="s">
        <v>136</v>
      </c>
    </row>
    <row r="51" spans="1:13" x14ac:dyDescent="0.25">
      <c r="A51" s="5"/>
      <c r="B51" s="14"/>
      <c r="C51" s="14"/>
      <c r="D51" s="22"/>
      <c r="E51" s="12"/>
      <c r="F51" s="80">
        <v>4000</v>
      </c>
      <c r="G51" s="81">
        <v>45616</v>
      </c>
      <c r="H51" s="80">
        <f t="shared" si="2"/>
        <v>1907</v>
      </c>
      <c r="I51" s="10"/>
      <c r="J51" s="10" t="s">
        <v>149</v>
      </c>
      <c r="K51" s="5"/>
      <c r="L51" s="1" t="s">
        <v>135</v>
      </c>
    </row>
    <row r="52" spans="1:13" ht="16.5" thickBot="1" x14ac:dyDescent="0.3">
      <c r="A52" s="5"/>
      <c r="B52" s="83"/>
      <c r="C52" s="83"/>
      <c r="D52" s="84"/>
      <c r="E52" s="85"/>
      <c r="F52" s="85">
        <v>1839</v>
      </c>
      <c r="G52" s="86">
        <v>45616</v>
      </c>
      <c r="H52" s="85">
        <f t="shared" si="2"/>
        <v>68</v>
      </c>
      <c r="I52" s="87"/>
      <c r="J52" s="87" t="s">
        <v>149</v>
      </c>
      <c r="K52" s="5"/>
      <c r="L52" s="1" t="s">
        <v>135</v>
      </c>
      <c r="M52" s="49">
        <f>SUM(F49:F52)</f>
        <v>50839</v>
      </c>
    </row>
    <row r="53" spans="1:13" ht="16.5" thickTop="1" x14ac:dyDescent="0.25">
      <c r="A53" s="5"/>
      <c r="B53" s="77">
        <v>250132</v>
      </c>
      <c r="C53" s="77">
        <v>1555</v>
      </c>
      <c r="D53" s="78">
        <v>45675</v>
      </c>
      <c r="E53" s="79">
        <v>48722.400000000001</v>
      </c>
      <c r="F53" s="80">
        <v>39900</v>
      </c>
      <c r="G53" s="81">
        <v>45675</v>
      </c>
      <c r="H53" s="80">
        <f t="shared" si="2"/>
        <v>8890.4000000000015</v>
      </c>
      <c r="I53" s="82"/>
      <c r="J53" s="82" t="s">
        <v>139</v>
      </c>
      <c r="K53" s="5"/>
      <c r="L53" s="1" t="s">
        <v>136</v>
      </c>
    </row>
    <row r="54" spans="1:13" ht="16.5" thickBot="1" x14ac:dyDescent="0.3">
      <c r="A54" s="5"/>
      <c r="B54" s="83"/>
      <c r="C54" s="83"/>
      <c r="D54" s="84"/>
      <c r="E54" s="85"/>
      <c r="F54" s="85">
        <v>8822.4</v>
      </c>
      <c r="G54" s="86">
        <v>45675</v>
      </c>
      <c r="H54" s="85">
        <f t="shared" si="2"/>
        <v>68.000000000001819</v>
      </c>
      <c r="I54" s="87"/>
      <c r="J54" s="87" t="s">
        <v>154</v>
      </c>
      <c r="K54" s="5"/>
      <c r="L54" s="1" t="s">
        <v>135</v>
      </c>
      <c r="M54" s="49">
        <f>+F53+F54</f>
        <v>48722.400000000001</v>
      </c>
    </row>
    <row r="55" spans="1:13" ht="16.5" thickTop="1" x14ac:dyDescent="0.25">
      <c r="A55" s="5"/>
      <c r="B55" s="77">
        <v>250251</v>
      </c>
      <c r="C55" s="77">
        <v>1638</v>
      </c>
      <c r="D55" s="78">
        <v>45715</v>
      </c>
      <c r="E55" s="79">
        <v>55146</v>
      </c>
      <c r="F55" s="80">
        <v>20000</v>
      </c>
      <c r="G55" s="81">
        <v>45715</v>
      </c>
      <c r="H55" s="80">
        <f t="shared" si="2"/>
        <v>35214</v>
      </c>
      <c r="I55" s="82"/>
      <c r="J55" s="82" t="s">
        <v>157</v>
      </c>
      <c r="K55" s="5"/>
      <c r="L55" s="1" t="s">
        <v>136</v>
      </c>
      <c r="M55" s="49"/>
    </row>
    <row r="56" spans="1:13" x14ac:dyDescent="0.25">
      <c r="A56" s="5"/>
      <c r="B56" s="23"/>
      <c r="C56" s="23"/>
      <c r="D56" s="24"/>
      <c r="E56" s="19"/>
      <c r="F56" s="80">
        <v>23000</v>
      </c>
      <c r="G56" s="81">
        <v>45715</v>
      </c>
      <c r="H56" s="80">
        <f t="shared" si="2"/>
        <v>12214</v>
      </c>
      <c r="I56" s="10"/>
      <c r="J56" s="82" t="s">
        <v>139</v>
      </c>
      <c r="K56" s="5"/>
      <c r="L56" s="1" t="s">
        <v>136</v>
      </c>
      <c r="M56" s="49"/>
    </row>
    <row r="57" spans="1:13" ht="16.5" thickBot="1" x14ac:dyDescent="0.3">
      <c r="A57" s="5"/>
      <c r="B57" s="83"/>
      <c r="C57" s="83"/>
      <c r="D57" s="84"/>
      <c r="E57" s="85"/>
      <c r="F57" s="85">
        <v>12146</v>
      </c>
      <c r="G57" s="86">
        <v>45716</v>
      </c>
      <c r="H57" s="85">
        <f t="shared" si="2"/>
        <v>68</v>
      </c>
      <c r="I57" s="87"/>
      <c r="J57" s="87" t="s">
        <v>154</v>
      </c>
      <c r="K57" s="5"/>
      <c r="L57" s="1" t="s">
        <v>135</v>
      </c>
      <c r="M57" s="49">
        <f>SUM(F55:F57)</f>
        <v>55146</v>
      </c>
    </row>
    <row r="58" spans="1:13" ht="16.5" thickTop="1" x14ac:dyDescent="0.25">
      <c r="A58" s="5"/>
      <c r="B58" s="77">
        <v>250904</v>
      </c>
      <c r="C58" s="77">
        <v>1880</v>
      </c>
      <c r="D58" s="78">
        <v>45910</v>
      </c>
      <c r="E58" s="79">
        <v>50640</v>
      </c>
      <c r="F58" s="80">
        <v>25000</v>
      </c>
      <c r="G58" s="81">
        <v>45911</v>
      </c>
      <c r="H58" s="80">
        <f t="shared" si="2"/>
        <v>25708</v>
      </c>
      <c r="I58" s="82"/>
      <c r="J58" s="82" t="s">
        <v>157</v>
      </c>
      <c r="K58" s="5"/>
      <c r="L58" s="1" t="s">
        <v>136</v>
      </c>
      <c r="M58" s="49"/>
    </row>
    <row r="59" spans="1:13" x14ac:dyDescent="0.25">
      <c r="A59" s="5"/>
      <c r="B59" s="23"/>
      <c r="C59" s="23"/>
      <c r="D59" s="24"/>
      <c r="E59" s="19"/>
      <c r="F59" s="80">
        <v>25640</v>
      </c>
      <c r="G59" s="81">
        <v>45911</v>
      </c>
      <c r="H59" s="80">
        <f t="shared" si="2"/>
        <v>68</v>
      </c>
      <c r="I59" s="10"/>
      <c r="J59" s="82" t="s">
        <v>139</v>
      </c>
      <c r="K59" s="5"/>
      <c r="M59" s="49">
        <f>SUM(F58:F59)</f>
        <v>50640</v>
      </c>
    </row>
    <row r="60" spans="1:13" x14ac:dyDescent="0.25">
      <c r="A60" s="5"/>
      <c r="B60" s="23"/>
      <c r="C60" s="23"/>
      <c r="D60" s="24"/>
      <c r="E60" s="19"/>
      <c r="F60" s="80"/>
      <c r="G60" s="81"/>
      <c r="H60" s="80">
        <f t="shared" si="2"/>
        <v>68</v>
      </c>
      <c r="I60" s="10"/>
      <c r="J60" s="10"/>
      <c r="K60" s="5"/>
      <c r="M60" s="49"/>
    </row>
    <row r="61" spans="1:13" x14ac:dyDescent="0.25">
      <c r="A61" s="5"/>
      <c r="B61" s="23"/>
      <c r="C61" s="23"/>
      <c r="D61" s="24"/>
      <c r="E61" s="19"/>
      <c r="F61" s="12"/>
      <c r="G61" s="11"/>
      <c r="H61" s="80">
        <f t="shared" si="2"/>
        <v>68</v>
      </c>
      <c r="I61" s="10"/>
      <c r="J61" s="10"/>
      <c r="K61" s="5"/>
    </row>
    <row r="62" spans="1:13" ht="16.5" thickBot="1" x14ac:dyDescent="0.3">
      <c r="A62" s="5"/>
      <c r="B62" s="23"/>
      <c r="C62" s="23"/>
      <c r="D62" s="24"/>
      <c r="E62" s="19"/>
      <c r="F62" s="12"/>
      <c r="G62" s="11"/>
      <c r="H62" s="27">
        <f t="shared" si="1"/>
        <v>68</v>
      </c>
      <c r="I62" s="10"/>
      <c r="J62" s="10"/>
      <c r="K62" s="5"/>
    </row>
    <row r="63" spans="1:13" ht="17.25" thickTop="1" thickBot="1" x14ac:dyDescent="0.3">
      <c r="A63" s="5"/>
      <c r="B63" s="268" t="s">
        <v>55</v>
      </c>
      <c r="C63" s="268"/>
      <c r="D63" s="268"/>
      <c r="E63" s="20">
        <f>SUM(E29:E62)</f>
        <v>680123</v>
      </c>
      <c r="F63" s="25">
        <f>SUM(F29:F62)</f>
        <v>680055</v>
      </c>
      <c r="G63" s="5"/>
      <c r="H63" s="5"/>
      <c r="I63" s="5"/>
      <c r="J63" s="5"/>
      <c r="K63" s="5"/>
    </row>
    <row r="64" spans="1:13" ht="16.5" thickBot="1" x14ac:dyDescent="0.3">
      <c r="A64" s="5"/>
      <c r="B64" s="5"/>
      <c r="C64" s="5"/>
      <c r="D64" s="5"/>
      <c r="E64" s="5"/>
      <c r="F64" s="26">
        <f>+E63-F63</f>
        <v>68</v>
      </c>
      <c r="G64" s="5"/>
      <c r="H64" s="5"/>
      <c r="I64" s="5"/>
      <c r="J64" s="5"/>
      <c r="K64" s="5"/>
    </row>
    <row r="65" spans="1:11" x14ac:dyDescent="0.25">
      <c r="A65" s="5"/>
      <c r="B65" s="5"/>
      <c r="C65" s="5"/>
      <c r="D65" s="5"/>
      <c r="E65" s="5"/>
      <c r="F65" s="5"/>
      <c r="G65" s="5"/>
      <c r="H65" s="16"/>
      <c r="I65" s="16"/>
      <c r="J65" s="5"/>
      <c r="K65" s="5"/>
    </row>
  </sheetData>
  <mergeCells count="4">
    <mergeCell ref="B2:J2"/>
    <mergeCell ref="B3:J3"/>
    <mergeCell ref="B19:D19"/>
    <mergeCell ref="B63:D63"/>
  </mergeCells>
  <pageMargins left="0.7" right="0.7" top="0.75" bottom="0.75" header="0.3" footer="0.3"/>
  <pageSetup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">
    <tabColor rgb="FF00B050"/>
  </sheetPr>
  <dimension ref="A1:K27"/>
  <sheetViews>
    <sheetView topLeftCell="A7" workbookViewId="0">
      <selection activeCell="F11" sqref="F1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1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23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78250301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54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16">
        <v>80000</v>
      </c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4">
        <v>220915</v>
      </c>
      <c r="C11" s="14"/>
      <c r="D11" s="22">
        <v>44833</v>
      </c>
      <c r="E11" s="12">
        <v>22998.199999999997</v>
      </c>
      <c r="F11" s="12"/>
      <c r="G11" s="11"/>
      <c r="H11" s="12">
        <f>+E11-F11</f>
        <v>22998.199999999997</v>
      </c>
      <c r="I11" s="10"/>
      <c r="J11" s="21"/>
      <c r="K11" s="5"/>
    </row>
    <row r="12" spans="1:11" x14ac:dyDescent="0.25">
      <c r="A12" s="5"/>
      <c r="B12" s="14">
        <v>221005</v>
      </c>
      <c r="C12" s="14"/>
      <c r="D12" s="22">
        <v>44851</v>
      </c>
      <c r="E12" s="12">
        <v>39971</v>
      </c>
      <c r="F12" s="12"/>
      <c r="G12" s="11"/>
      <c r="H12" s="12">
        <f>+H11+E12-F12</f>
        <v>62969.2</v>
      </c>
      <c r="I12" s="10"/>
      <c r="J12" s="15"/>
      <c r="K12" s="5"/>
    </row>
    <row r="13" spans="1:11" x14ac:dyDescent="0.25">
      <c r="A13" s="5"/>
      <c r="B13" s="14"/>
      <c r="C13" s="14"/>
      <c r="D13" s="22"/>
      <c r="E13" s="12"/>
      <c r="F13" s="12">
        <v>5000</v>
      </c>
      <c r="G13" s="11">
        <v>45603</v>
      </c>
      <c r="H13" s="12">
        <f t="shared" ref="H13:H23" si="0">+H12+E13-F13</f>
        <v>57969.2</v>
      </c>
      <c r="I13" s="10" t="s">
        <v>135</v>
      </c>
      <c r="J13" s="143" t="s">
        <v>147</v>
      </c>
      <c r="K13" s="5"/>
    </row>
    <row r="14" spans="1:11" x14ac:dyDescent="0.25">
      <c r="A14" s="5"/>
      <c r="B14" s="14"/>
      <c r="C14" s="14"/>
      <c r="D14" s="22"/>
      <c r="E14" s="12"/>
      <c r="F14" s="12">
        <v>5000</v>
      </c>
      <c r="G14" s="11">
        <v>45603</v>
      </c>
      <c r="H14" s="12">
        <f t="shared" si="0"/>
        <v>52969.2</v>
      </c>
      <c r="I14" s="10" t="s">
        <v>135</v>
      </c>
      <c r="J14" s="143" t="s">
        <v>147</v>
      </c>
      <c r="K14" s="5"/>
    </row>
    <row r="15" spans="1:11" x14ac:dyDescent="0.25">
      <c r="A15" s="5"/>
      <c r="B15" s="14"/>
      <c r="C15" s="14"/>
      <c r="D15" s="22"/>
      <c r="E15" s="12"/>
      <c r="F15" s="12">
        <v>5000</v>
      </c>
      <c r="G15" s="11">
        <v>45608</v>
      </c>
      <c r="H15" s="12">
        <f t="shared" si="0"/>
        <v>47969.2</v>
      </c>
      <c r="I15" s="10" t="s">
        <v>135</v>
      </c>
      <c r="J15" s="143" t="s">
        <v>147</v>
      </c>
      <c r="K15" s="5"/>
    </row>
    <row r="16" spans="1:11" x14ac:dyDescent="0.25">
      <c r="A16" s="5"/>
      <c r="B16" s="23"/>
      <c r="C16" s="23"/>
      <c r="D16" s="24"/>
      <c r="E16" s="19"/>
      <c r="F16" s="12">
        <v>10000</v>
      </c>
      <c r="G16" s="11">
        <v>45608</v>
      </c>
      <c r="H16" s="12">
        <f t="shared" si="0"/>
        <v>37969.199999999997</v>
      </c>
      <c r="I16" s="10" t="s">
        <v>135</v>
      </c>
      <c r="J16" s="143" t="s">
        <v>147</v>
      </c>
      <c r="K16" s="5"/>
    </row>
    <row r="17" spans="1:11" x14ac:dyDescent="0.25">
      <c r="A17" s="5"/>
      <c r="B17" s="23"/>
      <c r="C17" s="23"/>
      <c r="D17" s="24"/>
      <c r="E17" s="19"/>
      <c r="F17" s="12">
        <v>10000</v>
      </c>
      <c r="G17" s="11">
        <v>45609</v>
      </c>
      <c r="H17" s="12">
        <f t="shared" si="0"/>
        <v>27969.199999999997</v>
      </c>
      <c r="I17" s="10" t="s">
        <v>135</v>
      </c>
      <c r="J17" s="143" t="s">
        <v>147</v>
      </c>
      <c r="K17" s="5"/>
    </row>
    <row r="18" spans="1:11" x14ac:dyDescent="0.25">
      <c r="A18" s="5"/>
      <c r="B18" s="23"/>
      <c r="C18" s="23"/>
      <c r="D18" s="24"/>
      <c r="E18" s="19"/>
      <c r="F18" s="12">
        <v>15000</v>
      </c>
      <c r="G18" s="11">
        <v>45611</v>
      </c>
      <c r="H18" s="12">
        <f t="shared" si="0"/>
        <v>12969.199999999997</v>
      </c>
      <c r="I18" s="10" t="s">
        <v>135</v>
      </c>
      <c r="J18" s="143" t="s">
        <v>147</v>
      </c>
      <c r="K18" s="5"/>
    </row>
    <row r="19" spans="1:11" x14ac:dyDescent="0.25">
      <c r="A19" s="5"/>
      <c r="B19" s="23"/>
      <c r="C19" s="23"/>
      <c r="D19" s="24"/>
      <c r="E19" s="19"/>
      <c r="F19" s="72">
        <v>12969.199999999997</v>
      </c>
      <c r="G19" s="73" t="s">
        <v>59</v>
      </c>
      <c r="H19" s="72">
        <f t="shared" si="0"/>
        <v>0</v>
      </c>
      <c r="I19" s="74"/>
      <c r="J19" s="74" t="s">
        <v>148</v>
      </c>
      <c r="K19" s="5"/>
    </row>
    <row r="20" spans="1:11" x14ac:dyDescent="0.25">
      <c r="A20" s="5"/>
      <c r="B20" s="23"/>
      <c r="C20" s="23"/>
      <c r="D20" s="24"/>
      <c r="E20" s="19"/>
      <c r="F20" s="12"/>
      <c r="G20" s="11"/>
      <c r="H20" s="12">
        <f t="shared" si="0"/>
        <v>0</v>
      </c>
      <c r="I20" s="10"/>
      <c r="J20" s="10"/>
      <c r="K20" s="5"/>
    </row>
    <row r="21" spans="1:11" x14ac:dyDescent="0.25">
      <c r="A21" s="5"/>
      <c r="B21" s="23"/>
      <c r="C21" s="23"/>
      <c r="D21" s="24"/>
      <c r="E21" s="19"/>
      <c r="F21" s="12"/>
      <c r="G21" s="11"/>
      <c r="H21" s="12">
        <f t="shared" si="0"/>
        <v>0</v>
      </c>
      <c r="I21" s="10"/>
      <c r="J21" s="10"/>
      <c r="K21" s="5"/>
    </row>
    <row r="22" spans="1:11" x14ac:dyDescent="0.25">
      <c r="A22" s="5"/>
      <c r="B22" s="23"/>
      <c r="C22" s="23"/>
      <c r="D22" s="24"/>
      <c r="E22" s="19"/>
      <c r="F22" s="12"/>
      <c r="G22" s="11"/>
      <c r="H22" s="12">
        <f t="shared" si="0"/>
        <v>0</v>
      </c>
      <c r="I22" s="10"/>
      <c r="J22" s="10"/>
      <c r="K22" s="5"/>
    </row>
    <row r="23" spans="1:11" ht="16.5" thickBot="1" x14ac:dyDescent="0.3">
      <c r="A23" s="5"/>
      <c r="B23" s="23"/>
      <c r="C23" s="23"/>
      <c r="D23" s="24"/>
      <c r="E23" s="19"/>
      <c r="F23" s="12"/>
      <c r="G23" s="11"/>
      <c r="H23" s="27">
        <f t="shared" si="0"/>
        <v>0</v>
      </c>
      <c r="I23" s="10"/>
      <c r="J23" s="10"/>
      <c r="K23" s="5"/>
    </row>
    <row r="24" spans="1:11" ht="17.25" thickTop="1" thickBot="1" x14ac:dyDescent="0.3">
      <c r="A24" s="5"/>
      <c r="B24" s="268" t="s">
        <v>55</v>
      </c>
      <c r="C24" s="268"/>
      <c r="D24" s="268"/>
      <c r="E24" s="20">
        <f>SUM(E11:E23)</f>
        <v>62969.2</v>
      </c>
      <c r="F24" s="25">
        <f>SUM(F11:F23)</f>
        <v>62969.2</v>
      </c>
      <c r="G24" s="5"/>
      <c r="H24" s="5"/>
      <c r="I24" s="5"/>
      <c r="J24" s="5"/>
      <c r="K24" s="5"/>
    </row>
    <row r="25" spans="1:11" ht="16.5" thickBot="1" x14ac:dyDescent="0.3">
      <c r="A25" s="5"/>
      <c r="B25" s="5"/>
      <c r="C25" s="5"/>
      <c r="D25" s="5"/>
      <c r="E25" s="5"/>
      <c r="F25" s="26">
        <f>+E24-F24</f>
        <v>0</v>
      </c>
      <c r="G25" s="5"/>
      <c r="H25" s="5"/>
      <c r="I25" s="5"/>
      <c r="J25" s="5"/>
      <c r="K25" s="5"/>
    </row>
    <row r="26" spans="1:11" x14ac:dyDescent="0.25">
      <c r="A26" s="5"/>
      <c r="B26" s="5"/>
      <c r="C26" s="5"/>
      <c r="D26" s="5"/>
      <c r="E26" s="5"/>
      <c r="F26" s="5"/>
      <c r="G26" s="5"/>
      <c r="H26" s="16"/>
      <c r="I26" s="16"/>
      <c r="J26" s="5"/>
      <c r="K26" s="5"/>
    </row>
    <row r="27" spans="1:11" x14ac:dyDescent="0.25">
      <c r="A27" s="5"/>
      <c r="B27" s="5"/>
      <c r="C27" s="5"/>
      <c r="D27" s="5"/>
      <c r="E27" s="5"/>
      <c r="F27" s="5"/>
      <c r="G27" s="5"/>
      <c r="H27" s="16"/>
      <c r="I27" s="5"/>
      <c r="J27" s="5"/>
      <c r="K27" s="5"/>
    </row>
  </sheetData>
  <mergeCells count="3">
    <mergeCell ref="B2:J2"/>
    <mergeCell ref="B3:J3"/>
    <mergeCell ref="B24:D2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/>
  <dimension ref="A1:K27"/>
  <sheetViews>
    <sheetView workbookViewId="0">
      <selection activeCell="F11" sqref="F1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24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54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16">
        <v>80000</v>
      </c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4">
        <v>210105</v>
      </c>
      <c r="C11" s="14"/>
      <c r="D11" s="22">
        <v>44940</v>
      </c>
      <c r="E11" s="12">
        <v>41100.6</v>
      </c>
      <c r="F11" s="12"/>
      <c r="G11" s="11"/>
      <c r="H11" s="12">
        <f>+E11-F11</f>
        <v>41100.6</v>
      </c>
      <c r="I11" s="10"/>
      <c r="J11" s="21"/>
      <c r="K11" s="5"/>
    </row>
    <row r="12" spans="1:11" x14ac:dyDescent="0.25">
      <c r="A12" s="5"/>
      <c r="B12" s="14"/>
      <c r="C12" s="14"/>
      <c r="D12" s="22"/>
      <c r="E12" s="12"/>
      <c r="F12" s="12"/>
      <c r="G12" s="11"/>
      <c r="H12" s="12">
        <f>+H11+E12-F12</f>
        <v>41100.6</v>
      </c>
      <c r="I12" s="10"/>
      <c r="J12" s="15"/>
      <c r="K12" s="5"/>
    </row>
    <row r="13" spans="1:11" x14ac:dyDescent="0.25">
      <c r="A13" s="5"/>
      <c r="B13" s="14"/>
      <c r="C13" s="14"/>
      <c r="D13" s="22"/>
      <c r="E13" s="12"/>
      <c r="F13" s="12"/>
      <c r="G13" s="11"/>
      <c r="H13" s="12">
        <f t="shared" ref="H13:H23" si="0">+H12+E13-F13</f>
        <v>41100.6</v>
      </c>
      <c r="I13" s="10"/>
      <c r="J13" s="15"/>
      <c r="K13" s="5"/>
    </row>
    <row r="14" spans="1:11" x14ac:dyDescent="0.25">
      <c r="A14" s="5"/>
      <c r="B14" s="14"/>
      <c r="C14" s="14"/>
      <c r="D14" s="22"/>
      <c r="E14" s="12"/>
      <c r="F14" s="12"/>
      <c r="G14" s="11"/>
      <c r="H14" s="12">
        <f t="shared" si="0"/>
        <v>41100.6</v>
      </c>
      <c r="I14" s="10"/>
      <c r="J14" s="10"/>
      <c r="K14" s="5"/>
    </row>
    <row r="15" spans="1:11" x14ac:dyDescent="0.25">
      <c r="A15" s="5"/>
      <c r="B15" s="14"/>
      <c r="C15" s="14"/>
      <c r="D15" s="22"/>
      <c r="E15" s="12"/>
      <c r="F15" s="12"/>
      <c r="G15" s="11"/>
      <c r="H15" s="12">
        <f t="shared" si="0"/>
        <v>41100.6</v>
      </c>
      <c r="I15" s="10"/>
      <c r="J15" s="10"/>
      <c r="K15" s="5"/>
    </row>
    <row r="16" spans="1:11" x14ac:dyDescent="0.25">
      <c r="A16" s="5"/>
      <c r="B16" s="23"/>
      <c r="C16" s="23"/>
      <c r="D16" s="24"/>
      <c r="E16" s="19"/>
      <c r="F16" s="12"/>
      <c r="G16" s="11"/>
      <c r="H16" s="12">
        <f t="shared" si="0"/>
        <v>41100.6</v>
      </c>
      <c r="I16" s="10"/>
      <c r="J16" s="10"/>
      <c r="K16" s="5"/>
    </row>
    <row r="17" spans="1:11" x14ac:dyDescent="0.25">
      <c r="A17" s="5"/>
      <c r="B17" s="23"/>
      <c r="C17" s="23"/>
      <c r="D17" s="24"/>
      <c r="E17" s="19"/>
      <c r="F17" s="12"/>
      <c r="G17" s="18"/>
      <c r="H17" s="12">
        <f t="shared" si="0"/>
        <v>41100.6</v>
      </c>
      <c r="I17" s="10"/>
      <c r="J17" s="10"/>
      <c r="K17" s="5"/>
    </row>
    <row r="18" spans="1:11" x14ac:dyDescent="0.25">
      <c r="A18" s="5"/>
      <c r="B18" s="23"/>
      <c r="C18" s="23"/>
      <c r="D18" s="24"/>
      <c r="E18" s="19"/>
      <c r="F18" s="12"/>
      <c r="G18" s="11"/>
      <c r="H18" s="12">
        <f t="shared" si="0"/>
        <v>41100.6</v>
      </c>
      <c r="I18" s="10"/>
      <c r="J18" s="10"/>
      <c r="K18" s="5"/>
    </row>
    <row r="19" spans="1:11" x14ac:dyDescent="0.25">
      <c r="A19" s="5"/>
      <c r="B19" s="23"/>
      <c r="C19" s="23"/>
      <c r="D19" s="24"/>
      <c r="E19" s="19"/>
      <c r="F19" s="12"/>
      <c r="G19" s="11"/>
      <c r="H19" s="12">
        <f t="shared" si="0"/>
        <v>41100.6</v>
      </c>
      <c r="I19" s="10"/>
      <c r="J19" s="10"/>
      <c r="K19" s="5"/>
    </row>
    <row r="20" spans="1:11" x14ac:dyDescent="0.25">
      <c r="A20" s="5"/>
      <c r="B20" s="23"/>
      <c r="C20" s="23"/>
      <c r="D20" s="24"/>
      <c r="E20" s="19"/>
      <c r="F20" s="12"/>
      <c r="G20" s="11"/>
      <c r="H20" s="12">
        <f t="shared" si="0"/>
        <v>41100.6</v>
      </c>
      <c r="I20" s="10"/>
      <c r="J20" s="10"/>
      <c r="K20" s="5"/>
    </row>
    <row r="21" spans="1:11" x14ac:dyDescent="0.25">
      <c r="A21" s="5"/>
      <c r="B21" s="23"/>
      <c r="C21" s="23"/>
      <c r="D21" s="24"/>
      <c r="E21" s="19"/>
      <c r="F21" s="12"/>
      <c r="G21" s="11"/>
      <c r="H21" s="12">
        <f t="shared" si="0"/>
        <v>41100.6</v>
      </c>
      <c r="I21" s="10"/>
      <c r="J21" s="10"/>
      <c r="K21" s="5"/>
    </row>
    <row r="22" spans="1:11" x14ac:dyDescent="0.25">
      <c r="A22" s="5"/>
      <c r="B22" s="23"/>
      <c r="C22" s="23"/>
      <c r="D22" s="24"/>
      <c r="E22" s="19"/>
      <c r="F22" s="12"/>
      <c r="G22" s="11"/>
      <c r="H22" s="12">
        <f t="shared" si="0"/>
        <v>41100.6</v>
      </c>
      <c r="I22" s="10"/>
      <c r="J22" s="10"/>
      <c r="K22" s="5"/>
    </row>
    <row r="23" spans="1:11" ht="16.5" thickBot="1" x14ac:dyDescent="0.3">
      <c r="A23" s="5"/>
      <c r="B23" s="23"/>
      <c r="C23" s="23"/>
      <c r="D23" s="24"/>
      <c r="E23" s="19"/>
      <c r="F23" s="12"/>
      <c r="G23" s="11"/>
      <c r="H23" s="27">
        <f t="shared" si="0"/>
        <v>41100.6</v>
      </c>
      <c r="I23" s="10"/>
      <c r="J23" s="10"/>
      <c r="K23" s="5"/>
    </row>
    <row r="24" spans="1:11" ht="17.25" thickTop="1" thickBot="1" x14ac:dyDescent="0.3">
      <c r="A24" s="5"/>
      <c r="B24" s="268" t="s">
        <v>55</v>
      </c>
      <c r="C24" s="268"/>
      <c r="D24" s="268"/>
      <c r="E24" s="20">
        <f>SUM(E11:E23)</f>
        <v>41100.6</v>
      </c>
      <c r="F24" s="25">
        <f>SUM(F11:F23)</f>
        <v>0</v>
      </c>
      <c r="G24" s="5"/>
      <c r="H24" s="5"/>
      <c r="I24" s="5"/>
      <c r="J24" s="5"/>
      <c r="K24" s="5"/>
    </row>
    <row r="25" spans="1:11" ht="16.5" thickBot="1" x14ac:dyDescent="0.3">
      <c r="A25" s="5"/>
      <c r="B25" s="5"/>
      <c r="C25" s="5"/>
      <c r="D25" s="5"/>
      <c r="E25" s="5"/>
      <c r="F25" s="26">
        <f>+E24-F24</f>
        <v>41100.6</v>
      </c>
      <c r="G25" s="5"/>
      <c r="H25" s="5"/>
      <c r="I25" s="5"/>
      <c r="J25" s="5"/>
      <c r="K25" s="5"/>
    </row>
    <row r="26" spans="1:11" x14ac:dyDescent="0.25">
      <c r="A26" s="5"/>
      <c r="B26" s="5"/>
      <c r="C26" s="5"/>
      <c r="D26" s="5"/>
      <c r="E26" s="5"/>
      <c r="F26" s="5"/>
      <c r="G26" s="5"/>
      <c r="H26" s="16"/>
      <c r="I26" s="16"/>
      <c r="J26" s="5"/>
      <c r="K26" s="5"/>
    </row>
    <row r="27" spans="1:11" x14ac:dyDescent="0.25">
      <c r="A27" s="5"/>
      <c r="B27" s="5"/>
      <c r="C27" s="5"/>
      <c r="D27" s="5"/>
      <c r="E27" s="5"/>
      <c r="F27" s="5"/>
      <c r="G27" s="5"/>
      <c r="H27" s="16"/>
      <c r="I27" s="5"/>
      <c r="J27" s="5"/>
      <c r="K27" s="5"/>
    </row>
  </sheetData>
  <mergeCells count="3">
    <mergeCell ref="B2:J2"/>
    <mergeCell ref="B3:J3"/>
    <mergeCell ref="B24:D2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7"/>
  <dimension ref="A1:K25"/>
  <sheetViews>
    <sheetView topLeftCell="A4" workbookViewId="0">
      <selection activeCell="F11" sqref="F1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3.2851562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12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79347671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13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5"/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ht="63" x14ac:dyDescent="0.25">
      <c r="A11" s="5"/>
      <c r="B11" s="10">
        <v>210902</v>
      </c>
      <c r="C11" s="10"/>
      <c r="D11" s="11">
        <v>44440</v>
      </c>
      <c r="E11" s="12">
        <v>35550</v>
      </c>
      <c r="F11" s="10"/>
      <c r="G11" s="10"/>
      <c r="H11" s="12">
        <f>+E11-F11</f>
        <v>35550</v>
      </c>
      <c r="I11" s="10"/>
      <c r="J11" s="21" t="s">
        <v>14</v>
      </c>
      <c r="K11" s="5"/>
    </row>
    <row r="12" spans="1:11" x14ac:dyDescent="0.25">
      <c r="A12" s="5"/>
      <c r="B12" s="10"/>
      <c r="C12" s="10"/>
      <c r="D12" s="11"/>
      <c r="E12" s="12"/>
      <c r="F12" s="10"/>
      <c r="G12" s="10"/>
      <c r="H12" s="12">
        <f>+H11+E12-F12</f>
        <v>35550</v>
      </c>
      <c r="I12" s="10"/>
      <c r="J12" s="15"/>
      <c r="K12" s="5"/>
    </row>
    <row r="13" spans="1:11" x14ac:dyDescent="0.25">
      <c r="A13" s="5"/>
      <c r="B13" s="10"/>
      <c r="C13" s="10"/>
      <c r="D13" s="11"/>
      <c r="E13" s="12"/>
      <c r="F13" s="10"/>
      <c r="G13" s="10"/>
      <c r="H13" s="12">
        <f t="shared" ref="H13:H20" si="0">+H12+E13-F13</f>
        <v>35550</v>
      </c>
      <c r="I13" s="10"/>
      <c r="J13" s="15"/>
      <c r="K13" s="5"/>
    </row>
    <row r="14" spans="1:11" x14ac:dyDescent="0.25">
      <c r="A14" s="5"/>
      <c r="B14" s="10"/>
      <c r="C14" s="10"/>
      <c r="D14" s="11"/>
      <c r="E14" s="12"/>
      <c r="F14" s="10"/>
      <c r="G14" s="10"/>
      <c r="H14" s="12">
        <f t="shared" si="0"/>
        <v>35550</v>
      </c>
      <c r="I14" s="10"/>
      <c r="J14" s="10"/>
      <c r="K14" s="5"/>
    </row>
    <row r="15" spans="1:11" x14ac:dyDescent="0.25">
      <c r="A15" s="5"/>
      <c r="B15" s="10"/>
      <c r="C15" s="10"/>
      <c r="D15" s="11"/>
      <c r="E15" s="12"/>
      <c r="F15" s="10"/>
      <c r="G15" s="10"/>
      <c r="H15" s="12">
        <f t="shared" si="0"/>
        <v>35550</v>
      </c>
      <c r="I15" s="10"/>
      <c r="J15" s="10"/>
      <c r="K15" s="5"/>
    </row>
    <row r="16" spans="1:11" x14ac:dyDescent="0.25">
      <c r="A16" s="5"/>
      <c r="B16" s="10"/>
      <c r="C16" s="10"/>
      <c r="D16" s="11"/>
      <c r="E16" s="12"/>
      <c r="F16" s="10"/>
      <c r="G16" s="10"/>
      <c r="H16" s="12">
        <f t="shared" si="0"/>
        <v>35550</v>
      </c>
      <c r="I16" s="10"/>
      <c r="J16" s="10"/>
      <c r="K16" s="5"/>
    </row>
    <row r="17" spans="1:11" x14ac:dyDescent="0.25">
      <c r="A17" s="5"/>
      <c r="B17" s="10"/>
      <c r="C17" s="10"/>
      <c r="D17" s="11"/>
      <c r="E17" s="12"/>
      <c r="F17" s="10"/>
      <c r="G17" s="10"/>
      <c r="H17" s="12">
        <f t="shared" si="0"/>
        <v>35550</v>
      </c>
      <c r="I17" s="10"/>
      <c r="J17" s="10"/>
      <c r="K17" s="5"/>
    </row>
    <row r="18" spans="1:11" x14ac:dyDescent="0.25">
      <c r="A18" s="5"/>
      <c r="B18" s="10"/>
      <c r="C18" s="10"/>
      <c r="D18" s="11"/>
      <c r="E18" s="12"/>
      <c r="F18" s="10"/>
      <c r="G18" s="10"/>
      <c r="H18" s="12">
        <f t="shared" si="0"/>
        <v>35550</v>
      </c>
      <c r="I18" s="10"/>
      <c r="J18" s="10"/>
      <c r="K18" s="5"/>
    </row>
    <row r="19" spans="1:11" x14ac:dyDescent="0.25">
      <c r="A19" s="5"/>
      <c r="B19" s="10"/>
      <c r="C19" s="10"/>
      <c r="D19" s="11"/>
      <c r="E19" s="12"/>
      <c r="F19" s="10"/>
      <c r="G19" s="10"/>
      <c r="H19" s="12">
        <f t="shared" si="0"/>
        <v>35550</v>
      </c>
      <c r="I19" s="10"/>
      <c r="J19" s="10"/>
      <c r="K19" s="5"/>
    </row>
    <row r="20" spans="1:11" x14ac:dyDescent="0.25">
      <c r="A20" s="5"/>
      <c r="B20" s="10"/>
      <c r="C20" s="10"/>
      <c r="D20" s="11"/>
      <c r="E20" s="12"/>
      <c r="F20" s="10"/>
      <c r="G20" s="10"/>
      <c r="H20" s="12">
        <f t="shared" si="0"/>
        <v>35550</v>
      </c>
      <c r="I20" s="10"/>
      <c r="J20" s="10"/>
      <c r="K20" s="5"/>
    </row>
    <row r="21" spans="1:11" ht="16.5" thickBot="1" x14ac:dyDescent="0.3">
      <c r="A21" s="5"/>
      <c r="B21" s="17"/>
      <c r="C21" s="17"/>
      <c r="D21" s="18"/>
      <c r="E21" s="19"/>
      <c r="F21" s="17"/>
      <c r="G21" s="10"/>
      <c r="H21" s="12">
        <f>+H20+E21-F21</f>
        <v>35550</v>
      </c>
      <c r="I21" s="10"/>
      <c r="J21" s="10"/>
      <c r="K21" s="5"/>
    </row>
    <row r="22" spans="1:11" ht="16.5" thickTop="1" x14ac:dyDescent="0.25">
      <c r="A22" s="5"/>
      <c r="B22" s="268" t="s">
        <v>55</v>
      </c>
      <c r="C22" s="268"/>
      <c r="D22" s="268"/>
      <c r="E22" s="20">
        <f>SUM(E11:E21)</f>
        <v>35550</v>
      </c>
      <c r="F22" s="20">
        <f>SUM(F11:F21)</f>
        <v>0</v>
      </c>
      <c r="G22" s="5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</sheetData>
  <mergeCells count="3">
    <mergeCell ref="B2:J2"/>
    <mergeCell ref="B3:J3"/>
    <mergeCell ref="B22:D2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/>
  <dimension ref="A1:K25"/>
  <sheetViews>
    <sheetView workbookViewId="0">
      <selection activeCell="F11" sqref="F1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3.2851562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5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5"/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52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5"/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0">
        <v>210118</v>
      </c>
      <c r="C11" s="10"/>
      <c r="D11" s="11">
        <v>44953</v>
      </c>
      <c r="E11" s="12">
        <v>33500</v>
      </c>
      <c r="F11" s="10"/>
      <c r="G11" s="10"/>
      <c r="H11" s="12">
        <f>+E11-F11</f>
        <v>33500</v>
      </c>
      <c r="I11" s="10"/>
      <c r="J11" s="10" t="s">
        <v>51</v>
      </c>
      <c r="K11" s="5"/>
    </row>
    <row r="12" spans="1:11" x14ac:dyDescent="0.25">
      <c r="A12" s="5"/>
      <c r="B12" s="10"/>
      <c r="C12" s="10"/>
      <c r="D12" s="10"/>
      <c r="E12" s="12"/>
      <c r="F12" s="10"/>
      <c r="G12" s="10"/>
      <c r="H12" s="12">
        <f>+H11+E12-F12</f>
        <v>33500</v>
      </c>
      <c r="I12" s="10"/>
      <c r="J12" s="10"/>
      <c r="K12" s="5"/>
    </row>
    <row r="13" spans="1:11" x14ac:dyDescent="0.25">
      <c r="A13" s="5"/>
      <c r="B13" s="10"/>
      <c r="C13" s="10"/>
      <c r="D13" s="10"/>
      <c r="E13" s="12"/>
      <c r="F13" s="10"/>
      <c r="G13" s="10"/>
      <c r="H13" s="12">
        <f t="shared" ref="H13:H20" si="0">+H12+E13-F13</f>
        <v>33500</v>
      </c>
      <c r="I13" s="10"/>
      <c r="J13" s="10"/>
      <c r="K13" s="5"/>
    </row>
    <row r="14" spans="1:11" x14ac:dyDescent="0.25">
      <c r="A14" s="5"/>
      <c r="B14" s="10"/>
      <c r="C14" s="10"/>
      <c r="D14" s="10"/>
      <c r="E14" s="12"/>
      <c r="F14" s="10"/>
      <c r="G14" s="10"/>
      <c r="H14" s="12">
        <f t="shared" si="0"/>
        <v>33500</v>
      </c>
      <c r="I14" s="10"/>
      <c r="J14" s="10"/>
      <c r="K14" s="5"/>
    </row>
    <row r="15" spans="1:11" x14ac:dyDescent="0.25">
      <c r="A15" s="5"/>
      <c r="B15" s="10"/>
      <c r="C15" s="10"/>
      <c r="D15" s="10"/>
      <c r="E15" s="12"/>
      <c r="F15" s="10"/>
      <c r="G15" s="10"/>
      <c r="H15" s="12">
        <f t="shared" si="0"/>
        <v>33500</v>
      </c>
      <c r="I15" s="10"/>
      <c r="J15" s="10"/>
      <c r="K15" s="5"/>
    </row>
    <row r="16" spans="1:11" x14ac:dyDescent="0.25">
      <c r="A16" s="5"/>
      <c r="B16" s="10"/>
      <c r="C16" s="10"/>
      <c r="D16" s="10"/>
      <c r="E16" s="12"/>
      <c r="F16" s="10"/>
      <c r="G16" s="10"/>
      <c r="H16" s="12">
        <f t="shared" si="0"/>
        <v>33500</v>
      </c>
      <c r="I16" s="10"/>
      <c r="J16" s="10"/>
      <c r="K16" s="5"/>
    </row>
    <row r="17" spans="1:11" x14ac:dyDescent="0.25">
      <c r="A17" s="5"/>
      <c r="B17" s="10"/>
      <c r="C17" s="10"/>
      <c r="D17" s="10"/>
      <c r="E17" s="12"/>
      <c r="F17" s="10"/>
      <c r="G17" s="10"/>
      <c r="H17" s="12">
        <f t="shared" si="0"/>
        <v>33500</v>
      </c>
      <c r="I17" s="10"/>
      <c r="J17" s="10"/>
      <c r="K17" s="5"/>
    </row>
    <row r="18" spans="1:11" x14ac:dyDescent="0.25">
      <c r="A18" s="5"/>
      <c r="B18" s="10"/>
      <c r="C18" s="10"/>
      <c r="D18" s="10"/>
      <c r="E18" s="12"/>
      <c r="F18" s="10"/>
      <c r="G18" s="10"/>
      <c r="H18" s="12">
        <f t="shared" si="0"/>
        <v>33500</v>
      </c>
      <c r="I18" s="10"/>
      <c r="J18" s="10"/>
      <c r="K18" s="5"/>
    </row>
    <row r="19" spans="1:11" x14ac:dyDescent="0.25">
      <c r="A19" s="5"/>
      <c r="B19" s="10"/>
      <c r="C19" s="10"/>
      <c r="D19" s="10"/>
      <c r="E19" s="12"/>
      <c r="F19" s="10"/>
      <c r="G19" s="10"/>
      <c r="H19" s="12">
        <f t="shared" si="0"/>
        <v>33500</v>
      </c>
      <c r="I19" s="10"/>
      <c r="J19" s="10"/>
      <c r="K19" s="5"/>
    </row>
    <row r="20" spans="1:11" x14ac:dyDescent="0.25">
      <c r="A20" s="5"/>
      <c r="B20" s="10"/>
      <c r="C20" s="10"/>
      <c r="D20" s="10"/>
      <c r="E20" s="12"/>
      <c r="F20" s="10"/>
      <c r="G20" s="10"/>
      <c r="H20" s="12">
        <f t="shared" si="0"/>
        <v>33500</v>
      </c>
      <c r="I20" s="10"/>
      <c r="J20" s="10"/>
      <c r="K20" s="5"/>
    </row>
    <row r="21" spans="1:11" s="48" customFormat="1" x14ac:dyDescent="0.25">
      <c r="A21" s="9"/>
      <c r="B21" s="46"/>
      <c r="C21" s="46"/>
      <c r="D21" s="46"/>
      <c r="E21" s="47"/>
      <c r="F21" s="46"/>
      <c r="G21" s="46"/>
      <c r="H21" s="47">
        <f>+H20+E21-F21</f>
        <v>33500</v>
      </c>
      <c r="I21" s="46"/>
      <c r="J21" s="46"/>
      <c r="K21" s="9"/>
    </row>
    <row r="22" spans="1:11" x14ac:dyDescent="0.25">
      <c r="A22" s="5"/>
      <c r="B22" s="5"/>
      <c r="C22" s="5"/>
      <c r="D22" s="5"/>
      <c r="E22" s="47">
        <f>SUM(E11:E21)</f>
        <v>33500</v>
      </c>
      <c r="F22" s="47">
        <f>SUM(F11:F21)</f>
        <v>0</v>
      </c>
      <c r="G22" s="5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</sheetData>
  <mergeCells count="2">
    <mergeCell ref="B2:J2"/>
    <mergeCell ref="B3:J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9">
    <tabColor rgb="FF00B050"/>
  </sheetPr>
  <dimension ref="A1:K23"/>
  <sheetViews>
    <sheetView topLeftCell="B4" workbookViewId="0">
      <selection activeCell="F11" sqref="F1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22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63568941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20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16">
        <v>40000</v>
      </c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4">
        <v>230205</v>
      </c>
      <c r="C11" s="14"/>
      <c r="D11" s="22">
        <v>44966</v>
      </c>
      <c r="E11" s="12">
        <v>32664.200000000004</v>
      </c>
      <c r="F11" s="12">
        <v>2800</v>
      </c>
      <c r="G11" s="22">
        <v>45142</v>
      </c>
      <c r="H11" s="12">
        <f>+E11-F11</f>
        <v>29864.200000000004</v>
      </c>
      <c r="I11" s="10"/>
      <c r="J11" s="21"/>
      <c r="K11" s="5"/>
    </row>
    <row r="12" spans="1:11" x14ac:dyDescent="0.25">
      <c r="A12" s="5"/>
      <c r="B12" s="14"/>
      <c r="C12" s="14"/>
      <c r="D12" s="22"/>
      <c r="E12" s="12"/>
      <c r="F12" s="12">
        <v>10000</v>
      </c>
      <c r="G12" s="11">
        <v>45166</v>
      </c>
      <c r="H12" s="12">
        <f>+H11+E12-F12</f>
        <v>19864.200000000004</v>
      </c>
      <c r="I12" s="10"/>
      <c r="J12" s="15"/>
      <c r="K12" s="5"/>
    </row>
    <row r="13" spans="1:11" x14ac:dyDescent="0.25">
      <c r="A13" s="5"/>
      <c r="B13" s="23"/>
      <c r="C13" s="23"/>
      <c r="D13" s="24"/>
      <c r="E13" s="19"/>
      <c r="F13" s="12">
        <v>19864.2</v>
      </c>
      <c r="G13" s="11">
        <v>45224</v>
      </c>
      <c r="H13" s="12">
        <f>+H12+E13-F13</f>
        <v>0</v>
      </c>
      <c r="I13" s="10"/>
      <c r="J13" s="10"/>
      <c r="K13" s="5"/>
    </row>
    <row r="14" spans="1:11" x14ac:dyDescent="0.25">
      <c r="A14" s="5"/>
      <c r="B14" s="23"/>
      <c r="C14" s="23"/>
      <c r="D14" s="24"/>
      <c r="E14" s="19"/>
      <c r="F14" s="12"/>
      <c r="G14" s="11"/>
      <c r="H14" s="12">
        <f>+H13+E14-F14</f>
        <v>0</v>
      </c>
      <c r="I14" s="10"/>
      <c r="J14" s="10"/>
      <c r="K14" s="5"/>
    </row>
    <row r="15" spans="1:11" x14ac:dyDescent="0.25">
      <c r="A15" s="5"/>
      <c r="B15" s="23"/>
      <c r="C15" s="23"/>
      <c r="D15" s="24"/>
      <c r="E15" s="19"/>
      <c r="F15" s="12"/>
      <c r="G15" s="11"/>
      <c r="H15" s="12">
        <f>+H14+E15-F15</f>
        <v>0</v>
      </c>
      <c r="I15" s="10"/>
      <c r="J15" s="10"/>
      <c r="K15" s="5"/>
    </row>
    <row r="16" spans="1:11" x14ac:dyDescent="0.25">
      <c r="A16" s="5"/>
      <c r="B16" s="23"/>
      <c r="C16" s="23"/>
      <c r="D16" s="24"/>
      <c r="E16" s="19"/>
      <c r="F16" s="12"/>
      <c r="G16" s="11"/>
      <c r="H16" s="12">
        <f t="shared" ref="H16:H19" si="0">+H15+E16-F16</f>
        <v>0</v>
      </c>
      <c r="I16" s="10"/>
      <c r="J16" s="10"/>
      <c r="K16" s="5"/>
    </row>
    <row r="17" spans="1:11" x14ac:dyDescent="0.25">
      <c r="A17" s="5"/>
      <c r="B17" s="23"/>
      <c r="C17" s="23"/>
      <c r="D17" s="24"/>
      <c r="E17" s="19"/>
      <c r="F17" s="12"/>
      <c r="G17" s="11"/>
      <c r="H17" s="12">
        <f t="shared" si="0"/>
        <v>0</v>
      </c>
      <c r="I17" s="10"/>
      <c r="J17" s="10"/>
      <c r="K17" s="5"/>
    </row>
    <row r="18" spans="1:11" x14ac:dyDescent="0.25">
      <c r="A18" s="5"/>
      <c r="B18" s="23"/>
      <c r="C18" s="23"/>
      <c r="D18" s="24"/>
      <c r="E18" s="19"/>
      <c r="F18" s="12"/>
      <c r="G18" s="11"/>
      <c r="H18" s="12">
        <f t="shared" si="0"/>
        <v>0</v>
      </c>
      <c r="I18" s="10"/>
      <c r="J18" s="10"/>
      <c r="K18" s="5"/>
    </row>
    <row r="19" spans="1:11" ht="16.5" thickBot="1" x14ac:dyDescent="0.3">
      <c r="A19" s="5"/>
      <c r="B19" s="23"/>
      <c r="C19" s="23"/>
      <c r="D19" s="24"/>
      <c r="E19" s="19"/>
      <c r="F19" s="12"/>
      <c r="G19" s="11"/>
      <c r="H19" s="27">
        <f t="shared" si="0"/>
        <v>0</v>
      </c>
      <c r="I19" s="10"/>
      <c r="J19" s="10"/>
      <c r="K19" s="5"/>
    </row>
    <row r="20" spans="1:11" ht="17.25" thickTop="1" thickBot="1" x14ac:dyDescent="0.3">
      <c r="A20" s="5"/>
      <c r="B20" s="268" t="s">
        <v>55</v>
      </c>
      <c r="C20" s="268"/>
      <c r="D20" s="268"/>
      <c r="E20" s="20">
        <f>SUM(E11:E19)</f>
        <v>32664.200000000004</v>
      </c>
      <c r="F20" s="25">
        <f>SUM(F11:F19)</f>
        <v>32664.2</v>
      </c>
      <c r="G20" s="5"/>
      <c r="H20" s="5"/>
      <c r="I20" s="5"/>
      <c r="J20" s="5"/>
      <c r="K20" s="5"/>
    </row>
    <row r="21" spans="1:11" ht="16.5" thickBot="1" x14ac:dyDescent="0.3">
      <c r="A21" s="5"/>
      <c r="B21" s="5"/>
      <c r="C21" s="5"/>
      <c r="D21" s="5"/>
      <c r="E21" s="5"/>
      <c r="F21" s="26">
        <f>+E20-F20</f>
        <v>0</v>
      </c>
      <c r="G21" s="5"/>
      <c r="H21" s="5"/>
      <c r="I21" s="5"/>
      <c r="J21" s="5"/>
      <c r="K21" s="5"/>
    </row>
    <row r="22" spans="1:11" x14ac:dyDescent="0.25">
      <c r="A22" s="5"/>
      <c r="B22" s="5"/>
      <c r="C22" s="5"/>
      <c r="D22" s="5"/>
      <c r="E22" s="5"/>
      <c r="F22" s="5"/>
      <c r="G22" s="5"/>
      <c r="H22" s="16"/>
      <c r="I22" s="16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16"/>
      <c r="I23" s="5"/>
      <c r="J23" s="5"/>
      <c r="K23" s="5"/>
    </row>
  </sheetData>
  <mergeCells count="3">
    <mergeCell ref="B2:J2"/>
    <mergeCell ref="B3:J3"/>
    <mergeCell ref="B20:D2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0"/>
  <dimension ref="A1:K23"/>
  <sheetViews>
    <sheetView topLeftCell="A3" workbookViewId="0">
      <selection activeCell="F11" sqref="F1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63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77145507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20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16">
        <v>60000</v>
      </c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4">
        <v>220916</v>
      </c>
      <c r="C11" s="14"/>
      <c r="D11" s="22">
        <v>44834</v>
      </c>
      <c r="E11" s="12">
        <v>24351.899999999998</v>
      </c>
      <c r="F11" s="12"/>
      <c r="G11" s="22"/>
      <c r="H11" s="12">
        <f>+E11-F11</f>
        <v>24351.899999999998</v>
      </c>
      <c r="I11" s="10"/>
      <c r="J11" s="21"/>
      <c r="K11" s="5"/>
    </row>
    <row r="12" spans="1:11" x14ac:dyDescent="0.25">
      <c r="A12" s="5"/>
      <c r="B12" s="14"/>
      <c r="C12" s="14"/>
      <c r="D12" s="22"/>
      <c r="E12" s="12"/>
      <c r="F12" s="12"/>
      <c r="G12" s="11"/>
      <c r="H12" s="12">
        <f>+H11+E12-F12</f>
        <v>24351.899999999998</v>
      </c>
      <c r="I12" s="10"/>
      <c r="J12" s="15"/>
      <c r="K12" s="5"/>
    </row>
    <row r="13" spans="1:11" x14ac:dyDescent="0.25">
      <c r="A13" s="5"/>
      <c r="B13" s="23"/>
      <c r="C13" s="23"/>
      <c r="D13" s="24"/>
      <c r="E13" s="19"/>
      <c r="F13" s="12"/>
      <c r="G13" s="11"/>
      <c r="H13" s="12">
        <f>+H12+E13-F13</f>
        <v>24351.899999999998</v>
      </c>
      <c r="I13" s="10"/>
      <c r="J13" s="10"/>
      <c r="K13" s="5"/>
    </row>
    <row r="14" spans="1:11" x14ac:dyDescent="0.25">
      <c r="A14" s="5"/>
      <c r="B14" s="23"/>
      <c r="C14" s="23"/>
      <c r="D14" s="24"/>
      <c r="E14" s="19"/>
      <c r="F14" s="12"/>
      <c r="G14" s="11"/>
      <c r="H14" s="12">
        <f>+H13+E14-F14</f>
        <v>24351.899999999998</v>
      </c>
      <c r="I14" s="10"/>
      <c r="J14" s="10"/>
      <c r="K14" s="5"/>
    </row>
    <row r="15" spans="1:11" x14ac:dyDescent="0.25">
      <c r="A15" s="5"/>
      <c r="B15" s="23"/>
      <c r="C15" s="23"/>
      <c r="D15" s="24"/>
      <c r="E15" s="19"/>
      <c r="F15" s="12"/>
      <c r="G15" s="11"/>
      <c r="H15" s="12">
        <f>+H14+E15-F15</f>
        <v>24351.899999999998</v>
      </c>
      <c r="I15" s="10"/>
      <c r="J15" s="10"/>
      <c r="K15" s="5"/>
    </row>
    <row r="16" spans="1:11" x14ac:dyDescent="0.25">
      <c r="A16" s="5"/>
      <c r="B16" s="23"/>
      <c r="C16" s="23"/>
      <c r="D16" s="24"/>
      <c r="E16" s="19"/>
      <c r="F16" s="12"/>
      <c r="G16" s="11"/>
      <c r="H16" s="12">
        <f t="shared" ref="H16:H19" si="0">+H15+E16-F16</f>
        <v>24351.899999999998</v>
      </c>
      <c r="I16" s="10"/>
      <c r="J16" s="10"/>
      <c r="K16" s="5"/>
    </row>
    <row r="17" spans="1:11" x14ac:dyDescent="0.25">
      <c r="A17" s="5"/>
      <c r="B17" s="23"/>
      <c r="C17" s="23"/>
      <c r="D17" s="24"/>
      <c r="E17" s="19"/>
      <c r="F17" s="12"/>
      <c r="G17" s="11"/>
      <c r="H17" s="12">
        <f t="shared" si="0"/>
        <v>24351.899999999998</v>
      </c>
      <c r="I17" s="10"/>
      <c r="J17" s="10"/>
      <c r="K17" s="5"/>
    </row>
    <row r="18" spans="1:11" x14ac:dyDescent="0.25">
      <c r="A18" s="5"/>
      <c r="B18" s="23"/>
      <c r="C18" s="23"/>
      <c r="D18" s="24"/>
      <c r="E18" s="19"/>
      <c r="F18" s="12"/>
      <c r="G18" s="11"/>
      <c r="H18" s="12">
        <f t="shared" si="0"/>
        <v>24351.899999999998</v>
      </c>
      <c r="I18" s="10"/>
      <c r="J18" s="10"/>
      <c r="K18" s="5"/>
    </row>
    <row r="19" spans="1:11" ht="16.5" thickBot="1" x14ac:dyDescent="0.3">
      <c r="A19" s="5"/>
      <c r="B19" s="23"/>
      <c r="C19" s="23"/>
      <c r="D19" s="24"/>
      <c r="E19" s="19"/>
      <c r="F19" s="12"/>
      <c r="G19" s="11"/>
      <c r="H19" s="27">
        <f t="shared" si="0"/>
        <v>24351.899999999998</v>
      </c>
      <c r="I19" s="10"/>
      <c r="J19" s="10"/>
      <c r="K19" s="5"/>
    </row>
    <row r="20" spans="1:11" ht="17.25" thickTop="1" thickBot="1" x14ac:dyDescent="0.3">
      <c r="A20" s="5"/>
      <c r="B20" s="268" t="s">
        <v>55</v>
      </c>
      <c r="C20" s="268"/>
      <c r="D20" s="268"/>
      <c r="E20" s="20">
        <f>SUM(E11:E19)</f>
        <v>24351.899999999998</v>
      </c>
      <c r="F20" s="25">
        <f>SUM(F11:F19)</f>
        <v>0</v>
      </c>
      <c r="G20" s="5"/>
      <c r="H20" s="5"/>
      <c r="I20" s="5"/>
      <c r="J20" s="5"/>
      <c r="K20" s="5"/>
    </row>
    <row r="21" spans="1:11" ht="16.5" thickBot="1" x14ac:dyDescent="0.3">
      <c r="A21" s="5"/>
      <c r="B21" s="5"/>
      <c r="C21" s="5"/>
      <c r="D21" s="5"/>
      <c r="E21" s="5"/>
      <c r="F21" s="26">
        <f>+E20-F20</f>
        <v>24351.899999999998</v>
      </c>
      <c r="G21" s="5"/>
      <c r="H21" s="5"/>
      <c r="I21" s="5"/>
      <c r="J21" s="5"/>
      <c r="K21" s="5"/>
    </row>
    <row r="22" spans="1:11" x14ac:dyDescent="0.25">
      <c r="A22" s="5"/>
      <c r="B22" s="5"/>
      <c r="C22" s="5"/>
      <c r="D22" s="5"/>
      <c r="E22" s="5"/>
      <c r="F22" s="5"/>
      <c r="G22" s="5"/>
      <c r="H22" s="16"/>
      <c r="I22" s="16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16"/>
      <c r="I23" s="5"/>
      <c r="J23" s="5"/>
      <c r="K23" s="5"/>
    </row>
  </sheetData>
  <mergeCells count="3">
    <mergeCell ref="B2:J2"/>
    <mergeCell ref="B3:J3"/>
    <mergeCell ref="B20:D2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1"/>
  <dimension ref="A1:K25"/>
  <sheetViews>
    <sheetView topLeftCell="A4" workbookViewId="0">
      <selection activeCell="F11" sqref="F1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3.2851562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15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68320858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16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5"/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ht="63" x14ac:dyDescent="0.25">
      <c r="A11" s="5"/>
      <c r="B11" s="10">
        <v>211215</v>
      </c>
      <c r="C11" s="10"/>
      <c r="D11" s="11">
        <v>44545</v>
      </c>
      <c r="E11" s="12">
        <v>23293</v>
      </c>
      <c r="F11" s="10"/>
      <c r="G11" s="10"/>
      <c r="H11" s="12">
        <f>+E11-F11</f>
        <v>23293</v>
      </c>
      <c r="I11" s="10"/>
      <c r="J11" s="21" t="s">
        <v>17</v>
      </c>
      <c r="K11" s="5"/>
    </row>
    <row r="12" spans="1:11" x14ac:dyDescent="0.25">
      <c r="A12" s="5"/>
      <c r="B12" s="10"/>
      <c r="C12" s="10"/>
      <c r="D12" s="11"/>
      <c r="E12" s="12"/>
      <c r="F12" s="10"/>
      <c r="G12" s="10"/>
      <c r="H12" s="12">
        <f>+H11+E12-F12</f>
        <v>23293</v>
      </c>
      <c r="I12" s="10"/>
      <c r="J12" s="15"/>
      <c r="K12" s="5"/>
    </row>
    <row r="13" spans="1:11" x14ac:dyDescent="0.25">
      <c r="A13" s="5"/>
      <c r="B13" s="10"/>
      <c r="C13" s="10"/>
      <c r="D13" s="11"/>
      <c r="E13" s="12"/>
      <c r="F13" s="10"/>
      <c r="G13" s="10"/>
      <c r="H13" s="12">
        <f t="shared" ref="H13:H21" si="0">+H12+E13-F13</f>
        <v>23293</v>
      </c>
      <c r="I13" s="10"/>
      <c r="J13" s="15"/>
      <c r="K13" s="5"/>
    </row>
    <row r="14" spans="1:11" x14ac:dyDescent="0.25">
      <c r="A14" s="5"/>
      <c r="B14" s="10"/>
      <c r="C14" s="10"/>
      <c r="D14" s="11"/>
      <c r="E14" s="12"/>
      <c r="F14" s="10"/>
      <c r="G14" s="10"/>
      <c r="H14" s="12">
        <f t="shared" si="0"/>
        <v>23293</v>
      </c>
      <c r="I14" s="10"/>
      <c r="J14" s="10"/>
      <c r="K14" s="5"/>
    </row>
    <row r="15" spans="1:11" x14ac:dyDescent="0.25">
      <c r="A15" s="5"/>
      <c r="B15" s="10"/>
      <c r="C15" s="10"/>
      <c r="D15" s="11"/>
      <c r="E15" s="12"/>
      <c r="F15" s="10"/>
      <c r="G15" s="10"/>
      <c r="H15" s="12">
        <f t="shared" si="0"/>
        <v>23293</v>
      </c>
      <c r="I15" s="10"/>
      <c r="J15" s="10"/>
      <c r="K15" s="5"/>
    </row>
    <row r="16" spans="1:11" x14ac:dyDescent="0.25">
      <c r="A16" s="5"/>
      <c r="B16" s="10"/>
      <c r="C16" s="10"/>
      <c r="D16" s="11"/>
      <c r="E16" s="12"/>
      <c r="F16" s="10"/>
      <c r="G16" s="10"/>
      <c r="H16" s="12">
        <f t="shared" si="0"/>
        <v>23293</v>
      </c>
      <c r="I16" s="10"/>
      <c r="J16" s="10"/>
      <c r="K16" s="5"/>
    </row>
    <row r="17" spans="1:11" x14ac:dyDescent="0.25">
      <c r="A17" s="5"/>
      <c r="B17" s="10"/>
      <c r="C17" s="10"/>
      <c r="D17" s="11"/>
      <c r="E17" s="12"/>
      <c r="F17" s="10"/>
      <c r="G17" s="10"/>
      <c r="H17" s="12">
        <f t="shared" si="0"/>
        <v>23293</v>
      </c>
      <c r="I17" s="10"/>
      <c r="J17" s="10"/>
      <c r="K17" s="5"/>
    </row>
    <row r="18" spans="1:11" x14ac:dyDescent="0.25">
      <c r="A18" s="5"/>
      <c r="B18" s="10"/>
      <c r="C18" s="10"/>
      <c r="D18" s="11"/>
      <c r="E18" s="12"/>
      <c r="F18" s="10"/>
      <c r="G18" s="10"/>
      <c r="H18" s="12">
        <f t="shared" si="0"/>
        <v>23293</v>
      </c>
      <c r="I18" s="10"/>
      <c r="J18" s="10"/>
      <c r="K18" s="5"/>
    </row>
    <row r="19" spans="1:11" x14ac:dyDescent="0.25">
      <c r="A19" s="5"/>
      <c r="B19" s="10"/>
      <c r="C19" s="10"/>
      <c r="D19" s="11"/>
      <c r="E19" s="12"/>
      <c r="F19" s="10"/>
      <c r="G19" s="10"/>
      <c r="H19" s="12">
        <f t="shared" si="0"/>
        <v>23293</v>
      </c>
      <c r="I19" s="10"/>
      <c r="J19" s="10"/>
      <c r="K19" s="5"/>
    </row>
    <row r="20" spans="1:11" x14ac:dyDescent="0.25">
      <c r="A20" s="5"/>
      <c r="B20" s="10"/>
      <c r="C20" s="10"/>
      <c r="D20" s="11"/>
      <c r="E20" s="12"/>
      <c r="F20" s="10"/>
      <c r="G20" s="10"/>
      <c r="H20" s="12">
        <f t="shared" si="0"/>
        <v>23293</v>
      </c>
      <c r="I20" s="10"/>
      <c r="J20" s="10"/>
      <c r="K20" s="5"/>
    </row>
    <row r="21" spans="1:11" ht="16.5" thickBot="1" x14ac:dyDescent="0.3">
      <c r="A21" s="5"/>
      <c r="B21" s="17"/>
      <c r="C21" s="17"/>
      <c r="D21" s="18"/>
      <c r="E21" s="19"/>
      <c r="F21" s="17"/>
      <c r="G21" s="10"/>
      <c r="H21" s="12">
        <f t="shared" si="0"/>
        <v>23293</v>
      </c>
      <c r="I21" s="10"/>
      <c r="J21" s="10"/>
      <c r="K21" s="5"/>
    </row>
    <row r="22" spans="1:11" ht="16.5" thickTop="1" x14ac:dyDescent="0.25">
      <c r="A22" s="5"/>
      <c r="B22" s="268" t="s">
        <v>55</v>
      </c>
      <c r="C22" s="268"/>
      <c r="D22" s="268"/>
      <c r="E22" s="20">
        <f>SUM(E11:E21)</f>
        <v>23293</v>
      </c>
      <c r="F22" s="20">
        <f>SUM(F11:F21)</f>
        <v>0</v>
      </c>
      <c r="G22" s="5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</sheetData>
  <mergeCells count="3">
    <mergeCell ref="B2:J2"/>
    <mergeCell ref="B3:J3"/>
    <mergeCell ref="B22:D2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2"/>
  <dimension ref="A1:K27"/>
  <sheetViews>
    <sheetView topLeftCell="A4" workbookViewId="0">
      <selection activeCell="F11" sqref="F1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60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68374333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58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16">
        <v>60000</v>
      </c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4">
        <v>220913</v>
      </c>
      <c r="C11" s="14"/>
      <c r="D11" s="22">
        <v>44832</v>
      </c>
      <c r="E11" s="12">
        <v>11132.55</v>
      </c>
      <c r="F11" s="12">
        <v>0</v>
      </c>
      <c r="G11" s="22" t="s">
        <v>59</v>
      </c>
      <c r="H11" s="12">
        <f>+E11-F11</f>
        <v>11132.55</v>
      </c>
      <c r="I11" s="10"/>
      <c r="J11" s="21"/>
      <c r="K11" s="5"/>
    </row>
    <row r="12" spans="1:11" x14ac:dyDescent="0.25">
      <c r="A12" s="5"/>
      <c r="B12" s="14"/>
      <c r="C12" s="14"/>
      <c r="D12" s="22"/>
      <c r="E12" s="12"/>
      <c r="F12" s="12"/>
      <c r="G12" s="11"/>
      <c r="H12" s="12">
        <f>+H11+E12-F12</f>
        <v>11132.55</v>
      </c>
      <c r="I12" s="10"/>
      <c r="J12" s="15"/>
      <c r="K12" s="5"/>
    </row>
    <row r="13" spans="1:11" x14ac:dyDescent="0.25">
      <c r="A13" s="5"/>
      <c r="B13" s="14"/>
      <c r="C13" s="14"/>
      <c r="D13" s="22"/>
      <c r="E13" s="12"/>
      <c r="F13" s="12"/>
      <c r="G13" s="11"/>
      <c r="H13" s="12">
        <f t="shared" ref="H13:H23" si="0">+H12+E13-F13</f>
        <v>11132.55</v>
      </c>
      <c r="I13" s="10"/>
      <c r="J13" s="15"/>
      <c r="K13" s="5"/>
    </row>
    <row r="14" spans="1:11" x14ac:dyDescent="0.25">
      <c r="A14" s="5"/>
      <c r="B14" s="14"/>
      <c r="C14" s="14"/>
      <c r="D14" s="22"/>
      <c r="E14" s="12"/>
      <c r="F14" s="12"/>
      <c r="G14" s="11"/>
      <c r="H14" s="12">
        <f t="shared" si="0"/>
        <v>11132.55</v>
      </c>
      <c r="I14" s="10"/>
      <c r="J14" s="10"/>
      <c r="K14" s="5"/>
    </row>
    <row r="15" spans="1:11" x14ac:dyDescent="0.25">
      <c r="A15" s="5"/>
      <c r="B15" s="14"/>
      <c r="C15" s="14"/>
      <c r="D15" s="22"/>
      <c r="E15" s="12"/>
      <c r="F15" s="12"/>
      <c r="G15" s="11"/>
      <c r="H15" s="12">
        <f t="shared" si="0"/>
        <v>11132.55</v>
      </c>
      <c r="I15" s="10"/>
      <c r="J15" s="10"/>
      <c r="K15" s="5"/>
    </row>
    <row r="16" spans="1:11" x14ac:dyDescent="0.25">
      <c r="A16" s="5"/>
      <c r="B16" s="23"/>
      <c r="C16" s="23"/>
      <c r="D16" s="24"/>
      <c r="E16" s="19"/>
      <c r="F16" s="12"/>
      <c r="G16" s="11"/>
      <c r="H16" s="12">
        <f t="shared" si="0"/>
        <v>11132.55</v>
      </c>
      <c r="I16" s="10"/>
      <c r="J16" s="10"/>
      <c r="K16" s="5"/>
    </row>
    <row r="17" spans="1:11" x14ac:dyDescent="0.25">
      <c r="A17" s="5"/>
      <c r="B17" s="23"/>
      <c r="C17" s="23"/>
      <c r="D17" s="24"/>
      <c r="E17" s="19"/>
      <c r="F17" s="12"/>
      <c r="G17" s="11"/>
      <c r="H17" s="12">
        <f t="shared" si="0"/>
        <v>11132.55</v>
      </c>
      <c r="I17" s="10"/>
      <c r="J17" s="10"/>
      <c r="K17" s="5"/>
    </row>
    <row r="18" spans="1:11" x14ac:dyDescent="0.25">
      <c r="A18" s="5"/>
      <c r="B18" s="23"/>
      <c r="C18" s="23"/>
      <c r="D18" s="24"/>
      <c r="E18" s="19"/>
      <c r="F18" s="12"/>
      <c r="G18" s="11"/>
      <c r="H18" s="12">
        <f>+H17+E18-F18</f>
        <v>11132.55</v>
      </c>
      <c r="I18" s="10"/>
      <c r="J18" s="10"/>
      <c r="K18" s="5"/>
    </row>
    <row r="19" spans="1:11" x14ac:dyDescent="0.25">
      <c r="A19" s="5"/>
      <c r="B19" s="23"/>
      <c r="C19" s="23"/>
      <c r="D19" s="24"/>
      <c r="E19" s="19"/>
      <c r="F19" s="12"/>
      <c r="G19" s="11"/>
      <c r="H19" s="12">
        <f>+H18+E19-F19</f>
        <v>11132.55</v>
      </c>
      <c r="I19" s="10"/>
      <c r="J19" s="10"/>
      <c r="K19" s="5"/>
    </row>
    <row r="20" spans="1:11" x14ac:dyDescent="0.25">
      <c r="A20" s="5"/>
      <c r="B20" s="23"/>
      <c r="C20" s="23"/>
      <c r="D20" s="24"/>
      <c r="E20" s="19"/>
      <c r="F20" s="12"/>
      <c r="G20" s="11"/>
      <c r="H20" s="12">
        <f t="shared" si="0"/>
        <v>11132.55</v>
      </c>
      <c r="I20" s="10"/>
      <c r="J20" s="10"/>
      <c r="K20" s="5"/>
    </row>
    <row r="21" spans="1:11" x14ac:dyDescent="0.25">
      <c r="A21" s="5"/>
      <c r="B21" s="23"/>
      <c r="C21" s="23"/>
      <c r="D21" s="24"/>
      <c r="E21" s="19"/>
      <c r="F21" s="12"/>
      <c r="G21" s="11"/>
      <c r="H21" s="12">
        <f t="shared" si="0"/>
        <v>11132.55</v>
      </c>
      <c r="I21" s="10"/>
      <c r="J21" s="10"/>
      <c r="K21" s="5"/>
    </row>
    <row r="22" spans="1:11" x14ac:dyDescent="0.25">
      <c r="A22" s="5"/>
      <c r="B22" s="23"/>
      <c r="C22" s="23"/>
      <c r="D22" s="24"/>
      <c r="E22" s="19"/>
      <c r="F22" s="12"/>
      <c r="G22" s="11"/>
      <c r="H22" s="12">
        <f t="shared" si="0"/>
        <v>11132.55</v>
      </c>
      <c r="I22" s="10"/>
      <c r="J22" s="10"/>
      <c r="K22" s="5"/>
    </row>
    <row r="23" spans="1:11" ht="16.5" thickBot="1" x14ac:dyDescent="0.3">
      <c r="A23" s="5"/>
      <c r="B23" s="23"/>
      <c r="C23" s="23"/>
      <c r="D23" s="24"/>
      <c r="E23" s="19"/>
      <c r="F23" s="12"/>
      <c r="G23" s="11"/>
      <c r="H23" s="27">
        <f t="shared" si="0"/>
        <v>11132.55</v>
      </c>
      <c r="I23" s="10"/>
      <c r="J23" s="10"/>
      <c r="K23" s="5"/>
    </row>
    <row r="24" spans="1:11" ht="17.25" thickTop="1" thickBot="1" x14ac:dyDescent="0.3">
      <c r="A24" s="5"/>
      <c r="B24" s="268" t="s">
        <v>55</v>
      </c>
      <c r="C24" s="268"/>
      <c r="D24" s="268"/>
      <c r="E24" s="20">
        <f>SUM(E11:E23)</f>
        <v>11132.55</v>
      </c>
      <c r="F24" s="25">
        <f>SUM(F11:F23)</f>
        <v>0</v>
      </c>
      <c r="G24" s="5"/>
      <c r="H24" s="5"/>
      <c r="I24" s="5"/>
      <c r="J24" s="5"/>
      <c r="K24" s="5"/>
    </row>
    <row r="25" spans="1:11" ht="16.5" thickBot="1" x14ac:dyDescent="0.3">
      <c r="A25" s="5"/>
      <c r="B25" s="5"/>
      <c r="C25" s="5"/>
      <c r="D25" s="5"/>
      <c r="E25" s="5"/>
      <c r="F25" s="26">
        <f>+E24-F24</f>
        <v>11132.55</v>
      </c>
      <c r="G25" s="5"/>
      <c r="H25" s="5"/>
      <c r="I25" s="5"/>
      <c r="J25" s="5"/>
      <c r="K25" s="5"/>
    </row>
    <row r="26" spans="1:11" x14ac:dyDescent="0.25">
      <c r="A26" s="5"/>
      <c r="B26" s="5"/>
      <c r="C26" s="5"/>
      <c r="D26" s="5"/>
      <c r="E26" s="5"/>
      <c r="F26" s="5"/>
      <c r="G26" s="5"/>
      <c r="H26" s="16"/>
      <c r="I26" s="16"/>
      <c r="J26" s="5"/>
      <c r="K26" s="5"/>
    </row>
    <row r="27" spans="1:11" x14ac:dyDescent="0.25">
      <c r="A27" s="5"/>
      <c r="B27" s="5"/>
      <c r="C27" s="5"/>
      <c r="D27" s="5"/>
      <c r="E27" s="5"/>
      <c r="F27" s="5"/>
      <c r="G27" s="5"/>
      <c r="H27" s="16"/>
      <c r="I27" s="5"/>
      <c r="J27" s="5"/>
      <c r="K27" s="5"/>
    </row>
  </sheetData>
  <mergeCells count="3">
    <mergeCell ref="B2:J2"/>
    <mergeCell ref="B3:J3"/>
    <mergeCell ref="B24:D2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3"/>
  <dimension ref="A1:K25"/>
  <sheetViews>
    <sheetView topLeftCell="A2" workbookViewId="0">
      <selection activeCell="F11" sqref="F1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3.2851562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8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71861156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54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5"/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0">
        <v>210518</v>
      </c>
      <c r="C11" s="10"/>
      <c r="D11" s="11">
        <v>44334</v>
      </c>
      <c r="E11" s="12">
        <v>7220.5</v>
      </c>
      <c r="F11" s="10"/>
      <c r="G11" s="10"/>
      <c r="H11" s="12">
        <f>+E11-F11</f>
        <v>7220.5</v>
      </c>
      <c r="I11" s="10"/>
      <c r="J11" s="10" t="s">
        <v>51</v>
      </c>
      <c r="K11" s="5"/>
    </row>
    <row r="12" spans="1:11" x14ac:dyDescent="0.25">
      <c r="A12" s="5"/>
      <c r="B12" s="10"/>
      <c r="C12" s="10"/>
      <c r="D12" s="10"/>
      <c r="E12" s="12"/>
      <c r="F12" s="10"/>
      <c r="G12" s="10"/>
      <c r="H12" s="12">
        <f>+H11+E12-F12</f>
        <v>7220.5</v>
      </c>
      <c r="I12" s="10"/>
      <c r="J12" s="10"/>
      <c r="K12" s="5"/>
    </row>
    <row r="13" spans="1:11" x14ac:dyDescent="0.25">
      <c r="A13" s="5"/>
      <c r="B13" s="10"/>
      <c r="C13" s="10"/>
      <c r="D13" s="10"/>
      <c r="E13" s="12"/>
      <c r="F13" s="10"/>
      <c r="G13" s="10"/>
      <c r="H13" s="12">
        <f t="shared" ref="H13:H21" si="0">+H12+E13-F13</f>
        <v>7220.5</v>
      </c>
      <c r="I13" s="10"/>
      <c r="J13" s="10"/>
      <c r="K13" s="5"/>
    </row>
    <row r="14" spans="1:11" x14ac:dyDescent="0.25">
      <c r="A14" s="5"/>
      <c r="B14" s="10"/>
      <c r="C14" s="10"/>
      <c r="D14" s="10"/>
      <c r="E14" s="12"/>
      <c r="F14" s="10"/>
      <c r="G14" s="10"/>
      <c r="H14" s="12">
        <f t="shared" si="0"/>
        <v>7220.5</v>
      </c>
      <c r="I14" s="10"/>
      <c r="J14" s="10"/>
      <c r="K14" s="5"/>
    </row>
    <row r="15" spans="1:11" x14ac:dyDescent="0.25">
      <c r="A15" s="5"/>
      <c r="B15" s="10"/>
      <c r="C15" s="10"/>
      <c r="D15" s="10"/>
      <c r="E15" s="12"/>
      <c r="F15" s="10"/>
      <c r="G15" s="10"/>
      <c r="H15" s="12">
        <f t="shared" si="0"/>
        <v>7220.5</v>
      </c>
      <c r="I15" s="10"/>
      <c r="J15" s="10"/>
      <c r="K15" s="5"/>
    </row>
    <row r="16" spans="1:11" x14ac:dyDescent="0.25">
      <c r="A16" s="5"/>
      <c r="B16" s="10"/>
      <c r="C16" s="10"/>
      <c r="D16" s="10"/>
      <c r="E16" s="12"/>
      <c r="F16" s="10"/>
      <c r="G16" s="10"/>
      <c r="H16" s="12">
        <f t="shared" si="0"/>
        <v>7220.5</v>
      </c>
      <c r="I16" s="10"/>
      <c r="J16" s="10"/>
      <c r="K16" s="5"/>
    </row>
    <row r="17" spans="1:11" x14ac:dyDescent="0.25">
      <c r="A17" s="5"/>
      <c r="B17" s="10"/>
      <c r="C17" s="10"/>
      <c r="D17" s="10"/>
      <c r="E17" s="12"/>
      <c r="F17" s="10"/>
      <c r="G17" s="10"/>
      <c r="H17" s="12">
        <f t="shared" si="0"/>
        <v>7220.5</v>
      </c>
      <c r="I17" s="10"/>
      <c r="J17" s="10"/>
      <c r="K17" s="5"/>
    </row>
    <row r="18" spans="1:11" x14ac:dyDescent="0.25">
      <c r="A18" s="5"/>
      <c r="B18" s="10"/>
      <c r="C18" s="10"/>
      <c r="D18" s="10"/>
      <c r="E18" s="12"/>
      <c r="F18" s="10"/>
      <c r="G18" s="10"/>
      <c r="H18" s="12">
        <f t="shared" si="0"/>
        <v>7220.5</v>
      </c>
      <c r="I18" s="10"/>
      <c r="J18" s="10"/>
      <c r="K18" s="5"/>
    </row>
    <row r="19" spans="1:11" x14ac:dyDescent="0.25">
      <c r="A19" s="5"/>
      <c r="B19" s="10"/>
      <c r="C19" s="10"/>
      <c r="D19" s="10"/>
      <c r="E19" s="12"/>
      <c r="F19" s="10"/>
      <c r="G19" s="10"/>
      <c r="H19" s="12">
        <f t="shared" si="0"/>
        <v>7220.5</v>
      </c>
      <c r="I19" s="10"/>
      <c r="J19" s="10"/>
      <c r="K19" s="5"/>
    </row>
    <row r="20" spans="1:11" x14ac:dyDescent="0.25">
      <c r="A20" s="5"/>
      <c r="B20" s="10"/>
      <c r="C20" s="10"/>
      <c r="D20" s="10"/>
      <c r="E20" s="12"/>
      <c r="F20" s="10"/>
      <c r="G20" s="10"/>
      <c r="H20" s="12">
        <f t="shared" si="0"/>
        <v>7220.5</v>
      </c>
      <c r="I20" s="10"/>
      <c r="J20" s="10"/>
      <c r="K20" s="5"/>
    </row>
    <row r="21" spans="1:11" x14ac:dyDescent="0.25">
      <c r="A21" s="5"/>
      <c r="B21" s="10"/>
      <c r="C21" s="10"/>
      <c r="D21" s="10"/>
      <c r="E21" s="12"/>
      <c r="F21" s="10"/>
      <c r="G21" s="10"/>
      <c r="H21" s="12">
        <f t="shared" si="0"/>
        <v>7220.5</v>
      </c>
      <c r="I21" s="10"/>
      <c r="J21" s="10"/>
      <c r="K21" s="5"/>
    </row>
    <row r="22" spans="1:11" x14ac:dyDescent="0.25">
      <c r="A22" s="5"/>
      <c r="B22" s="5"/>
      <c r="C22" s="5"/>
      <c r="D22" s="5"/>
      <c r="E22" s="47">
        <f>SUM(E11:E21)</f>
        <v>7220.5</v>
      </c>
      <c r="F22" s="47">
        <f>SUM(F11:F21)</f>
        <v>0</v>
      </c>
      <c r="G22" s="5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</sheetData>
  <mergeCells count="2">
    <mergeCell ref="B2:J2"/>
    <mergeCell ref="B3:J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4">
    <tabColor rgb="FF00B050"/>
  </sheetPr>
  <dimension ref="A1:K22"/>
  <sheetViews>
    <sheetView topLeftCell="A4" workbookViewId="0">
      <selection activeCell="F12" sqref="F12"/>
    </sheetView>
  </sheetViews>
  <sheetFormatPr baseColWidth="10" defaultColWidth="11.42578125" defaultRowHeight="15.75" x14ac:dyDescent="0.25"/>
  <cols>
    <col min="1" max="1" width="5" style="1" customWidth="1"/>
    <col min="2" max="2" width="11.42578125" style="1" customWidth="1"/>
    <col min="3" max="3" width="11.7109375" style="1" customWidth="1"/>
    <col min="4" max="4" width="14.7109375" style="1" customWidth="1"/>
    <col min="5" max="5" width="14" style="1" customWidth="1"/>
    <col min="6" max="6" width="13.85546875" style="1" customWidth="1"/>
    <col min="7" max="7" width="14" style="1" customWidth="1"/>
    <col min="8" max="8" width="12.5703125" style="1" customWidth="1"/>
    <col min="9" max="9" width="13.85546875" style="1" hidden="1" customWidth="1"/>
    <col min="10" max="10" width="16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28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74282999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61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16">
        <v>30000</v>
      </c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4">
        <v>220507</v>
      </c>
      <c r="C11" s="14"/>
      <c r="D11" s="22">
        <v>44688</v>
      </c>
      <c r="E11" s="12">
        <v>6470</v>
      </c>
      <c r="F11" s="12">
        <v>0</v>
      </c>
      <c r="G11" s="22" t="s">
        <v>59</v>
      </c>
      <c r="H11" s="12">
        <f>+E11-F11</f>
        <v>6470</v>
      </c>
      <c r="I11" s="10"/>
      <c r="J11" s="21"/>
      <c r="K11" s="5"/>
    </row>
    <row r="12" spans="1:11" x14ac:dyDescent="0.25">
      <c r="A12" s="5"/>
      <c r="B12" s="14">
        <v>250112</v>
      </c>
      <c r="C12" s="14">
        <v>1538</v>
      </c>
      <c r="D12" s="22">
        <v>45666</v>
      </c>
      <c r="E12" s="12">
        <v>30305</v>
      </c>
      <c r="F12" s="12">
        <v>36775</v>
      </c>
      <c r="G12" s="11">
        <v>45654</v>
      </c>
      <c r="H12" s="12">
        <f>+H11+E12-F12</f>
        <v>0</v>
      </c>
      <c r="I12" s="10"/>
      <c r="J12" s="151" t="s">
        <v>153</v>
      </c>
      <c r="K12" s="5" t="s">
        <v>136</v>
      </c>
    </row>
    <row r="13" spans="1:11" x14ac:dyDescent="0.25">
      <c r="A13" s="5"/>
      <c r="B13" s="14"/>
      <c r="C13" s="14"/>
      <c r="D13" s="22"/>
      <c r="E13" s="12"/>
      <c r="F13" s="12"/>
      <c r="G13" s="11"/>
      <c r="H13" s="12">
        <f t="shared" ref="H13:H18" si="0">+H12+E13-F13</f>
        <v>0</v>
      </c>
      <c r="I13" s="10"/>
      <c r="J13" s="15"/>
      <c r="K13" s="5"/>
    </row>
    <row r="14" spans="1:11" x14ac:dyDescent="0.25">
      <c r="A14" s="5"/>
      <c r="B14" s="23"/>
      <c r="C14" s="23"/>
      <c r="D14" s="24"/>
      <c r="E14" s="19"/>
      <c r="F14" s="12"/>
      <c r="G14" s="11"/>
      <c r="H14" s="12">
        <f t="shared" si="0"/>
        <v>0</v>
      </c>
      <c r="I14" s="10"/>
      <c r="J14" s="10"/>
      <c r="K14" s="5"/>
    </row>
    <row r="15" spans="1:11" x14ac:dyDescent="0.25">
      <c r="A15" s="5"/>
      <c r="B15" s="23"/>
      <c r="C15" s="23"/>
      <c r="D15" s="24"/>
      <c r="E15" s="19"/>
      <c r="F15" s="12"/>
      <c r="G15" s="11"/>
      <c r="H15" s="12">
        <f t="shared" si="0"/>
        <v>0</v>
      </c>
      <c r="I15" s="10"/>
      <c r="J15" s="10"/>
      <c r="K15" s="5"/>
    </row>
    <row r="16" spans="1:11" x14ac:dyDescent="0.25">
      <c r="A16" s="5"/>
      <c r="B16" s="23"/>
      <c r="C16" s="23"/>
      <c r="D16" s="24"/>
      <c r="E16" s="19"/>
      <c r="F16" s="12"/>
      <c r="G16" s="11"/>
      <c r="H16" s="12">
        <f t="shared" si="0"/>
        <v>0</v>
      </c>
      <c r="I16" s="10"/>
      <c r="J16" s="10"/>
      <c r="K16" s="5"/>
    </row>
    <row r="17" spans="1:11" x14ac:dyDescent="0.25">
      <c r="A17" s="5"/>
      <c r="B17" s="23"/>
      <c r="C17" s="23"/>
      <c r="D17" s="24"/>
      <c r="E17" s="19"/>
      <c r="F17" s="12"/>
      <c r="G17" s="11"/>
      <c r="H17" s="12">
        <f t="shared" si="0"/>
        <v>0</v>
      </c>
      <c r="I17" s="10"/>
      <c r="J17" s="10"/>
      <c r="K17" s="5"/>
    </row>
    <row r="18" spans="1:11" ht="16.5" thickBot="1" x14ac:dyDescent="0.3">
      <c r="A18" s="5"/>
      <c r="B18" s="23"/>
      <c r="C18" s="23"/>
      <c r="D18" s="24"/>
      <c r="E18" s="19"/>
      <c r="F18" s="12"/>
      <c r="G18" s="11"/>
      <c r="H18" s="27">
        <f t="shared" si="0"/>
        <v>0</v>
      </c>
      <c r="I18" s="10"/>
      <c r="J18" s="10"/>
      <c r="K18" s="5"/>
    </row>
    <row r="19" spans="1:11" ht="17.25" thickTop="1" thickBot="1" x14ac:dyDescent="0.3">
      <c r="A19" s="5"/>
      <c r="B19" s="268" t="s">
        <v>55</v>
      </c>
      <c r="C19" s="268"/>
      <c r="D19" s="268"/>
      <c r="E19" s="20">
        <f>SUM(E11:E18)</f>
        <v>36775</v>
      </c>
      <c r="F19" s="25">
        <f>SUM(F11:F18)</f>
        <v>36775</v>
      </c>
      <c r="G19" s="5"/>
      <c r="H19" s="5"/>
      <c r="I19" s="5"/>
      <c r="J19" s="5"/>
      <c r="K19" s="5"/>
    </row>
    <row r="20" spans="1:11" ht="16.5" thickBot="1" x14ac:dyDescent="0.3">
      <c r="A20" s="5"/>
      <c r="B20" s="5"/>
      <c r="C20" s="5"/>
      <c r="D20" s="5"/>
      <c r="E20" s="5"/>
      <c r="F20" s="26">
        <f>+E19-F19</f>
        <v>0</v>
      </c>
      <c r="G20" s="5"/>
      <c r="H20" s="5"/>
      <c r="I20" s="5"/>
      <c r="J20" s="5"/>
      <c r="K20" s="5"/>
    </row>
    <row r="21" spans="1:11" x14ac:dyDescent="0.25">
      <c r="A21" s="5"/>
      <c r="B21" s="5"/>
      <c r="C21" s="5"/>
      <c r="D21" s="5"/>
      <c r="E21" s="5"/>
      <c r="F21" s="5"/>
      <c r="G21" s="5"/>
      <c r="H21" s="16"/>
      <c r="I21" s="16"/>
      <c r="J21" s="5"/>
      <c r="K21" s="5"/>
    </row>
    <row r="22" spans="1:11" x14ac:dyDescent="0.25">
      <c r="A22" s="5"/>
      <c r="B22" s="5"/>
      <c r="C22" s="5"/>
      <c r="D22" s="5"/>
      <c r="E22" s="5"/>
      <c r="F22" s="5"/>
      <c r="G22" s="5"/>
      <c r="H22" s="16"/>
      <c r="I22" s="5"/>
      <c r="J22" s="5"/>
      <c r="K22" s="5"/>
    </row>
  </sheetData>
  <mergeCells count="3">
    <mergeCell ref="B2:J2"/>
    <mergeCell ref="B3:J3"/>
    <mergeCell ref="B19:D19"/>
  </mergeCells>
  <pageMargins left="0.7" right="0.7" top="0.75" bottom="0.75" header="0.3" footer="0.3"/>
  <pageSetup paperSize="9" scale="75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/>
  <dimension ref="A1:K25"/>
  <sheetViews>
    <sheetView topLeftCell="A4" workbookViewId="0">
      <selection activeCell="F11" sqref="F1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3.2851562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10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73476601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53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5"/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0">
        <v>210630</v>
      </c>
      <c r="C11" s="10"/>
      <c r="D11" s="11">
        <v>44376</v>
      </c>
      <c r="E11" s="12">
        <v>3974.5</v>
      </c>
      <c r="F11" s="10"/>
      <c r="G11" s="10"/>
      <c r="H11" s="12">
        <f>+E11-F11</f>
        <v>3974.5</v>
      </c>
      <c r="I11" s="10"/>
      <c r="J11" s="10" t="s">
        <v>51</v>
      </c>
      <c r="K11" s="5"/>
    </row>
    <row r="12" spans="1:11" x14ac:dyDescent="0.25">
      <c r="A12" s="5"/>
      <c r="B12" s="10"/>
      <c r="C12" s="10"/>
      <c r="D12" s="10"/>
      <c r="E12" s="12"/>
      <c r="F12" s="10"/>
      <c r="G12" s="10"/>
      <c r="H12" s="12">
        <f>+H11+E12-F12</f>
        <v>3974.5</v>
      </c>
      <c r="I12" s="10"/>
      <c r="J12" s="10"/>
      <c r="K12" s="5"/>
    </row>
    <row r="13" spans="1:11" x14ac:dyDescent="0.25">
      <c r="A13" s="5"/>
      <c r="B13" s="10"/>
      <c r="C13" s="10"/>
      <c r="D13" s="10"/>
      <c r="E13" s="12"/>
      <c r="F13" s="10"/>
      <c r="G13" s="10"/>
      <c r="H13" s="12">
        <f t="shared" ref="H13:H21" si="0">+H12+E13-F13</f>
        <v>3974.5</v>
      </c>
      <c r="I13" s="10"/>
      <c r="J13" s="10"/>
      <c r="K13" s="5"/>
    </row>
    <row r="14" spans="1:11" x14ac:dyDescent="0.25">
      <c r="A14" s="5"/>
      <c r="B14" s="10"/>
      <c r="C14" s="10"/>
      <c r="D14" s="10"/>
      <c r="E14" s="12"/>
      <c r="F14" s="10"/>
      <c r="G14" s="10"/>
      <c r="H14" s="12">
        <f t="shared" si="0"/>
        <v>3974.5</v>
      </c>
      <c r="I14" s="10"/>
      <c r="J14" s="10"/>
      <c r="K14" s="5"/>
    </row>
    <row r="15" spans="1:11" x14ac:dyDescent="0.25">
      <c r="A15" s="5"/>
      <c r="B15" s="10"/>
      <c r="C15" s="10"/>
      <c r="D15" s="10"/>
      <c r="E15" s="12"/>
      <c r="F15" s="10"/>
      <c r="G15" s="10"/>
      <c r="H15" s="12">
        <f t="shared" si="0"/>
        <v>3974.5</v>
      </c>
      <c r="I15" s="10"/>
      <c r="J15" s="10"/>
      <c r="K15" s="5"/>
    </row>
    <row r="16" spans="1:11" x14ac:dyDescent="0.25">
      <c r="A16" s="5"/>
      <c r="B16" s="10"/>
      <c r="C16" s="10"/>
      <c r="D16" s="10"/>
      <c r="E16" s="12"/>
      <c r="F16" s="10"/>
      <c r="G16" s="10"/>
      <c r="H16" s="12">
        <f t="shared" si="0"/>
        <v>3974.5</v>
      </c>
      <c r="I16" s="10"/>
      <c r="J16" s="10"/>
      <c r="K16" s="5"/>
    </row>
    <row r="17" spans="1:11" x14ac:dyDescent="0.25">
      <c r="A17" s="5"/>
      <c r="B17" s="10"/>
      <c r="C17" s="10"/>
      <c r="D17" s="10"/>
      <c r="E17" s="12"/>
      <c r="F17" s="10"/>
      <c r="G17" s="10"/>
      <c r="H17" s="12">
        <f t="shared" si="0"/>
        <v>3974.5</v>
      </c>
      <c r="I17" s="10"/>
      <c r="J17" s="10"/>
      <c r="K17" s="5"/>
    </row>
    <row r="18" spans="1:11" x14ac:dyDescent="0.25">
      <c r="A18" s="5"/>
      <c r="B18" s="10"/>
      <c r="C18" s="10"/>
      <c r="D18" s="10"/>
      <c r="E18" s="12"/>
      <c r="F18" s="10"/>
      <c r="G18" s="10"/>
      <c r="H18" s="12">
        <f t="shared" si="0"/>
        <v>3974.5</v>
      </c>
      <c r="I18" s="10"/>
      <c r="J18" s="10"/>
      <c r="K18" s="5"/>
    </row>
    <row r="19" spans="1:11" x14ac:dyDescent="0.25">
      <c r="A19" s="5"/>
      <c r="B19" s="10"/>
      <c r="C19" s="10"/>
      <c r="D19" s="10"/>
      <c r="E19" s="12"/>
      <c r="F19" s="10"/>
      <c r="G19" s="10"/>
      <c r="H19" s="12">
        <f t="shared" si="0"/>
        <v>3974.5</v>
      </c>
      <c r="I19" s="10"/>
      <c r="J19" s="10"/>
      <c r="K19" s="5"/>
    </row>
    <row r="20" spans="1:11" x14ac:dyDescent="0.25">
      <c r="A20" s="5"/>
      <c r="B20" s="10"/>
      <c r="C20" s="10"/>
      <c r="D20" s="10"/>
      <c r="E20" s="12"/>
      <c r="F20" s="10"/>
      <c r="G20" s="10"/>
      <c r="H20" s="12">
        <f t="shared" si="0"/>
        <v>3974.5</v>
      </c>
      <c r="I20" s="10"/>
      <c r="J20" s="10"/>
      <c r="K20" s="5"/>
    </row>
    <row r="21" spans="1:11" x14ac:dyDescent="0.25">
      <c r="A21" s="5"/>
      <c r="B21" s="10"/>
      <c r="C21" s="10"/>
      <c r="D21" s="10"/>
      <c r="E21" s="12"/>
      <c r="F21" s="10"/>
      <c r="G21" s="10"/>
      <c r="H21" s="12">
        <f t="shared" si="0"/>
        <v>3974.5</v>
      </c>
      <c r="I21" s="10"/>
      <c r="J21" s="10"/>
      <c r="K21" s="5"/>
    </row>
    <row r="22" spans="1:11" x14ac:dyDescent="0.25">
      <c r="A22" s="5"/>
      <c r="B22" s="5"/>
      <c r="C22" s="5"/>
      <c r="D22" s="5"/>
      <c r="E22" s="47">
        <f>SUM(E11:E21)</f>
        <v>3974.5</v>
      </c>
      <c r="F22" s="47">
        <f>SUM(F11:F21)</f>
        <v>0</v>
      </c>
      <c r="G22" s="5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</sheetData>
  <mergeCells count="2">
    <mergeCell ref="B2:J2"/>
    <mergeCell ref="B3:J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6"/>
  <dimension ref="A1:K25"/>
  <sheetViews>
    <sheetView topLeftCell="A3" workbookViewId="0">
      <selection activeCell="F11" sqref="F1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3.2851562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7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5"/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53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5"/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0">
        <v>210504</v>
      </c>
      <c r="C11" s="10"/>
      <c r="D11" s="11">
        <v>44323</v>
      </c>
      <c r="E11" s="12">
        <v>3220</v>
      </c>
      <c r="F11" s="10"/>
      <c r="G11" s="10"/>
      <c r="H11" s="12">
        <f>+E11-F11</f>
        <v>3220</v>
      </c>
      <c r="I11" s="10"/>
      <c r="J11" s="10" t="s">
        <v>51</v>
      </c>
      <c r="K11" s="5"/>
    </row>
    <row r="12" spans="1:11" x14ac:dyDescent="0.25">
      <c r="A12" s="5"/>
      <c r="B12" s="10"/>
      <c r="C12" s="10"/>
      <c r="D12" s="10"/>
      <c r="E12" s="12"/>
      <c r="F12" s="10"/>
      <c r="G12" s="10"/>
      <c r="H12" s="12">
        <f>+H11+E12-F12</f>
        <v>3220</v>
      </c>
      <c r="I12" s="10"/>
      <c r="J12" s="10"/>
      <c r="K12" s="5"/>
    </row>
    <row r="13" spans="1:11" x14ac:dyDescent="0.25">
      <c r="A13" s="5"/>
      <c r="B13" s="10"/>
      <c r="C13" s="10"/>
      <c r="D13" s="10"/>
      <c r="E13" s="12"/>
      <c r="F13" s="10"/>
      <c r="G13" s="10"/>
      <c r="H13" s="12">
        <f t="shared" ref="H13:H21" si="0">+H12+E13-F13</f>
        <v>3220</v>
      </c>
      <c r="I13" s="10"/>
      <c r="J13" s="10"/>
      <c r="K13" s="5"/>
    </row>
    <row r="14" spans="1:11" x14ac:dyDescent="0.25">
      <c r="A14" s="5"/>
      <c r="B14" s="10"/>
      <c r="C14" s="10"/>
      <c r="D14" s="10"/>
      <c r="E14" s="12"/>
      <c r="F14" s="10"/>
      <c r="G14" s="10"/>
      <c r="H14" s="12">
        <f t="shared" si="0"/>
        <v>3220</v>
      </c>
      <c r="I14" s="10"/>
      <c r="J14" s="10"/>
      <c r="K14" s="5"/>
    </row>
    <row r="15" spans="1:11" x14ac:dyDescent="0.25">
      <c r="A15" s="5"/>
      <c r="B15" s="10"/>
      <c r="C15" s="10"/>
      <c r="D15" s="10"/>
      <c r="E15" s="12"/>
      <c r="F15" s="10"/>
      <c r="G15" s="10"/>
      <c r="H15" s="12">
        <f t="shared" si="0"/>
        <v>3220</v>
      </c>
      <c r="I15" s="10"/>
      <c r="J15" s="10"/>
      <c r="K15" s="5"/>
    </row>
    <row r="16" spans="1:11" x14ac:dyDescent="0.25">
      <c r="A16" s="5"/>
      <c r="B16" s="10"/>
      <c r="C16" s="10"/>
      <c r="D16" s="10"/>
      <c r="E16" s="12"/>
      <c r="F16" s="10"/>
      <c r="G16" s="10"/>
      <c r="H16" s="12">
        <f t="shared" si="0"/>
        <v>3220</v>
      </c>
      <c r="I16" s="10"/>
      <c r="J16" s="10"/>
      <c r="K16" s="5"/>
    </row>
    <row r="17" spans="1:11" x14ac:dyDescent="0.25">
      <c r="A17" s="5"/>
      <c r="B17" s="10"/>
      <c r="C17" s="10"/>
      <c r="D17" s="10"/>
      <c r="E17" s="12"/>
      <c r="F17" s="10"/>
      <c r="G17" s="10"/>
      <c r="H17" s="12">
        <f t="shared" si="0"/>
        <v>3220</v>
      </c>
      <c r="I17" s="10"/>
      <c r="J17" s="10"/>
      <c r="K17" s="5"/>
    </row>
    <row r="18" spans="1:11" x14ac:dyDescent="0.25">
      <c r="A18" s="5"/>
      <c r="B18" s="10"/>
      <c r="C18" s="10"/>
      <c r="D18" s="10"/>
      <c r="E18" s="12"/>
      <c r="F18" s="10"/>
      <c r="G18" s="10"/>
      <c r="H18" s="12">
        <f t="shared" si="0"/>
        <v>3220</v>
      </c>
      <c r="I18" s="10"/>
      <c r="J18" s="10"/>
      <c r="K18" s="5"/>
    </row>
    <row r="19" spans="1:11" x14ac:dyDescent="0.25">
      <c r="A19" s="5"/>
      <c r="B19" s="10"/>
      <c r="C19" s="10"/>
      <c r="D19" s="10"/>
      <c r="E19" s="12"/>
      <c r="F19" s="10"/>
      <c r="G19" s="10"/>
      <c r="H19" s="12">
        <f t="shared" si="0"/>
        <v>3220</v>
      </c>
      <c r="I19" s="10"/>
      <c r="J19" s="10"/>
      <c r="K19" s="5"/>
    </row>
    <row r="20" spans="1:11" x14ac:dyDescent="0.25">
      <c r="A20" s="5"/>
      <c r="B20" s="10"/>
      <c r="C20" s="10"/>
      <c r="D20" s="10"/>
      <c r="E20" s="12"/>
      <c r="F20" s="10"/>
      <c r="G20" s="10"/>
      <c r="H20" s="12">
        <f t="shared" si="0"/>
        <v>3220</v>
      </c>
      <c r="I20" s="10"/>
      <c r="J20" s="10"/>
      <c r="K20" s="5"/>
    </row>
    <row r="21" spans="1:11" x14ac:dyDescent="0.25">
      <c r="A21" s="5"/>
      <c r="B21" s="10"/>
      <c r="C21" s="10"/>
      <c r="D21" s="10"/>
      <c r="E21" s="12"/>
      <c r="F21" s="10"/>
      <c r="G21" s="10"/>
      <c r="H21" s="12">
        <f t="shared" si="0"/>
        <v>3220</v>
      </c>
      <c r="I21" s="10"/>
      <c r="J21" s="10"/>
      <c r="K21" s="5"/>
    </row>
    <row r="22" spans="1:11" x14ac:dyDescent="0.25">
      <c r="A22" s="5"/>
      <c r="B22" s="5"/>
      <c r="C22" s="5"/>
      <c r="D22" s="5"/>
      <c r="E22" s="47">
        <f>SUM(E11:E21)</f>
        <v>3220</v>
      </c>
      <c r="F22" s="47">
        <f>SUM(F11:F21)</f>
        <v>0</v>
      </c>
      <c r="G22" s="5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</sheetData>
  <mergeCells count="2">
    <mergeCell ref="B2:J2"/>
    <mergeCell ref="B3:J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7E83-ADC0-4DB2-A56A-7A38F892E761}">
  <sheetPr codeName="Hoja17">
    <pageSetUpPr fitToPage="1"/>
  </sheetPr>
  <dimension ref="A1:AK72"/>
  <sheetViews>
    <sheetView topLeftCell="A4" zoomScale="90" zoomScaleNormal="90" workbookViewId="0">
      <pane xSplit="3" ySplit="4" topLeftCell="D53" activePane="bottomRight" state="frozen"/>
      <selection activeCell="F60" sqref="F60"/>
      <selection pane="topRight" activeCell="F60" sqref="F60"/>
      <selection pane="bottomLeft" activeCell="F60" sqref="F60"/>
      <selection pane="bottomRight" activeCell="AL60" sqref="AL60"/>
    </sheetView>
  </sheetViews>
  <sheetFormatPr baseColWidth="10" defaultColWidth="11.42578125" defaultRowHeight="15.75" x14ac:dyDescent="0.25"/>
  <cols>
    <col min="1" max="1" width="3.5703125" style="2" customWidth="1"/>
    <col min="2" max="2" width="24.42578125" style="1" customWidth="1"/>
    <col min="3" max="3" width="13.140625" style="1" customWidth="1"/>
    <col min="4" max="29" width="15.140625" style="1" hidden="1" customWidth="1"/>
    <col min="30" max="32" width="15.28515625" style="1" hidden="1" customWidth="1"/>
    <col min="33" max="33" width="15.28515625" style="1" customWidth="1"/>
    <col min="34" max="34" width="15.140625" style="1" customWidth="1"/>
    <col min="35" max="35" width="18.140625" style="1" customWidth="1"/>
    <col min="36" max="36" width="11.42578125" style="1"/>
    <col min="37" max="37" width="12.42578125" style="1" bestFit="1" customWidth="1"/>
    <col min="38" max="16384" width="11.42578125" style="1"/>
  </cols>
  <sheetData>
    <row r="1" spans="1:35" ht="15" customHeight="1" x14ac:dyDescent="0.25">
      <c r="B1" s="30"/>
      <c r="C1" s="31"/>
    </row>
    <row r="2" spans="1:35" ht="15" customHeight="1" x14ac:dyDescent="0.25">
      <c r="B2" s="30"/>
      <c r="C2" s="31"/>
    </row>
    <row r="3" spans="1:35" ht="18" x14ac:dyDescent="0.25">
      <c r="A3" s="90" t="s">
        <v>68</v>
      </c>
      <c r="B3" s="90"/>
      <c r="C3" s="90"/>
    </row>
    <row r="4" spans="1:35" ht="18" x14ac:dyDescent="0.25">
      <c r="A4" s="90" t="s">
        <v>50</v>
      </c>
      <c r="B4" s="90"/>
      <c r="C4" s="90"/>
    </row>
    <row r="5" spans="1:35" ht="20.25" customHeight="1" x14ac:dyDescent="0.25">
      <c r="A5" s="111" t="s">
        <v>167</v>
      </c>
      <c r="B5" s="31"/>
      <c r="C5" s="31"/>
    </row>
    <row r="6" spans="1:35" ht="20.25" customHeight="1" x14ac:dyDescent="0.25">
      <c r="A6" s="270" t="s">
        <v>64</v>
      </c>
      <c r="B6" s="270" t="s">
        <v>1</v>
      </c>
      <c r="C6" s="270" t="s">
        <v>2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9"/>
      <c r="AD6" s="88"/>
      <c r="AE6" s="88"/>
      <c r="AF6" s="88"/>
      <c r="AG6" s="88"/>
      <c r="AH6" s="89"/>
      <c r="AI6" s="270" t="s">
        <v>80</v>
      </c>
    </row>
    <row r="7" spans="1:35" s="32" customFormat="1" ht="17.25" customHeight="1" x14ac:dyDescent="0.25">
      <c r="A7" s="270"/>
      <c r="B7" s="270"/>
      <c r="C7" s="270"/>
      <c r="D7" s="62">
        <v>1</v>
      </c>
      <c r="E7" s="62">
        <v>2</v>
      </c>
      <c r="F7" s="62">
        <v>3</v>
      </c>
      <c r="G7" s="62">
        <v>4</v>
      </c>
      <c r="H7" s="99" t="s">
        <v>81</v>
      </c>
      <c r="I7" s="62">
        <v>6</v>
      </c>
      <c r="J7" s="62">
        <v>7</v>
      </c>
      <c r="K7" s="62">
        <v>8</v>
      </c>
      <c r="L7" s="62">
        <v>9</v>
      </c>
      <c r="M7" s="62">
        <v>10</v>
      </c>
      <c r="N7" s="62">
        <v>11</v>
      </c>
      <c r="O7" s="99" t="s">
        <v>82</v>
      </c>
      <c r="P7" s="62">
        <v>13</v>
      </c>
      <c r="Q7" s="62">
        <v>14</v>
      </c>
      <c r="R7" s="62">
        <v>15</v>
      </c>
      <c r="S7" s="62">
        <v>16</v>
      </c>
      <c r="T7" s="62">
        <v>17</v>
      </c>
      <c r="U7" s="62">
        <v>18</v>
      </c>
      <c r="V7" s="99" t="s">
        <v>83</v>
      </c>
      <c r="W7" s="62">
        <v>20</v>
      </c>
      <c r="X7" s="62">
        <v>21</v>
      </c>
      <c r="Y7" s="62">
        <v>22</v>
      </c>
      <c r="Z7" s="62">
        <v>23</v>
      </c>
      <c r="AA7" s="62">
        <v>24</v>
      </c>
      <c r="AB7" s="62">
        <v>25</v>
      </c>
      <c r="AC7" s="99" t="s">
        <v>84</v>
      </c>
      <c r="AD7" s="62">
        <v>27</v>
      </c>
      <c r="AE7" s="62">
        <v>28</v>
      </c>
      <c r="AF7" s="62">
        <v>29</v>
      </c>
      <c r="AG7" s="62">
        <v>28</v>
      </c>
      <c r="AH7" s="99" t="s">
        <v>84</v>
      </c>
      <c r="AI7" s="270"/>
    </row>
    <row r="8" spans="1:35" s="32" customFormat="1" ht="16.5" customHeight="1" x14ac:dyDescent="0.25">
      <c r="A8" s="56">
        <v>1</v>
      </c>
      <c r="B8" s="57" t="s">
        <v>25</v>
      </c>
      <c r="C8" s="54" t="s">
        <v>13</v>
      </c>
      <c r="D8" s="63"/>
      <c r="E8" s="63"/>
      <c r="F8" s="63"/>
      <c r="G8" s="63"/>
      <c r="H8" s="66">
        <f t="shared" ref="H8:H65" si="0">SUM(D8:G8)</f>
        <v>0</v>
      </c>
      <c r="I8" s="63"/>
      <c r="J8" s="63"/>
      <c r="K8" s="63"/>
      <c r="L8" s="63"/>
      <c r="M8" s="63"/>
      <c r="N8" s="63"/>
      <c r="O8" s="66">
        <f>SUM(I8:N8)</f>
        <v>0</v>
      </c>
      <c r="P8" s="63"/>
      <c r="Q8" s="63"/>
      <c r="R8" s="63"/>
      <c r="S8" s="63"/>
      <c r="T8" s="63"/>
      <c r="U8" s="63"/>
      <c r="V8" s="66">
        <f>SUM(P8:U8)</f>
        <v>0</v>
      </c>
      <c r="W8" s="63"/>
      <c r="X8" s="63"/>
      <c r="Y8" s="63"/>
      <c r="Z8" s="63"/>
      <c r="AA8" s="63"/>
      <c r="AB8" s="63"/>
      <c r="AC8" s="66">
        <f t="shared" ref="AC8:AC65" si="1">SUM(W8:AB8)</f>
        <v>0</v>
      </c>
      <c r="AD8" s="63"/>
      <c r="AE8" s="63"/>
      <c r="AF8" s="63"/>
      <c r="AG8" s="63"/>
      <c r="AH8" s="66">
        <f t="shared" ref="AH8:AH63" si="2">SUM(AD8:AG8)</f>
        <v>0</v>
      </c>
      <c r="AI8" s="68">
        <f t="shared" ref="AI8:AI21" si="3">+H8+O8+V8+AH8</f>
        <v>0</v>
      </c>
    </row>
    <row r="9" spans="1:35" ht="16.5" customHeight="1" x14ac:dyDescent="0.25">
      <c r="A9" s="56">
        <f>1+A8</f>
        <v>2</v>
      </c>
      <c r="B9" s="57" t="s">
        <v>11</v>
      </c>
      <c r="C9" s="54" t="s">
        <v>6</v>
      </c>
      <c r="D9" s="64"/>
      <c r="E9" s="64"/>
      <c r="F9" s="64"/>
      <c r="G9" s="64"/>
      <c r="H9" s="66">
        <f t="shared" si="0"/>
        <v>0</v>
      </c>
      <c r="I9" s="64"/>
      <c r="J9" s="64"/>
      <c r="K9" s="64"/>
      <c r="L9" s="64"/>
      <c r="M9" s="64"/>
      <c r="N9" s="64"/>
      <c r="O9" s="66">
        <f t="shared" ref="O9:O65" si="4">SUM(I9:N9)</f>
        <v>0</v>
      </c>
      <c r="P9" s="64"/>
      <c r="Q9" s="64"/>
      <c r="R9" s="64"/>
      <c r="S9" s="64"/>
      <c r="T9" s="64"/>
      <c r="U9" s="64"/>
      <c r="V9" s="66">
        <f>SUM(P9:U9)</f>
        <v>0</v>
      </c>
      <c r="W9" s="64"/>
      <c r="X9" s="64"/>
      <c r="Y9" s="64"/>
      <c r="Z9" s="64"/>
      <c r="AA9" s="64"/>
      <c r="AB9" s="64"/>
      <c r="AC9" s="66">
        <f t="shared" si="1"/>
        <v>0</v>
      </c>
      <c r="AD9" s="64"/>
      <c r="AE9" s="64"/>
      <c r="AF9" s="64"/>
      <c r="AG9" s="64"/>
      <c r="AH9" s="66">
        <f t="shared" si="2"/>
        <v>0</v>
      </c>
      <c r="AI9" s="68">
        <f t="shared" si="3"/>
        <v>0</v>
      </c>
    </row>
    <row r="10" spans="1:35" ht="16.5" customHeight="1" x14ac:dyDescent="0.25">
      <c r="A10" s="56">
        <f t="shared" ref="A10:A21" si="5">1+A9</f>
        <v>3</v>
      </c>
      <c r="B10" s="57" t="s">
        <v>70</v>
      </c>
      <c r="C10" s="54" t="s">
        <v>13</v>
      </c>
      <c r="D10" s="67"/>
      <c r="E10" s="67"/>
      <c r="F10" s="67"/>
      <c r="G10" s="67"/>
      <c r="H10" s="66">
        <f t="shared" si="0"/>
        <v>0</v>
      </c>
      <c r="I10" s="67"/>
      <c r="J10" s="67"/>
      <c r="K10" s="67"/>
      <c r="L10" s="67"/>
      <c r="M10" s="67"/>
      <c r="N10" s="67"/>
      <c r="O10" s="66">
        <f t="shared" si="4"/>
        <v>0</v>
      </c>
      <c r="P10" s="67"/>
      <c r="Q10" s="67"/>
      <c r="R10" s="67"/>
      <c r="S10" s="67"/>
      <c r="T10" s="67"/>
      <c r="U10" s="67"/>
      <c r="V10" s="66">
        <f t="shared" ref="V10:V23" si="6">SUM(P10:U10)</f>
        <v>0</v>
      </c>
      <c r="W10" s="67"/>
      <c r="X10" s="67"/>
      <c r="Y10" s="67"/>
      <c r="Z10" s="67"/>
      <c r="AA10" s="67"/>
      <c r="AB10" s="67"/>
      <c r="AC10" s="66">
        <f t="shared" si="1"/>
        <v>0</v>
      </c>
      <c r="AD10" s="67"/>
      <c r="AE10" s="67"/>
      <c r="AF10" s="67"/>
      <c r="AG10" s="67"/>
      <c r="AH10" s="66">
        <f t="shared" si="2"/>
        <v>0</v>
      </c>
      <c r="AI10" s="68">
        <f t="shared" si="3"/>
        <v>0</v>
      </c>
    </row>
    <row r="11" spans="1:35" ht="16.5" customHeight="1" x14ac:dyDescent="0.25">
      <c r="A11" s="56">
        <f t="shared" si="5"/>
        <v>4</v>
      </c>
      <c r="B11" s="57" t="s">
        <v>23</v>
      </c>
      <c r="C11" s="54" t="s">
        <v>9</v>
      </c>
      <c r="D11" s="67"/>
      <c r="E11" s="67"/>
      <c r="F11" s="67"/>
      <c r="G11" s="67"/>
      <c r="H11" s="66">
        <f t="shared" si="0"/>
        <v>0</v>
      </c>
      <c r="I11" s="67"/>
      <c r="J11" s="67"/>
      <c r="K11" s="67"/>
      <c r="L11" s="67"/>
      <c r="M11" s="67"/>
      <c r="N11" s="67"/>
      <c r="O11" s="66">
        <f t="shared" si="4"/>
        <v>0</v>
      </c>
      <c r="P11" s="67"/>
      <c r="Q11" s="67"/>
      <c r="R11" s="67"/>
      <c r="S11" s="67"/>
      <c r="T11" s="67"/>
      <c r="U11" s="67"/>
      <c r="V11" s="66">
        <f t="shared" si="6"/>
        <v>0</v>
      </c>
      <c r="W11" s="67"/>
      <c r="X11" s="67"/>
      <c r="Y11" s="67"/>
      <c r="Z11" s="67"/>
      <c r="AA11" s="67"/>
      <c r="AB11" s="67"/>
      <c r="AC11" s="66">
        <f t="shared" si="1"/>
        <v>0</v>
      </c>
      <c r="AD11" s="67"/>
      <c r="AE11" s="67"/>
      <c r="AF11" s="67"/>
      <c r="AG11" s="67"/>
      <c r="AH11" s="66">
        <f t="shared" si="2"/>
        <v>0</v>
      </c>
      <c r="AI11" s="68">
        <f t="shared" si="3"/>
        <v>0</v>
      </c>
    </row>
    <row r="12" spans="1:35" ht="16.5" customHeight="1" x14ac:dyDescent="0.25">
      <c r="A12" s="56">
        <f t="shared" si="5"/>
        <v>5</v>
      </c>
      <c r="B12" s="57" t="s">
        <v>24</v>
      </c>
      <c r="C12" s="54" t="s">
        <v>9</v>
      </c>
      <c r="D12" s="67"/>
      <c r="E12" s="67"/>
      <c r="F12" s="67"/>
      <c r="G12" s="67"/>
      <c r="H12" s="66">
        <f t="shared" si="0"/>
        <v>0</v>
      </c>
      <c r="I12" s="67"/>
      <c r="J12" s="67"/>
      <c r="K12" s="67"/>
      <c r="L12" s="67"/>
      <c r="M12" s="67"/>
      <c r="N12" s="67"/>
      <c r="O12" s="66">
        <f t="shared" si="4"/>
        <v>0</v>
      </c>
      <c r="P12" s="67"/>
      <c r="Q12" s="67"/>
      <c r="R12" s="67"/>
      <c r="S12" s="67"/>
      <c r="T12" s="67"/>
      <c r="U12" s="67"/>
      <c r="V12" s="66">
        <f t="shared" si="6"/>
        <v>0</v>
      </c>
      <c r="W12" s="67"/>
      <c r="X12" s="67"/>
      <c r="Y12" s="67"/>
      <c r="Z12" s="67"/>
      <c r="AA12" s="67"/>
      <c r="AB12" s="67"/>
      <c r="AC12" s="66">
        <f t="shared" si="1"/>
        <v>0</v>
      </c>
      <c r="AD12" s="67"/>
      <c r="AE12" s="67"/>
      <c r="AF12" s="67"/>
      <c r="AG12" s="67"/>
      <c r="AH12" s="66">
        <f t="shared" si="2"/>
        <v>0</v>
      </c>
      <c r="AI12" s="68">
        <f t="shared" si="3"/>
        <v>0</v>
      </c>
    </row>
    <row r="13" spans="1:35" ht="16.5" customHeight="1" x14ac:dyDescent="0.25">
      <c r="A13" s="56">
        <f t="shared" si="5"/>
        <v>6</v>
      </c>
      <c r="B13" s="57" t="s">
        <v>12</v>
      </c>
      <c r="C13" s="54" t="s">
        <v>13</v>
      </c>
      <c r="D13" s="67"/>
      <c r="E13" s="67"/>
      <c r="F13" s="67"/>
      <c r="G13" s="67"/>
      <c r="H13" s="66">
        <f t="shared" si="0"/>
        <v>0</v>
      </c>
      <c r="I13" s="67"/>
      <c r="J13" s="67"/>
      <c r="K13" s="67"/>
      <c r="L13" s="67"/>
      <c r="M13" s="67"/>
      <c r="N13" s="67"/>
      <c r="O13" s="66">
        <f t="shared" si="4"/>
        <v>0</v>
      </c>
      <c r="P13" s="67"/>
      <c r="Q13" s="67"/>
      <c r="R13" s="67"/>
      <c r="S13" s="67"/>
      <c r="T13" s="67"/>
      <c r="U13" s="67"/>
      <c r="V13" s="66">
        <f t="shared" si="6"/>
        <v>0</v>
      </c>
      <c r="W13" s="67"/>
      <c r="X13" s="67"/>
      <c r="Y13" s="67"/>
      <c r="Z13" s="67"/>
      <c r="AA13" s="67"/>
      <c r="AB13" s="67"/>
      <c r="AC13" s="66">
        <f t="shared" si="1"/>
        <v>0</v>
      </c>
      <c r="AD13" s="67"/>
      <c r="AE13" s="67"/>
      <c r="AF13" s="67"/>
      <c r="AG13" s="67"/>
      <c r="AH13" s="66">
        <f t="shared" si="2"/>
        <v>0</v>
      </c>
      <c r="AI13" s="68">
        <f t="shared" si="3"/>
        <v>0</v>
      </c>
    </row>
    <row r="14" spans="1:35" ht="16.5" customHeight="1" x14ac:dyDescent="0.25">
      <c r="A14" s="56">
        <f t="shared" si="5"/>
        <v>7</v>
      </c>
      <c r="B14" s="55" t="s">
        <v>5</v>
      </c>
      <c r="C14" s="54" t="s">
        <v>6</v>
      </c>
      <c r="D14" s="67"/>
      <c r="E14" s="67"/>
      <c r="F14" s="67"/>
      <c r="G14" s="67"/>
      <c r="H14" s="66">
        <f t="shared" si="0"/>
        <v>0</v>
      </c>
      <c r="I14" s="67"/>
      <c r="J14" s="67"/>
      <c r="K14" s="67"/>
      <c r="L14" s="67"/>
      <c r="M14" s="67"/>
      <c r="N14" s="67"/>
      <c r="O14" s="66">
        <f t="shared" si="4"/>
        <v>0</v>
      </c>
      <c r="P14" s="67"/>
      <c r="Q14" s="67"/>
      <c r="R14" s="67"/>
      <c r="S14" s="67"/>
      <c r="T14" s="67"/>
      <c r="U14" s="67"/>
      <c r="V14" s="66">
        <f t="shared" si="6"/>
        <v>0</v>
      </c>
      <c r="W14" s="67"/>
      <c r="X14" s="67"/>
      <c r="Y14" s="67"/>
      <c r="Z14" s="67"/>
      <c r="AA14" s="67"/>
      <c r="AB14" s="67"/>
      <c r="AC14" s="66">
        <f t="shared" si="1"/>
        <v>0</v>
      </c>
      <c r="AD14" s="67"/>
      <c r="AE14" s="67"/>
      <c r="AF14" s="67"/>
      <c r="AG14" s="67"/>
      <c r="AH14" s="66">
        <f t="shared" si="2"/>
        <v>0</v>
      </c>
      <c r="AI14" s="68">
        <f t="shared" si="3"/>
        <v>0</v>
      </c>
    </row>
    <row r="15" spans="1:35" ht="16.5" customHeight="1" x14ac:dyDescent="0.25">
      <c r="A15" s="56">
        <f t="shared" si="5"/>
        <v>8</v>
      </c>
      <c r="B15" s="57" t="s">
        <v>21</v>
      </c>
      <c r="C15" s="54" t="s">
        <v>16</v>
      </c>
      <c r="D15" s="67"/>
      <c r="E15" s="67"/>
      <c r="F15" s="67"/>
      <c r="G15" s="67"/>
      <c r="H15" s="66">
        <f t="shared" si="0"/>
        <v>0</v>
      </c>
      <c r="I15" s="67"/>
      <c r="J15" s="67"/>
      <c r="K15" s="67"/>
      <c r="L15" s="67"/>
      <c r="M15" s="67"/>
      <c r="N15" s="67"/>
      <c r="O15" s="66">
        <f t="shared" si="4"/>
        <v>0</v>
      </c>
      <c r="P15" s="67"/>
      <c r="Q15" s="67"/>
      <c r="R15" s="67"/>
      <c r="S15" s="67"/>
      <c r="T15" s="67"/>
      <c r="U15" s="67"/>
      <c r="V15" s="66">
        <f t="shared" si="6"/>
        <v>0</v>
      </c>
      <c r="W15" s="67"/>
      <c r="X15" s="67"/>
      <c r="Y15" s="67"/>
      <c r="Z15" s="67"/>
      <c r="AA15" s="67"/>
      <c r="AB15" s="67"/>
      <c r="AC15" s="66">
        <f t="shared" si="1"/>
        <v>0</v>
      </c>
      <c r="AD15" s="67"/>
      <c r="AE15" s="67"/>
      <c r="AF15" s="67"/>
      <c r="AG15" s="67"/>
      <c r="AH15" s="66">
        <f t="shared" si="2"/>
        <v>0</v>
      </c>
      <c r="AI15" s="68">
        <f t="shared" si="3"/>
        <v>0</v>
      </c>
    </row>
    <row r="16" spans="1:35" ht="16.5" customHeight="1" x14ac:dyDescent="0.25">
      <c r="A16" s="56">
        <f t="shared" si="5"/>
        <v>9</v>
      </c>
      <c r="B16" s="57" t="s">
        <v>15</v>
      </c>
      <c r="C16" s="54" t="s">
        <v>16</v>
      </c>
      <c r="D16" s="67"/>
      <c r="E16" s="67"/>
      <c r="F16" s="67"/>
      <c r="G16" s="67"/>
      <c r="H16" s="66">
        <f t="shared" si="0"/>
        <v>0</v>
      </c>
      <c r="I16" s="67"/>
      <c r="J16" s="67"/>
      <c r="K16" s="67"/>
      <c r="L16" s="67"/>
      <c r="M16" s="67"/>
      <c r="N16" s="67"/>
      <c r="O16" s="66">
        <f t="shared" si="4"/>
        <v>0</v>
      </c>
      <c r="P16" s="67"/>
      <c r="Q16" s="67"/>
      <c r="R16" s="67"/>
      <c r="S16" s="67"/>
      <c r="T16" s="67"/>
      <c r="U16" s="67"/>
      <c r="V16" s="66">
        <f t="shared" si="6"/>
        <v>0</v>
      </c>
      <c r="W16" s="67"/>
      <c r="X16" s="67"/>
      <c r="Y16" s="67"/>
      <c r="Z16" s="67"/>
      <c r="AA16" s="67"/>
      <c r="AB16" s="67"/>
      <c r="AC16" s="66">
        <f t="shared" si="1"/>
        <v>0</v>
      </c>
      <c r="AD16" s="67"/>
      <c r="AE16" s="67"/>
      <c r="AF16" s="67"/>
      <c r="AG16" s="67"/>
      <c r="AH16" s="66">
        <f t="shared" si="2"/>
        <v>0</v>
      </c>
      <c r="AI16" s="68">
        <f t="shared" si="3"/>
        <v>0</v>
      </c>
    </row>
    <row r="17" spans="1:35" ht="16.5" customHeight="1" x14ac:dyDescent="0.25">
      <c r="A17" s="56">
        <f t="shared" si="5"/>
        <v>10</v>
      </c>
      <c r="B17" s="57" t="s">
        <v>27</v>
      </c>
      <c r="C17" s="54" t="s">
        <v>26</v>
      </c>
      <c r="D17" s="67"/>
      <c r="E17" s="67"/>
      <c r="F17" s="67"/>
      <c r="G17" s="67"/>
      <c r="H17" s="66">
        <f t="shared" si="0"/>
        <v>0</v>
      </c>
      <c r="I17" s="67"/>
      <c r="J17" s="67"/>
      <c r="K17" s="67"/>
      <c r="L17" s="67"/>
      <c r="M17" s="67"/>
      <c r="N17" s="67"/>
      <c r="O17" s="66">
        <f t="shared" si="4"/>
        <v>0</v>
      </c>
      <c r="P17" s="67"/>
      <c r="Q17" s="67"/>
      <c r="R17" s="67"/>
      <c r="S17" s="67"/>
      <c r="T17" s="67"/>
      <c r="U17" s="67"/>
      <c r="V17" s="66">
        <f t="shared" si="6"/>
        <v>0</v>
      </c>
      <c r="W17" s="67"/>
      <c r="X17" s="67"/>
      <c r="Y17" s="67"/>
      <c r="Z17" s="67"/>
      <c r="AA17" s="67"/>
      <c r="AB17" s="67"/>
      <c r="AC17" s="66">
        <f t="shared" si="1"/>
        <v>0</v>
      </c>
      <c r="AD17" s="67"/>
      <c r="AE17" s="67"/>
      <c r="AF17" s="67"/>
      <c r="AG17" s="67"/>
      <c r="AH17" s="66">
        <f t="shared" si="2"/>
        <v>0</v>
      </c>
      <c r="AI17" s="68">
        <f t="shared" si="3"/>
        <v>0</v>
      </c>
    </row>
    <row r="18" spans="1:35" ht="16.5" customHeight="1" x14ac:dyDescent="0.25">
      <c r="A18" s="56">
        <f t="shared" si="5"/>
        <v>11</v>
      </c>
      <c r="B18" s="57" t="s">
        <v>8</v>
      </c>
      <c r="C18" s="54" t="s">
        <v>9</v>
      </c>
      <c r="D18" s="67"/>
      <c r="E18" s="67"/>
      <c r="F18" s="67"/>
      <c r="G18" s="67"/>
      <c r="H18" s="66">
        <f t="shared" si="0"/>
        <v>0</v>
      </c>
      <c r="I18" s="67"/>
      <c r="J18" s="67"/>
      <c r="K18" s="67"/>
      <c r="L18" s="67"/>
      <c r="M18" s="67"/>
      <c r="N18" s="67"/>
      <c r="O18" s="66">
        <f t="shared" si="4"/>
        <v>0</v>
      </c>
      <c r="P18" s="67"/>
      <c r="Q18" s="67"/>
      <c r="R18" s="67"/>
      <c r="S18" s="67"/>
      <c r="T18" s="67"/>
      <c r="U18" s="67"/>
      <c r="V18" s="66">
        <f t="shared" si="6"/>
        <v>0</v>
      </c>
      <c r="W18" s="67"/>
      <c r="X18" s="67"/>
      <c r="Y18" s="67"/>
      <c r="Z18" s="67"/>
      <c r="AA18" s="67"/>
      <c r="AB18" s="67"/>
      <c r="AC18" s="66">
        <f t="shared" si="1"/>
        <v>0</v>
      </c>
      <c r="AD18" s="67"/>
      <c r="AE18" s="67"/>
      <c r="AF18" s="67"/>
      <c r="AG18" s="67"/>
      <c r="AH18" s="66">
        <f t="shared" si="2"/>
        <v>0</v>
      </c>
      <c r="AI18" s="68">
        <f t="shared" si="3"/>
        <v>0</v>
      </c>
    </row>
    <row r="19" spans="1:35" ht="16.5" customHeight="1" x14ac:dyDescent="0.25">
      <c r="A19" s="56">
        <f t="shared" si="5"/>
        <v>12</v>
      </c>
      <c r="B19" s="57" t="s">
        <v>28</v>
      </c>
      <c r="C19" s="54" t="s">
        <v>29</v>
      </c>
      <c r="D19" s="67"/>
      <c r="E19" s="67"/>
      <c r="F19" s="67"/>
      <c r="G19" s="67"/>
      <c r="H19" s="66">
        <f t="shared" si="0"/>
        <v>0</v>
      </c>
      <c r="I19" s="67"/>
      <c r="J19" s="67"/>
      <c r="K19" s="67"/>
      <c r="L19" s="67"/>
      <c r="M19" s="67"/>
      <c r="N19" s="67"/>
      <c r="O19" s="66">
        <f t="shared" si="4"/>
        <v>0</v>
      </c>
      <c r="P19" s="67"/>
      <c r="Q19" s="67"/>
      <c r="R19" s="67"/>
      <c r="S19" s="67"/>
      <c r="T19" s="67"/>
      <c r="U19" s="67"/>
      <c r="V19" s="66">
        <f t="shared" si="6"/>
        <v>0</v>
      </c>
      <c r="W19" s="67"/>
      <c r="X19" s="67"/>
      <c r="Y19" s="67"/>
      <c r="Z19" s="67"/>
      <c r="AA19" s="67"/>
      <c r="AB19" s="67"/>
      <c r="AC19" s="66">
        <f t="shared" si="1"/>
        <v>0</v>
      </c>
      <c r="AD19" s="67"/>
      <c r="AE19" s="67"/>
      <c r="AF19" s="67"/>
      <c r="AG19" s="67"/>
      <c r="AH19" s="66">
        <f t="shared" si="2"/>
        <v>0</v>
      </c>
      <c r="AI19" s="68">
        <f t="shared" si="3"/>
        <v>0</v>
      </c>
    </row>
    <row r="20" spans="1:35" ht="16.5" customHeight="1" x14ac:dyDescent="0.25">
      <c r="A20" s="56">
        <f t="shared" si="5"/>
        <v>13</v>
      </c>
      <c r="B20" s="57" t="s">
        <v>10</v>
      </c>
      <c r="C20" s="65" t="s">
        <v>76</v>
      </c>
      <c r="D20" s="67"/>
      <c r="E20" s="67"/>
      <c r="F20" s="67"/>
      <c r="G20" s="67"/>
      <c r="H20" s="66">
        <f t="shared" si="0"/>
        <v>0</v>
      </c>
      <c r="I20" s="67"/>
      <c r="J20" s="67"/>
      <c r="K20" s="67"/>
      <c r="L20" s="67"/>
      <c r="M20" s="67"/>
      <c r="N20" s="67"/>
      <c r="O20" s="66">
        <f t="shared" si="4"/>
        <v>0</v>
      </c>
      <c r="P20" s="67"/>
      <c r="Q20" s="67"/>
      <c r="R20" s="67"/>
      <c r="S20" s="67"/>
      <c r="T20" s="67"/>
      <c r="U20" s="67"/>
      <c r="V20" s="66">
        <f t="shared" si="6"/>
        <v>0</v>
      </c>
      <c r="W20" s="67"/>
      <c r="X20" s="67"/>
      <c r="Y20" s="67"/>
      <c r="Z20" s="67"/>
      <c r="AA20" s="67"/>
      <c r="AB20" s="67"/>
      <c r="AC20" s="66">
        <f t="shared" si="1"/>
        <v>0</v>
      </c>
      <c r="AD20" s="67"/>
      <c r="AE20" s="67"/>
      <c r="AF20" s="67"/>
      <c r="AG20" s="67"/>
      <c r="AH20" s="66">
        <f t="shared" si="2"/>
        <v>0</v>
      </c>
      <c r="AI20" s="68">
        <f t="shared" si="3"/>
        <v>0</v>
      </c>
    </row>
    <row r="21" spans="1:35" ht="16.5" customHeight="1" x14ac:dyDescent="0.25">
      <c r="A21" s="56">
        <f t="shared" si="5"/>
        <v>14</v>
      </c>
      <c r="B21" s="57" t="s">
        <v>7</v>
      </c>
      <c r="C21" s="65" t="s">
        <v>76</v>
      </c>
      <c r="D21" s="67"/>
      <c r="E21" s="67"/>
      <c r="F21" s="67"/>
      <c r="G21" s="67"/>
      <c r="H21" s="66">
        <f t="shared" si="0"/>
        <v>0</v>
      </c>
      <c r="I21" s="67"/>
      <c r="J21" s="67"/>
      <c r="K21" s="67"/>
      <c r="L21" s="67"/>
      <c r="M21" s="67"/>
      <c r="N21" s="67"/>
      <c r="O21" s="66">
        <f t="shared" si="4"/>
        <v>0</v>
      </c>
      <c r="P21" s="67"/>
      <c r="Q21" s="67"/>
      <c r="R21" s="67"/>
      <c r="S21" s="67"/>
      <c r="T21" s="67"/>
      <c r="U21" s="67"/>
      <c r="V21" s="66">
        <f t="shared" si="6"/>
        <v>0</v>
      </c>
      <c r="W21" s="67"/>
      <c r="X21" s="67"/>
      <c r="Y21" s="67"/>
      <c r="Z21" s="67"/>
      <c r="AA21" s="67"/>
      <c r="AB21" s="67"/>
      <c r="AC21" s="66">
        <f t="shared" si="1"/>
        <v>0</v>
      </c>
      <c r="AD21" s="67"/>
      <c r="AE21" s="67"/>
      <c r="AF21" s="67"/>
      <c r="AG21" s="67"/>
      <c r="AH21" s="66">
        <f t="shared" si="2"/>
        <v>0</v>
      </c>
      <c r="AI21" s="68">
        <f t="shared" si="3"/>
        <v>0</v>
      </c>
    </row>
    <row r="22" spans="1:35" ht="27" customHeight="1" x14ac:dyDescent="0.25">
      <c r="A22" s="56">
        <f>1+A28</f>
        <v>20</v>
      </c>
      <c r="B22" s="105" t="s">
        <v>39</v>
      </c>
      <c r="C22" s="54" t="s">
        <v>40</v>
      </c>
      <c r="D22" s="67"/>
      <c r="E22" s="67"/>
      <c r="F22" s="67"/>
      <c r="G22" s="67"/>
      <c r="H22" s="66">
        <f t="shared" si="0"/>
        <v>0</v>
      </c>
      <c r="I22" s="67"/>
      <c r="J22" s="67"/>
      <c r="K22" s="67"/>
      <c r="L22" s="75"/>
      <c r="M22" s="76"/>
      <c r="N22" s="67"/>
      <c r="O22" s="66">
        <f>SUM(I22:N22)</f>
        <v>0</v>
      </c>
      <c r="P22" s="67"/>
      <c r="Q22" s="67"/>
      <c r="R22" s="67"/>
      <c r="S22" s="67"/>
      <c r="T22" s="67"/>
      <c r="U22" s="67"/>
      <c r="V22" s="66">
        <f>SUM(P22:U22)</f>
        <v>0</v>
      </c>
      <c r="W22" s="67"/>
      <c r="X22" s="67"/>
      <c r="Y22" s="67"/>
      <c r="Z22" s="67"/>
      <c r="AA22" s="67"/>
      <c r="AB22" s="67"/>
      <c r="AC22" s="66">
        <f t="shared" si="1"/>
        <v>0</v>
      </c>
      <c r="AD22" s="67"/>
      <c r="AE22" s="67"/>
      <c r="AF22" s="67"/>
      <c r="AG22" s="67"/>
      <c r="AH22" s="66">
        <f t="shared" si="2"/>
        <v>0</v>
      </c>
      <c r="AI22" s="68">
        <f>H22+O22+V22+AH22</f>
        <v>0</v>
      </c>
    </row>
    <row r="23" spans="1:35" ht="17.25" customHeight="1" x14ac:dyDescent="0.25">
      <c r="A23" s="271" t="s">
        <v>77</v>
      </c>
      <c r="B23" s="272"/>
      <c r="C23" s="273"/>
      <c r="D23" s="93"/>
      <c r="E23" s="93"/>
      <c r="F23" s="93"/>
      <c r="G23" s="93">
        <f t="shared" ref="G23" si="7">SUM(G8:G22)</f>
        <v>0</v>
      </c>
      <c r="H23" s="66">
        <f t="shared" si="0"/>
        <v>0</v>
      </c>
      <c r="I23" s="93">
        <f>SUM(I8:I22)</f>
        <v>0</v>
      </c>
      <c r="J23" s="93">
        <f t="shared" ref="J23:N23" si="8">SUM(J8:J22)</f>
        <v>0</v>
      </c>
      <c r="K23" s="93">
        <f t="shared" si="8"/>
        <v>0</v>
      </c>
      <c r="L23" s="93">
        <f t="shared" si="8"/>
        <v>0</v>
      </c>
      <c r="M23" s="93">
        <f t="shared" si="8"/>
        <v>0</v>
      </c>
      <c r="N23" s="93">
        <f t="shared" si="8"/>
        <v>0</v>
      </c>
      <c r="O23" s="91">
        <f t="shared" si="4"/>
        <v>0</v>
      </c>
      <c r="P23" s="93">
        <f>SUM(P8:P22)</f>
        <v>0</v>
      </c>
      <c r="Q23" s="93">
        <f t="shared" ref="Q23:U23" si="9">SUM(Q8:Q22)</f>
        <v>0</v>
      </c>
      <c r="R23" s="93">
        <f t="shared" si="9"/>
        <v>0</v>
      </c>
      <c r="S23" s="93">
        <f t="shared" si="9"/>
        <v>0</v>
      </c>
      <c r="T23" s="93">
        <f t="shared" si="9"/>
        <v>0</v>
      </c>
      <c r="U23" s="93">
        <f t="shared" si="9"/>
        <v>0</v>
      </c>
      <c r="V23" s="91">
        <f t="shared" si="6"/>
        <v>0</v>
      </c>
      <c r="W23" s="93">
        <f>SUM(W8:W22)</f>
        <v>0</v>
      </c>
      <c r="X23" s="93">
        <f>SUM(X8:X22)</f>
        <v>0</v>
      </c>
      <c r="Y23" s="93">
        <f t="shared" ref="Y23:AB23" si="10">SUM(Y8:Y22)</f>
        <v>0</v>
      </c>
      <c r="Z23" s="93">
        <f t="shared" si="10"/>
        <v>0</v>
      </c>
      <c r="AA23" s="93">
        <f t="shared" si="10"/>
        <v>0</v>
      </c>
      <c r="AB23" s="93">
        <f t="shared" si="10"/>
        <v>0</v>
      </c>
      <c r="AC23" s="91">
        <f t="shared" si="1"/>
        <v>0</v>
      </c>
      <c r="AD23" s="93">
        <f>SUM(AD8:AD22)</f>
        <v>0</v>
      </c>
      <c r="AE23" s="93"/>
      <c r="AF23" s="93"/>
      <c r="AG23" s="93">
        <f>SUM(AG8:AG22)</f>
        <v>0</v>
      </c>
      <c r="AH23" s="66">
        <f t="shared" si="2"/>
        <v>0</v>
      </c>
      <c r="AI23" s="69">
        <f>SUM(AI8:AI22)</f>
        <v>0</v>
      </c>
    </row>
    <row r="24" spans="1:35" ht="17.25" customHeight="1" x14ac:dyDescent="0.25">
      <c r="A24" s="40">
        <f>1+A21</f>
        <v>15</v>
      </c>
      <c r="B24" s="153" t="s">
        <v>56</v>
      </c>
      <c r="C24" s="38" t="s">
        <v>69</v>
      </c>
      <c r="D24" s="67"/>
      <c r="E24" s="67"/>
      <c r="F24" s="67"/>
      <c r="G24" s="67"/>
      <c r="H24" s="66">
        <f t="shared" si="0"/>
        <v>0</v>
      </c>
      <c r="I24" s="67"/>
      <c r="J24" s="67"/>
      <c r="K24" s="12"/>
      <c r="L24" s="12"/>
      <c r="M24" s="67"/>
      <c r="N24" s="67"/>
      <c r="O24" s="66">
        <f>SUM(I24:N24)</f>
        <v>0</v>
      </c>
      <c r="P24" s="12"/>
      <c r="Q24" s="80"/>
      <c r="R24" s="67"/>
      <c r="S24" s="67"/>
      <c r="T24" s="67"/>
      <c r="U24" s="67"/>
      <c r="V24" s="66">
        <f>SUM(P24:U24)</f>
        <v>0</v>
      </c>
      <c r="W24" s="67"/>
      <c r="X24" s="67"/>
      <c r="Y24" s="67"/>
      <c r="Z24" s="67"/>
      <c r="AA24" s="67"/>
      <c r="AB24" s="67"/>
      <c r="AC24" s="66">
        <f t="shared" si="1"/>
        <v>0</v>
      </c>
      <c r="AD24" s="67"/>
      <c r="AE24" s="67"/>
      <c r="AF24" s="67"/>
      <c r="AG24" s="67"/>
      <c r="AH24" s="66">
        <f t="shared" si="2"/>
        <v>0</v>
      </c>
      <c r="AI24" s="68">
        <f>H24+O24+V24+AC24+AH24</f>
        <v>0</v>
      </c>
    </row>
    <row r="25" spans="1:35" ht="17.25" customHeight="1" x14ac:dyDescent="0.25">
      <c r="A25" s="40">
        <f t="shared" ref="A25:A38" si="11">1+A24</f>
        <v>16</v>
      </c>
      <c r="B25" s="41" t="s">
        <v>19</v>
      </c>
      <c r="C25" s="38" t="s">
        <v>18</v>
      </c>
      <c r="D25" s="67"/>
      <c r="E25" s="67"/>
      <c r="F25" s="67"/>
      <c r="G25" s="67"/>
      <c r="H25" s="66">
        <f t="shared" si="0"/>
        <v>0</v>
      </c>
      <c r="I25" s="67"/>
      <c r="J25" s="67"/>
      <c r="K25" s="67"/>
      <c r="L25" s="67"/>
      <c r="M25" s="67"/>
      <c r="N25" s="67"/>
      <c r="O25" s="66">
        <f t="shared" ref="O25:O63" si="12">SUM(I25:N25)</f>
        <v>0</v>
      </c>
      <c r="P25" s="67"/>
      <c r="Q25" s="67"/>
      <c r="R25" s="67"/>
      <c r="S25" s="67"/>
      <c r="T25" s="67"/>
      <c r="U25" s="67"/>
      <c r="V25" s="66">
        <f t="shared" ref="V25:V63" si="13">SUM(P25:U25)</f>
        <v>0</v>
      </c>
      <c r="W25" s="67"/>
      <c r="X25" s="67"/>
      <c r="Y25" s="67"/>
      <c r="Z25" s="67"/>
      <c r="AA25" s="67"/>
      <c r="AB25" s="67"/>
      <c r="AC25" s="66">
        <f t="shared" si="1"/>
        <v>0</v>
      </c>
      <c r="AD25" s="67"/>
      <c r="AE25" s="67"/>
      <c r="AF25" s="67"/>
      <c r="AG25" s="67"/>
      <c r="AH25" s="66">
        <f t="shared" si="2"/>
        <v>0</v>
      </c>
      <c r="AI25" s="68">
        <f>H25+O25+V25+AC25+AH25</f>
        <v>0</v>
      </c>
    </row>
    <row r="26" spans="1:35" ht="17.25" customHeight="1" x14ac:dyDescent="0.25">
      <c r="A26" s="40">
        <f t="shared" si="11"/>
        <v>17</v>
      </c>
      <c r="B26" s="41" t="s">
        <v>31</v>
      </c>
      <c r="C26" s="38" t="s">
        <v>32</v>
      </c>
      <c r="D26" s="67"/>
      <c r="E26" s="67"/>
      <c r="F26" s="67"/>
      <c r="G26" s="67"/>
      <c r="H26" s="66">
        <f t="shared" si="0"/>
        <v>0</v>
      </c>
      <c r="I26" s="67"/>
      <c r="J26" s="12"/>
      <c r="K26" s="67"/>
      <c r="L26" s="12"/>
      <c r="M26" s="67"/>
      <c r="N26" s="67"/>
      <c r="O26" s="66">
        <f t="shared" si="12"/>
        <v>0</v>
      </c>
      <c r="P26" s="67"/>
      <c r="Q26" s="67"/>
      <c r="R26" s="67"/>
      <c r="S26" s="67"/>
      <c r="T26" s="67"/>
      <c r="U26" s="67"/>
      <c r="V26" s="66">
        <f t="shared" si="13"/>
        <v>0</v>
      </c>
      <c r="W26" s="67"/>
      <c r="X26" s="67"/>
      <c r="Y26" s="67"/>
      <c r="Z26" s="67"/>
      <c r="AA26" s="67"/>
      <c r="AB26" s="67"/>
      <c r="AC26" s="66">
        <f t="shared" si="1"/>
        <v>0</v>
      </c>
      <c r="AD26" s="67"/>
      <c r="AE26" s="67"/>
      <c r="AF26" s="67"/>
      <c r="AG26" s="67">
        <v>241000</v>
      </c>
      <c r="AH26" s="66">
        <f t="shared" si="2"/>
        <v>241000</v>
      </c>
      <c r="AI26" s="68">
        <f>H26+O26+V26+AC26+AH26</f>
        <v>241000</v>
      </c>
    </row>
    <row r="27" spans="1:35" ht="17.25" customHeight="1" x14ac:dyDescent="0.25">
      <c r="A27" s="40">
        <f t="shared" si="11"/>
        <v>18</v>
      </c>
      <c r="B27" s="41" t="s">
        <v>33</v>
      </c>
      <c r="C27" s="38" t="s">
        <v>16</v>
      </c>
      <c r="D27" s="67"/>
      <c r="E27" s="67"/>
      <c r="F27" s="67"/>
      <c r="G27" s="67"/>
      <c r="H27" s="66">
        <f t="shared" si="0"/>
        <v>0</v>
      </c>
      <c r="I27" s="67"/>
      <c r="J27" s="67"/>
      <c r="K27" s="67"/>
      <c r="L27" s="67"/>
      <c r="M27" s="67"/>
      <c r="N27" s="67"/>
      <c r="O27" s="66">
        <f t="shared" si="12"/>
        <v>0</v>
      </c>
      <c r="P27" s="67"/>
      <c r="Q27" s="67"/>
      <c r="R27" s="67"/>
      <c r="S27" s="67"/>
      <c r="T27" s="67"/>
      <c r="U27" s="67"/>
      <c r="V27" s="66">
        <f t="shared" si="13"/>
        <v>0</v>
      </c>
      <c r="W27" s="67"/>
      <c r="X27" s="67"/>
      <c r="Y27" s="67"/>
      <c r="Z27" s="67"/>
      <c r="AA27" s="67"/>
      <c r="AB27" s="67"/>
      <c r="AC27" s="66">
        <f t="shared" si="1"/>
        <v>0</v>
      </c>
      <c r="AD27" s="67"/>
      <c r="AE27" s="67"/>
      <c r="AF27" s="67"/>
      <c r="AG27" s="67"/>
      <c r="AH27" s="66">
        <f t="shared" si="2"/>
        <v>0</v>
      </c>
      <c r="AI27" s="68">
        <f t="shared" ref="AI27:AI63" si="14">H27+O27+V27+AC27+AH27</f>
        <v>0</v>
      </c>
    </row>
    <row r="28" spans="1:35" ht="17.25" hidden="1" customHeight="1" x14ac:dyDescent="0.25">
      <c r="A28" s="40">
        <f t="shared" si="11"/>
        <v>19</v>
      </c>
      <c r="B28" s="41" t="s">
        <v>34</v>
      </c>
      <c r="C28" s="38" t="s">
        <v>26</v>
      </c>
      <c r="D28" s="67"/>
      <c r="E28" s="67"/>
      <c r="F28" s="67"/>
      <c r="G28" s="67"/>
      <c r="H28" s="66">
        <f t="shared" si="0"/>
        <v>0</v>
      </c>
      <c r="I28" s="67"/>
      <c r="J28" s="67"/>
      <c r="K28" s="67"/>
      <c r="L28" s="67"/>
      <c r="M28" s="67"/>
      <c r="N28" s="67"/>
      <c r="O28" s="66">
        <f t="shared" si="12"/>
        <v>0</v>
      </c>
      <c r="P28" s="67"/>
      <c r="Q28" s="67"/>
      <c r="R28" s="67"/>
      <c r="S28" s="67"/>
      <c r="T28" s="67"/>
      <c r="U28" s="67"/>
      <c r="V28" s="66">
        <f t="shared" si="13"/>
        <v>0</v>
      </c>
      <c r="W28" s="67"/>
      <c r="X28" s="67"/>
      <c r="Y28" s="67"/>
      <c r="Z28" s="67"/>
      <c r="AA28" s="67"/>
      <c r="AB28" s="67"/>
      <c r="AC28" s="66">
        <f t="shared" si="1"/>
        <v>0</v>
      </c>
      <c r="AD28" s="67"/>
      <c r="AE28" s="67"/>
      <c r="AF28" s="67"/>
      <c r="AG28" s="67"/>
      <c r="AH28" s="66">
        <f t="shared" si="2"/>
        <v>0</v>
      </c>
      <c r="AI28" s="68">
        <f t="shared" si="14"/>
        <v>0</v>
      </c>
    </row>
    <row r="29" spans="1:35" ht="17.25" customHeight="1" x14ac:dyDescent="0.25">
      <c r="A29" s="40">
        <f t="shared" si="11"/>
        <v>20</v>
      </c>
      <c r="B29" s="43" t="s">
        <v>73</v>
      </c>
      <c r="C29" s="38" t="s">
        <v>9</v>
      </c>
      <c r="D29" s="67"/>
      <c r="E29" s="12"/>
      <c r="F29" s="67"/>
      <c r="G29" s="67"/>
      <c r="H29" s="66">
        <f t="shared" si="0"/>
        <v>0</v>
      </c>
      <c r="I29" s="67"/>
      <c r="J29" s="67"/>
      <c r="K29" s="67"/>
      <c r="L29" s="67"/>
      <c r="M29" s="67"/>
      <c r="N29" s="67"/>
      <c r="O29" s="66">
        <f t="shared" si="12"/>
        <v>0</v>
      </c>
      <c r="P29" s="67"/>
      <c r="Q29" s="67"/>
      <c r="R29" s="67"/>
      <c r="S29" s="67"/>
      <c r="T29" s="67"/>
      <c r="U29" s="67"/>
      <c r="V29" s="66">
        <f t="shared" si="13"/>
        <v>0</v>
      </c>
      <c r="W29" s="67"/>
      <c r="X29" s="67"/>
      <c r="Y29" s="67"/>
      <c r="Z29" s="67"/>
      <c r="AA29" s="67"/>
      <c r="AB29" s="67"/>
      <c r="AC29" s="66">
        <f t="shared" si="1"/>
        <v>0</v>
      </c>
      <c r="AD29" s="67"/>
      <c r="AE29" s="67"/>
      <c r="AF29" s="67"/>
      <c r="AG29" s="67">
        <v>128559.5</v>
      </c>
      <c r="AH29" s="66">
        <f t="shared" si="2"/>
        <v>128559.5</v>
      </c>
      <c r="AI29" s="68">
        <f t="shared" si="14"/>
        <v>128559.5</v>
      </c>
    </row>
    <row r="30" spans="1:35" ht="17.25" customHeight="1" x14ac:dyDescent="0.25">
      <c r="A30" s="40">
        <f t="shared" si="11"/>
        <v>21</v>
      </c>
      <c r="B30" s="58" t="s">
        <v>75</v>
      </c>
      <c r="C30" s="59" t="s">
        <v>13</v>
      </c>
      <c r="D30" s="67"/>
      <c r="E30" s="67"/>
      <c r="F30" s="67"/>
      <c r="G30" s="67"/>
      <c r="H30" s="66">
        <f t="shared" si="0"/>
        <v>0</v>
      </c>
      <c r="I30" s="67"/>
      <c r="J30" s="67"/>
      <c r="K30" s="67"/>
      <c r="L30" s="67"/>
      <c r="M30" s="67"/>
      <c r="N30" s="67"/>
      <c r="O30" s="66">
        <f t="shared" si="12"/>
        <v>0</v>
      </c>
      <c r="P30" s="67"/>
      <c r="Q30" s="67"/>
      <c r="R30" s="67"/>
      <c r="S30" s="67"/>
      <c r="T30" s="67"/>
      <c r="U30" s="67"/>
      <c r="V30" s="66">
        <f t="shared" si="13"/>
        <v>0</v>
      </c>
      <c r="W30" s="67"/>
      <c r="X30" s="67"/>
      <c r="Y30" s="67"/>
      <c r="Z30" s="67"/>
      <c r="AA30" s="67"/>
      <c r="AB30" s="67"/>
      <c r="AC30" s="66">
        <f t="shared" si="1"/>
        <v>0</v>
      </c>
      <c r="AD30" s="67"/>
      <c r="AE30" s="67"/>
      <c r="AF30" s="67"/>
      <c r="AG30" s="67"/>
      <c r="AH30" s="66">
        <f t="shared" si="2"/>
        <v>0</v>
      </c>
      <c r="AI30" s="68">
        <f t="shared" si="14"/>
        <v>0</v>
      </c>
    </row>
    <row r="31" spans="1:35" ht="17.25" customHeight="1" x14ac:dyDescent="0.25">
      <c r="A31" s="40">
        <f t="shared" si="11"/>
        <v>22</v>
      </c>
      <c r="B31" s="43" t="s">
        <v>85</v>
      </c>
      <c r="C31" s="38" t="s">
        <v>86</v>
      </c>
      <c r="D31" s="67"/>
      <c r="E31" s="67"/>
      <c r="F31" s="67"/>
      <c r="G31" s="67"/>
      <c r="H31" s="66">
        <f t="shared" si="0"/>
        <v>0</v>
      </c>
      <c r="I31" s="67"/>
      <c r="J31" s="67"/>
      <c r="K31" s="67"/>
      <c r="L31" s="12"/>
      <c r="M31" s="11"/>
      <c r="N31" s="67"/>
      <c r="O31" s="66">
        <f t="shared" si="12"/>
        <v>0</v>
      </c>
      <c r="P31" s="67"/>
      <c r="Q31" s="67"/>
      <c r="R31" s="67"/>
      <c r="S31" s="67"/>
      <c r="T31" s="67"/>
      <c r="U31" s="67"/>
      <c r="V31" s="66">
        <f t="shared" si="13"/>
        <v>0</v>
      </c>
      <c r="W31" s="67"/>
      <c r="X31" s="67"/>
      <c r="Y31" s="67"/>
      <c r="Z31" s="67"/>
      <c r="AA31" s="67"/>
      <c r="AB31" s="67"/>
      <c r="AC31" s="66">
        <f t="shared" si="1"/>
        <v>0</v>
      </c>
      <c r="AD31" s="67"/>
      <c r="AE31" s="67"/>
      <c r="AF31" s="67"/>
      <c r="AG31" s="67"/>
      <c r="AH31" s="66">
        <f t="shared" si="2"/>
        <v>0</v>
      </c>
      <c r="AI31" s="68">
        <f t="shared" si="14"/>
        <v>0</v>
      </c>
    </row>
    <row r="32" spans="1:35" ht="17.25" customHeight="1" x14ac:dyDescent="0.25">
      <c r="A32" s="40">
        <f t="shared" si="11"/>
        <v>23</v>
      </c>
      <c r="B32" s="58" t="s">
        <v>87</v>
      </c>
      <c r="C32" s="59" t="s">
        <v>6</v>
      </c>
      <c r="D32" s="67"/>
      <c r="E32" s="67"/>
      <c r="F32" s="67"/>
      <c r="G32" s="67"/>
      <c r="H32" s="66">
        <f t="shared" si="0"/>
        <v>0</v>
      </c>
      <c r="I32" s="67"/>
      <c r="J32" s="67"/>
      <c r="K32" s="67"/>
      <c r="L32" s="12"/>
      <c r="M32" s="11"/>
      <c r="N32" s="67"/>
      <c r="O32" s="66">
        <f t="shared" si="12"/>
        <v>0</v>
      </c>
      <c r="P32" s="67"/>
      <c r="Q32" s="67"/>
      <c r="R32" s="67"/>
      <c r="S32" s="67"/>
      <c r="T32" s="67"/>
      <c r="U32" s="67"/>
      <c r="V32" s="66">
        <f t="shared" si="13"/>
        <v>0</v>
      </c>
      <c r="W32" s="67"/>
      <c r="X32" s="67"/>
      <c r="Y32" s="12"/>
      <c r="Z32" s="67"/>
      <c r="AA32" s="67"/>
      <c r="AB32" s="67"/>
      <c r="AC32" s="66">
        <f t="shared" si="1"/>
        <v>0</v>
      </c>
      <c r="AD32" s="67"/>
      <c r="AE32" s="67"/>
      <c r="AF32" s="67"/>
      <c r="AG32" s="67"/>
      <c r="AH32" s="66">
        <f t="shared" si="2"/>
        <v>0</v>
      </c>
      <c r="AI32" s="68">
        <f t="shared" si="14"/>
        <v>0</v>
      </c>
    </row>
    <row r="33" spans="1:37" ht="17.25" customHeight="1" x14ac:dyDescent="0.25">
      <c r="A33" s="40">
        <f t="shared" si="11"/>
        <v>24</v>
      </c>
      <c r="B33" s="43" t="s">
        <v>89</v>
      </c>
      <c r="C33" s="38" t="s">
        <v>26</v>
      </c>
      <c r="D33" s="67"/>
      <c r="E33" s="67"/>
      <c r="F33" s="67"/>
      <c r="G33" s="67"/>
      <c r="H33" s="66">
        <f t="shared" si="0"/>
        <v>0</v>
      </c>
      <c r="I33" s="67"/>
      <c r="J33" s="67"/>
      <c r="K33" s="67"/>
      <c r="L33" s="12"/>
      <c r="M33" s="11"/>
      <c r="N33" s="67"/>
      <c r="O33" s="66">
        <f t="shared" si="12"/>
        <v>0</v>
      </c>
      <c r="P33" s="12"/>
      <c r="Q33" s="11"/>
      <c r="R33" s="67"/>
      <c r="S33" s="67"/>
      <c r="T33" s="67"/>
      <c r="U33" s="67"/>
      <c r="V33" s="66">
        <f t="shared" si="13"/>
        <v>0</v>
      </c>
      <c r="W33" s="67"/>
      <c r="X33" s="67"/>
      <c r="Y33" s="67"/>
      <c r="Z33" s="67"/>
      <c r="AA33" s="67"/>
      <c r="AB33" s="67"/>
      <c r="AC33" s="66">
        <f t="shared" si="1"/>
        <v>0</v>
      </c>
      <c r="AD33" s="67"/>
      <c r="AE33" s="67"/>
      <c r="AF33" s="67"/>
      <c r="AG33" s="67"/>
      <c r="AH33" s="66">
        <f t="shared" si="2"/>
        <v>0</v>
      </c>
      <c r="AI33" s="68">
        <f t="shared" si="14"/>
        <v>0</v>
      </c>
    </row>
    <row r="34" spans="1:37" ht="17.25" customHeight="1" x14ac:dyDescent="0.25">
      <c r="A34" s="40">
        <f t="shared" si="11"/>
        <v>25</v>
      </c>
      <c r="B34" s="58" t="s">
        <v>93</v>
      </c>
      <c r="C34" s="59" t="s">
        <v>26</v>
      </c>
      <c r="D34" s="67"/>
      <c r="E34" s="67"/>
      <c r="F34" s="67"/>
      <c r="G34" s="67"/>
      <c r="H34" s="66">
        <f t="shared" si="0"/>
        <v>0</v>
      </c>
      <c r="I34" s="67"/>
      <c r="J34" s="67"/>
      <c r="K34" s="67"/>
      <c r="L34" s="12"/>
      <c r="M34" s="11"/>
      <c r="N34" s="67"/>
      <c r="O34" s="66">
        <f t="shared" si="12"/>
        <v>0</v>
      </c>
      <c r="P34" s="12"/>
      <c r="Q34" s="11"/>
      <c r="R34" s="67"/>
      <c r="S34" s="67"/>
      <c r="T34" s="67"/>
      <c r="U34" s="67"/>
      <c r="V34" s="66">
        <f t="shared" si="13"/>
        <v>0</v>
      </c>
      <c r="W34" s="67"/>
      <c r="X34" s="67"/>
      <c r="Y34" s="67"/>
      <c r="Z34" s="67"/>
      <c r="AA34" s="67"/>
      <c r="AB34" s="67"/>
      <c r="AC34" s="66">
        <f t="shared" si="1"/>
        <v>0</v>
      </c>
      <c r="AD34" s="67"/>
      <c r="AE34" s="67"/>
      <c r="AF34" s="67"/>
      <c r="AG34" s="67"/>
      <c r="AH34" s="66">
        <f t="shared" si="2"/>
        <v>0</v>
      </c>
      <c r="AI34" s="68">
        <f t="shared" si="14"/>
        <v>0</v>
      </c>
    </row>
    <row r="35" spans="1:37" ht="17.25" customHeight="1" x14ac:dyDescent="0.25">
      <c r="A35" s="40">
        <f>1+A34</f>
        <v>26</v>
      </c>
      <c r="B35" s="58" t="s">
        <v>112</v>
      </c>
      <c r="C35" s="59" t="s">
        <v>32</v>
      </c>
      <c r="D35" s="67"/>
      <c r="E35" s="67"/>
      <c r="F35" s="67"/>
      <c r="G35" s="67"/>
      <c r="H35" s="66">
        <f t="shared" si="0"/>
        <v>0</v>
      </c>
      <c r="I35" s="67"/>
      <c r="J35" s="67"/>
      <c r="K35" s="67"/>
      <c r="L35" s="12"/>
      <c r="M35" s="11"/>
      <c r="N35" s="67"/>
      <c r="O35" s="66">
        <f t="shared" si="12"/>
        <v>0</v>
      </c>
      <c r="P35" s="12"/>
      <c r="Q35" s="19"/>
      <c r="R35" s="67"/>
      <c r="S35" s="67"/>
      <c r="T35" s="67"/>
      <c r="U35" s="67"/>
      <c r="V35" s="66">
        <f t="shared" si="13"/>
        <v>0</v>
      </c>
      <c r="W35" s="67"/>
      <c r="X35" s="67"/>
      <c r="Y35" s="67"/>
      <c r="Z35" s="67"/>
      <c r="AA35" s="67"/>
      <c r="AB35" s="67"/>
      <c r="AC35" s="66">
        <f t="shared" si="1"/>
        <v>0</v>
      </c>
      <c r="AD35" s="67"/>
      <c r="AE35" s="67"/>
      <c r="AF35" s="67"/>
      <c r="AG35" s="67"/>
      <c r="AH35" s="66">
        <f t="shared" si="2"/>
        <v>0</v>
      </c>
      <c r="AI35" s="68">
        <f t="shared" si="14"/>
        <v>0</v>
      </c>
    </row>
    <row r="36" spans="1:37" ht="17.25" customHeight="1" x14ac:dyDescent="0.25">
      <c r="A36" s="40">
        <f t="shared" ref="A36:A37" si="15">1+A35</f>
        <v>27</v>
      </c>
      <c r="B36" s="58" t="s">
        <v>113</v>
      </c>
      <c r="C36" s="59" t="s">
        <v>32</v>
      </c>
      <c r="D36" s="67"/>
      <c r="E36" s="67"/>
      <c r="F36" s="67"/>
      <c r="G36" s="67"/>
      <c r="H36" s="66">
        <f t="shared" si="0"/>
        <v>0</v>
      </c>
      <c r="I36" s="67"/>
      <c r="J36" s="67"/>
      <c r="K36" s="67"/>
      <c r="L36" s="12"/>
      <c r="M36" s="11"/>
      <c r="N36" s="67"/>
      <c r="O36" s="66">
        <f t="shared" si="12"/>
        <v>0</v>
      </c>
      <c r="P36" s="12"/>
      <c r="Q36" s="19"/>
      <c r="R36" s="67"/>
      <c r="S36" s="67"/>
      <c r="T36" s="67"/>
      <c r="U36" s="67"/>
      <c r="V36" s="66">
        <f t="shared" si="13"/>
        <v>0</v>
      </c>
      <c r="W36" s="67"/>
      <c r="X36" s="67"/>
      <c r="Y36" s="67"/>
      <c r="Z36" s="67"/>
      <c r="AA36" s="67"/>
      <c r="AB36" s="67"/>
      <c r="AC36" s="66">
        <f t="shared" si="1"/>
        <v>0</v>
      </c>
      <c r="AD36" s="67"/>
      <c r="AE36" s="67"/>
      <c r="AF36" s="67"/>
      <c r="AG36" s="67"/>
      <c r="AH36" s="66">
        <f t="shared" si="2"/>
        <v>0</v>
      </c>
      <c r="AI36" s="68">
        <f t="shared" si="14"/>
        <v>0</v>
      </c>
    </row>
    <row r="37" spans="1:37" ht="17.25" customHeight="1" x14ac:dyDescent="0.25">
      <c r="A37" s="40">
        <f t="shared" si="15"/>
        <v>28</v>
      </c>
      <c r="B37" s="58" t="s">
        <v>94</v>
      </c>
      <c r="C37" s="59" t="s">
        <v>26</v>
      </c>
      <c r="D37" s="67"/>
      <c r="E37" s="67"/>
      <c r="F37" s="67"/>
      <c r="G37" s="67"/>
      <c r="H37" s="66">
        <f t="shared" si="0"/>
        <v>0</v>
      </c>
      <c r="I37" s="12"/>
      <c r="J37" s="12"/>
      <c r="K37" s="12"/>
      <c r="L37" s="12"/>
      <c r="M37" s="11"/>
      <c r="N37" s="67"/>
      <c r="O37" s="66">
        <f t="shared" si="12"/>
        <v>0</v>
      </c>
      <c r="P37" s="67"/>
      <c r="Q37" s="19"/>
      <c r="R37" s="67"/>
      <c r="S37" s="67"/>
      <c r="T37" s="67"/>
      <c r="U37" s="67"/>
      <c r="V37" s="66">
        <f t="shared" si="13"/>
        <v>0</v>
      </c>
      <c r="W37" s="67"/>
      <c r="X37" s="67"/>
      <c r="Y37" s="67"/>
      <c r="Z37" s="12"/>
      <c r="AA37" s="67"/>
      <c r="AB37" s="67"/>
      <c r="AC37" s="66">
        <f t="shared" si="1"/>
        <v>0</v>
      </c>
      <c r="AD37" s="12"/>
      <c r="AE37" s="12"/>
      <c r="AF37" s="12"/>
      <c r="AG37" s="12">
        <v>77074</v>
      </c>
      <c r="AH37" s="66">
        <f t="shared" si="2"/>
        <v>77074</v>
      </c>
      <c r="AI37" s="68">
        <f t="shared" si="14"/>
        <v>77074</v>
      </c>
    </row>
    <row r="38" spans="1:37" ht="17.25" customHeight="1" x14ac:dyDescent="0.25">
      <c r="A38" s="40">
        <f t="shared" si="11"/>
        <v>29</v>
      </c>
      <c r="B38" s="58" t="s">
        <v>100</v>
      </c>
      <c r="C38" s="59" t="s">
        <v>13</v>
      </c>
      <c r="D38" s="67"/>
      <c r="E38" s="67"/>
      <c r="F38" s="67"/>
      <c r="G38" s="67"/>
      <c r="H38" s="66">
        <f t="shared" si="0"/>
        <v>0</v>
      </c>
      <c r="I38" s="12"/>
      <c r="J38" s="12"/>
      <c r="K38" s="12"/>
      <c r="L38" s="67"/>
      <c r="M38" s="67"/>
      <c r="N38" s="67"/>
      <c r="O38" s="66">
        <f t="shared" si="12"/>
        <v>0</v>
      </c>
      <c r="P38" s="67"/>
      <c r="Q38" s="19"/>
      <c r="R38" s="67"/>
      <c r="S38" s="67"/>
      <c r="T38" s="67"/>
      <c r="U38" s="67"/>
      <c r="V38" s="66">
        <f t="shared" si="13"/>
        <v>0</v>
      </c>
      <c r="W38" s="67"/>
      <c r="X38" s="67"/>
      <c r="Y38" s="67"/>
      <c r="Z38" s="67"/>
      <c r="AA38" s="67"/>
      <c r="AB38" s="67"/>
      <c r="AC38" s="66">
        <f t="shared" si="1"/>
        <v>0</v>
      </c>
      <c r="AD38" s="67"/>
      <c r="AE38" s="67"/>
      <c r="AF38" s="67"/>
      <c r="AG38" s="67"/>
      <c r="AH38" s="66">
        <f t="shared" si="2"/>
        <v>0</v>
      </c>
      <c r="AI38" s="68">
        <f t="shared" si="14"/>
        <v>0</v>
      </c>
      <c r="AK38" s="49"/>
    </row>
    <row r="39" spans="1:37" ht="17.25" customHeight="1" x14ac:dyDescent="0.25">
      <c r="A39" s="40">
        <f>1+A38</f>
        <v>30</v>
      </c>
      <c r="B39" s="58" t="s">
        <v>101</v>
      </c>
      <c r="C39" s="59" t="s">
        <v>16</v>
      </c>
      <c r="D39" s="67"/>
      <c r="E39" s="67"/>
      <c r="F39" s="67"/>
      <c r="G39" s="67"/>
      <c r="H39" s="66">
        <f t="shared" si="0"/>
        <v>0</v>
      </c>
      <c r="I39" s="12"/>
      <c r="J39" s="12"/>
      <c r="K39" s="12"/>
      <c r="L39" s="67"/>
      <c r="M39" s="67"/>
      <c r="N39" s="67"/>
      <c r="O39" s="66">
        <f t="shared" si="12"/>
        <v>0</v>
      </c>
      <c r="P39" s="67"/>
      <c r="Q39" s="19"/>
      <c r="R39" s="67"/>
      <c r="S39" s="67"/>
      <c r="T39" s="67"/>
      <c r="U39" s="67"/>
      <c r="V39" s="66">
        <f t="shared" si="13"/>
        <v>0</v>
      </c>
      <c r="W39" s="67"/>
      <c r="X39" s="67"/>
      <c r="Y39" s="67"/>
      <c r="Z39" s="67"/>
      <c r="AA39" s="67"/>
      <c r="AB39" s="67"/>
      <c r="AC39" s="66">
        <f t="shared" si="1"/>
        <v>0</v>
      </c>
      <c r="AD39" s="67"/>
      <c r="AE39" s="67"/>
      <c r="AF39" s="67"/>
      <c r="AG39" s="67"/>
      <c r="AH39" s="66">
        <f t="shared" si="2"/>
        <v>0</v>
      </c>
      <c r="AI39" s="68">
        <f t="shared" si="14"/>
        <v>0</v>
      </c>
    </row>
    <row r="40" spans="1:37" ht="17.25" customHeight="1" x14ac:dyDescent="0.25">
      <c r="A40" s="40">
        <f t="shared" ref="A40:A63" si="16">1+A39</f>
        <v>31</v>
      </c>
      <c r="B40" s="58" t="s">
        <v>103</v>
      </c>
      <c r="C40" s="59" t="s">
        <v>104</v>
      </c>
      <c r="D40" s="67"/>
      <c r="E40" s="67"/>
      <c r="F40" s="67"/>
      <c r="G40" s="67"/>
      <c r="H40" s="66">
        <f t="shared" si="0"/>
        <v>0</v>
      </c>
      <c r="I40" s="12"/>
      <c r="J40" s="12"/>
      <c r="K40" s="12"/>
      <c r="L40" s="67"/>
      <c r="M40" s="67"/>
      <c r="N40" s="67"/>
      <c r="O40" s="66">
        <f t="shared" si="12"/>
        <v>0</v>
      </c>
      <c r="P40" s="67"/>
      <c r="Q40" s="19"/>
      <c r="R40" s="67"/>
      <c r="S40" s="67"/>
      <c r="T40" s="67"/>
      <c r="U40" s="67"/>
      <c r="V40" s="66">
        <f t="shared" si="13"/>
        <v>0</v>
      </c>
      <c r="W40" s="67"/>
      <c r="X40" s="67"/>
      <c r="Y40" s="67"/>
      <c r="Z40" s="67"/>
      <c r="AA40" s="67"/>
      <c r="AB40" s="67"/>
      <c r="AC40" s="66">
        <f t="shared" si="1"/>
        <v>0</v>
      </c>
      <c r="AD40" s="67"/>
      <c r="AE40" s="67"/>
      <c r="AF40" s="67"/>
      <c r="AG40" s="67"/>
      <c r="AH40" s="66">
        <f t="shared" si="2"/>
        <v>0</v>
      </c>
      <c r="AI40" s="68">
        <f t="shared" si="14"/>
        <v>0</v>
      </c>
    </row>
    <row r="41" spans="1:37" ht="17.25" customHeight="1" x14ac:dyDescent="0.25">
      <c r="A41" s="40">
        <f t="shared" si="16"/>
        <v>32</v>
      </c>
      <c r="B41" s="58" t="s">
        <v>98</v>
      </c>
      <c r="C41" s="59" t="s">
        <v>88</v>
      </c>
      <c r="D41" s="67"/>
      <c r="E41" s="67"/>
      <c r="F41" s="67"/>
      <c r="G41" s="67"/>
      <c r="H41" s="66">
        <f t="shared" si="0"/>
        <v>0</v>
      </c>
      <c r="I41" s="12"/>
      <c r="J41" s="12"/>
      <c r="K41" s="12"/>
      <c r="L41" s="67"/>
      <c r="M41" s="67"/>
      <c r="N41" s="67"/>
      <c r="O41" s="66">
        <f t="shared" si="12"/>
        <v>0</v>
      </c>
      <c r="P41" s="67"/>
      <c r="Q41" s="19"/>
      <c r="R41" s="67"/>
      <c r="S41" s="67"/>
      <c r="T41" s="67"/>
      <c r="U41" s="67"/>
      <c r="V41" s="66">
        <f t="shared" si="13"/>
        <v>0</v>
      </c>
      <c r="W41" s="67"/>
      <c r="X41" s="67"/>
      <c r="Y41" s="67"/>
      <c r="Z41" s="67"/>
      <c r="AA41" s="67"/>
      <c r="AB41" s="67"/>
      <c r="AC41" s="66">
        <f t="shared" si="1"/>
        <v>0</v>
      </c>
      <c r="AD41" s="67"/>
      <c r="AE41" s="67"/>
      <c r="AF41" s="67"/>
      <c r="AG41" s="67">
        <v>292565</v>
      </c>
      <c r="AH41" s="66">
        <f t="shared" si="2"/>
        <v>292565</v>
      </c>
      <c r="AI41" s="68">
        <f t="shared" si="14"/>
        <v>292565</v>
      </c>
    </row>
    <row r="42" spans="1:37" ht="17.25" customHeight="1" x14ac:dyDescent="0.25">
      <c r="A42" s="40">
        <f t="shared" si="16"/>
        <v>33</v>
      </c>
      <c r="B42" s="58" t="s">
        <v>114</v>
      </c>
      <c r="C42" s="59" t="s">
        <v>88</v>
      </c>
      <c r="D42" s="67"/>
      <c r="E42" s="67"/>
      <c r="F42" s="67"/>
      <c r="G42" s="67"/>
      <c r="H42" s="66">
        <f t="shared" si="0"/>
        <v>0</v>
      </c>
      <c r="I42" s="12"/>
      <c r="J42" s="12"/>
      <c r="K42" s="12"/>
      <c r="L42" s="67"/>
      <c r="M42" s="67"/>
      <c r="N42" s="67"/>
      <c r="O42" s="66">
        <f t="shared" si="12"/>
        <v>0</v>
      </c>
      <c r="P42" s="67"/>
      <c r="Q42" s="19"/>
      <c r="R42" s="67"/>
      <c r="S42" s="67"/>
      <c r="T42" s="67"/>
      <c r="U42" s="67"/>
      <c r="V42" s="66">
        <f t="shared" si="13"/>
        <v>0</v>
      </c>
      <c r="W42" s="67"/>
      <c r="X42" s="67"/>
      <c r="Y42" s="67"/>
      <c r="Z42" s="67"/>
      <c r="AA42" s="67"/>
      <c r="AB42" s="67"/>
      <c r="AC42" s="66">
        <f t="shared" si="1"/>
        <v>0</v>
      </c>
      <c r="AD42" s="67"/>
      <c r="AE42" s="67"/>
      <c r="AF42" s="67"/>
      <c r="AG42" s="67"/>
      <c r="AH42" s="66">
        <f t="shared" si="2"/>
        <v>0</v>
      </c>
      <c r="AI42" s="68">
        <f t="shared" si="14"/>
        <v>0</v>
      </c>
      <c r="AK42" s="49"/>
    </row>
    <row r="43" spans="1:37" ht="17.25" customHeight="1" x14ac:dyDescent="0.25">
      <c r="A43" s="40">
        <f t="shared" si="16"/>
        <v>34</v>
      </c>
      <c r="B43" s="58" t="s">
        <v>121</v>
      </c>
      <c r="C43" s="59" t="s">
        <v>86</v>
      </c>
      <c r="D43" s="67"/>
      <c r="E43" s="67"/>
      <c r="F43" s="67"/>
      <c r="G43" s="67"/>
      <c r="H43" s="66">
        <f t="shared" si="0"/>
        <v>0</v>
      </c>
      <c r="I43" s="12"/>
      <c r="J43" s="12"/>
      <c r="K43" s="12"/>
      <c r="L43" s="67"/>
      <c r="M43" s="67"/>
      <c r="N43" s="67"/>
      <c r="O43" s="66">
        <f t="shared" si="12"/>
        <v>0</v>
      </c>
      <c r="P43" s="67"/>
      <c r="Q43" s="19"/>
      <c r="R43" s="67"/>
      <c r="S43" s="67"/>
      <c r="T43" s="67"/>
      <c r="U43" s="67"/>
      <c r="V43" s="66">
        <f t="shared" si="13"/>
        <v>0</v>
      </c>
      <c r="W43" s="67"/>
      <c r="X43" s="67"/>
      <c r="Y43" s="67"/>
      <c r="Z43" s="67"/>
      <c r="AA43" s="67"/>
      <c r="AB43" s="67"/>
      <c r="AC43" s="66">
        <f t="shared" si="1"/>
        <v>0</v>
      </c>
      <c r="AD43" s="67"/>
      <c r="AE43" s="67"/>
      <c r="AF43" s="67"/>
      <c r="AG43" s="67">
        <v>119492</v>
      </c>
      <c r="AH43" s="66">
        <f t="shared" si="2"/>
        <v>119492</v>
      </c>
      <c r="AI43" s="68">
        <f t="shared" si="14"/>
        <v>119492</v>
      </c>
    </row>
    <row r="44" spans="1:37" ht="17.25" customHeight="1" x14ac:dyDescent="0.25">
      <c r="A44" s="40">
        <f t="shared" si="16"/>
        <v>35</v>
      </c>
      <c r="B44" s="58" t="s">
        <v>118</v>
      </c>
      <c r="C44" s="59" t="s">
        <v>122</v>
      </c>
      <c r="D44" s="67"/>
      <c r="E44" s="67"/>
      <c r="F44" s="67"/>
      <c r="G44" s="67"/>
      <c r="H44" s="66">
        <f t="shared" si="0"/>
        <v>0</v>
      </c>
      <c r="I44" s="12"/>
      <c r="J44" s="12"/>
      <c r="K44" s="12"/>
      <c r="L44" s="67"/>
      <c r="M44" s="67"/>
      <c r="N44" s="67"/>
      <c r="O44" s="66">
        <f t="shared" si="12"/>
        <v>0</v>
      </c>
      <c r="P44" s="67"/>
      <c r="Q44" s="19"/>
      <c r="R44" s="67"/>
      <c r="S44" s="67"/>
      <c r="T44" s="67"/>
      <c r="U44" s="67"/>
      <c r="V44" s="66">
        <f t="shared" si="13"/>
        <v>0</v>
      </c>
      <c r="W44" s="67"/>
      <c r="X44" s="67"/>
      <c r="Y44" s="67"/>
      <c r="Z44" s="67"/>
      <c r="AA44" s="67"/>
      <c r="AB44" s="67"/>
      <c r="AC44" s="66">
        <f t="shared" si="1"/>
        <v>0</v>
      </c>
      <c r="AD44" s="67"/>
      <c r="AE44" s="67"/>
      <c r="AF44" s="67"/>
      <c r="AG44" s="67"/>
      <c r="AH44" s="66">
        <f t="shared" si="2"/>
        <v>0</v>
      </c>
      <c r="AI44" s="68">
        <f t="shared" si="14"/>
        <v>0</v>
      </c>
    </row>
    <row r="45" spans="1:37" ht="17.25" customHeight="1" x14ac:dyDescent="0.25">
      <c r="A45" s="40">
        <f t="shared" si="16"/>
        <v>36</v>
      </c>
      <c r="B45" s="58" t="s">
        <v>115</v>
      </c>
      <c r="C45" s="59" t="s">
        <v>116</v>
      </c>
      <c r="D45" s="67"/>
      <c r="E45" s="67"/>
      <c r="F45" s="67"/>
      <c r="G45" s="67"/>
      <c r="H45" s="66">
        <f t="shared" si="0"/>
        <v>0</v>
      </c>
      <c r="I45" s="12"/>
      <c r="J45" s="12"/>
      <c r="K45" s="12"/>
      <c r="L45" s="12"/>
      <c r="M45" s="12"/>
      <c r="N45" s="12"/>
      <c r="O45" s="66">
        <f t="shared" si="12"/>
        <v>0</v>
      </c>
      <c r="P45" s="67"/>
      <c r="Q45" s="19"/>
      <c r="R45" s="67"/>
      <c r="S45" s="67"/>
      <c r="T45" s="12"/>
      <c r="U45" s="12"/>
      <c r="V45" s="66">
        <f t="shared" si="13"/>
        <v>0</v>
      </c>
      <c r="W45" s="67"/>
      <c r="X45" s="12"/>
      <c r="Y45" s="12"/>
      <c r="Z45" s="67"/>
      <c r="AA45" s="67"/>
      <c r="AB45" s="67"/>
      <c r="AC45" s="66">
        <f t="shared" si="1"/>
        <v>0</v>
      </c>
      <c r="AD45" s="67"/>
      <c r="AE45" s="67"/>
      <c r="AF45" s="67"/>
      <c r="AG45" s="67"/>
      <c r="AH45" s="66">
        <f t="shared" si="2"/>
        <v>0</v>
      </c>
      <c r="AI45" s="68">
        <f t="shared" si="14"/>
        <v>0</v>
      </c>
    </row>
    <row r="46" spans="1:37" ht="17.25" customHeight="1" x14ac:dyDescent="0.25">
      <c r="A46" s="40">
        <f t="shared" si="16"/>
        <v>37</v>
      </c>
      <c r="B46" s="58" t="s">
        <v>123</v>
      </c>
      <c r="C46" s="59" t="s">
        <v>125</v>
      </c>
      <c r="D46" s="67"/>
      <c r="E46" s="67"/>
      <c r="F46" s="67"/>
      <c r="G46" s="67"/>
      <c r="H46" s="66">
        <f t="shared" si="0"/>
        <v>0</v>
      </c>
      <c r="I46" s="12"/>
      <c r="J46" s="12"/>
      <c r="K46" s="12"/>
      <c r="L46" s="12"/>
      <c r="M46" s="12"/>
      <c r="N46" s="12"/>
      <c r="O46" s="66">
        <f t="shared" si="12"/>
        <v>0</v>
      </c>
      <c r="P46" s="67"/>
      <c r="Q46" s="67"/>
      <c r="R46" s="67"/>
      <c r="S46" s="67"/>
      <c r="T46" s="12"/>
      <c r="U46" s="12"/>
      <c r="V46" s="66">
        <f t="shared" si="13"/>
        <v>0</v>
      </c>
      <c r="W46" s="67"/>
      <c r="X46" s="12"/>
      <c r="Y46" s="12"/>
      <c r="Z46" s="67"/>
      <c r="AA46" s="67"/>
      <c r="AB46" s="67"/>
      <c r="AC46" s="66">
        <f t="shared" si="1"/>
        <v>0</v>
      </c>
      <c r="AD46" s="67"/>
      <c r="AE46" s="67"/>
      <c r="AF46" s="67"/>
      <c r="AG46" s="67"/>
      <c r="AH46" s="66">
        <f t="shared" si="2"/>
        <v>0</v>
      </c>
      <c r="AI46" s="68">
        <f t="shared" si="14"/>
        <v>0</v>
      </c>
    </row>
    <row r="47" spans="1:37" ht="17.25" customHeight="1" x14ac:dyDescent="0.25">
      <c r="A47" s="40">
        <f t="shared" si="16"/>
        <v>38</v>
      </c>
      <c r="B47" s="58" t="s">
        <v>128</v>
      </c>
      <c r="C47" s="59" t="s">
        <v>129</v>
      </c>
      <c r="D47" s="67"/>
      <c r="E47" s="67"/>
      <c r="F47" s="67"/>
      <c r="G47" s="67"/>
      <c r="H47" s="66">
        <f t="shared" si="0"/>
        <v>0</v>
      </c>
      <c r="I47" s="12"/>
      <c r="J47" s="12"/>
      <c r="K47" s="12"/>
      <c r="L47" s="12"/>
      <c r="M47" s="12"/>
      <c r="N47" s="12"/>
      <c r="O47" s="66">
        <f t="shared" si="12"/>
        <v>0</v>
      </c>
      <c r="P47" s="67"/>
      <c r="Q47" s="67"/>
      <c r="R47" s="67"/>
      <c r="S47" s="67"/>
      <c r="T47" s="12"/>
      <c r="U47" s="12"/>
      <c r="V47" s="66">
        <f t="shared" si="13"/>
        <v>0</v>
      </c>
      <c r="W47" s="12"/>
      <c r="X47" s="11"/>
      <c r="Y47" s="12"/>
      <c r="Z47" s="67"/>
      <c r="AA47" s="67"/>
      <c r="AB47" s="67"/>
      <c r="AC47" s="66">
        <f t="shared" si="1"/>
        <v>0</v>
      </c>
      <c r="AD47" s="67"/>
      <c r="AE47" s="67"/>
      <c r="AF47" s="67"/>
      <c r="AG47" s="67"/>
      <c r="AH47" s="66">
        <f t="shared" si="2"/>
        <v>0</v>
      </c>
      <c r="AI47" s="68">
        <f t="shared" si="14"/>
        <v>0</v>
      </c>
    </row>
    <row r="48" spans="1:37" ht="17.25" customHeight="1" x14ac:dyDescent="0.25">
      <c r="A48" s="40">
        <f t="shared" si="16"/>
        <v>39</v>
      </c>
      <c r="B48" s="58" t="s">
        <v>126</v>
      </c>
      <c r="C48" s="59" t="s">
        <v>29</v>
      </c>
      <c r="D48" s="67"/>
      <c r="E48" s="67"/>
      <c r="F48" s="67"/>
      <c r="G48" s="67"/>
      <c r="H48" s="66">
        <f t="shared" si="0"/>
        <v>0</v>
      </c>
      <c r="I48" s="12"/>
      <c r="J48" s="12"/>
      <c r="K48" s="12"/>
      <c r="L48" s="12"/>
      <c r="M48" s="12"/>
      <c r="N48" s="12"/>
      <c r="O48" s="66">
        <f t="shared" si="12"/>
        <v>0</v>
      </c>
      <c r="P48" s="67"/>
      <c r="Q48" s="67"/>
      <c r="R48" s="67"/>
      <c r="S48" s="67"/>
      <c r="T48" s="12"/>
      <c r="U48" s="12"/>
      <c r="V48" s="66">
        <f t="shared" si="13"/>
        <v>0</v>
      </c>
      <c r="W48" s="12"/>
      <c r="X48" s="11"/>
      <c r="Y48" s="12"/>
      <c r="Z48" s="67"/>
      <c r="AA48" s="67"/>
      <c r="AB48" s="67"/>
      <c r="AC48" s="66">
        <f t="shared" si="1"/>
        <v>0</v>
      </c>
      <c r="AD48" s="67"/>
      <c r="AE48" s="67"/>
      <c r="AF48" s="67"/>
      <c r="AG48" s="67"/>
      <c r="AH48" s="66">
        <f t="shared" si="2"/>
        <v>0</v>
      </c>
      <c r="AI48" s="68">
        <f t="shared" si="14"/>
        <v>0</v>
      </c>
    </row>
    <row r="49" spans="1:35" ht="17.25" customHeight="1" x14ac:dyDescent="0.25">
      <c r="A49" s="40">
        <f t="shared" si="16"/>
        <v>40</v>
      </c>
      <c r="B49" s="58" t="s">
        <v>132</v>
      </c>
      <c r="C49" s="59" t="s">
        <v>16</v>
      </c>
      <c r="D49" s="67"/>
      <c r="E49" s="67"/>
      <c r="F49" s="67"/>
      <c r="G49" s="67"/>
      <c r="H49" s="66">
        <f t="shared" si="0"/>
        <v>0</v>
      </c>
      <c r="I49" s="12"/>
      <c r="J49" s="12"/>
      <c r="K49" s="12"/>
      <c r="L49" s="12"/>
      <c r="M49" s="12"/>
      <c r="N49" s="12"/>
      <c r="O49" s="66"/>
      <c r="P49" s="67"/>
      <c r="Q49" s="67"/>
      <c r="R49" s="67"/>
      <c r="S49" s="67"/>
      <c r="T49" s="12"/>
      <c r="U49" s="12"/>
      <c r="V49" s="66"/>
      <c r="W49" s="12"/>
      <c r="X49" s="11"/>
      <c r="Y49" s="12"/>
      <c r="Z49" s="67"/>
      <c r="AA49" s="67"/>
      <c r="AB49" s="67"/>
      <c r="AC49" s="66"/>
      <c r="AD49" s="67"/>
      <c r="AE49" s="67"/>
      <c r="AF49" s="67"/>
      <c r="AG49" s="67">
        <v>18522</v>
      </c>
      <c r="AH49" s="66">
        <f t="shared" si="2"/>
        <v>18522</v>
      </c>
      <c r="AI49" s="68">
        <f t="shared" si="14"/>
        <v>18522</v>
      </c>
    </row>
    <row r="50" spans="1:35" ht="29.25" customHeight="1" x14ac:dyDescent="0.25">
      <c r="A50" s="40">
        <f t="shared" si="16"/>
        <v>41</v>
      </c>
      <c r="B50" s="58" t="s">
        <v>133</v>
      </c>
      <c r="C50" s="59" t="s">
        <v>140</v>
      </c>
      <c r="D50" s="67"/>
      <c r="E50" s="67"/>
      <c r="F50" s="67"/>
      <c r="G50" s="67"/>
      <c r="H50" s="66">
        <f t="shared" si="0"/>
        <v>0</v>
      </c>
      <c r="I50" s="12"/>
      <c r="J50" s="12"/>
      <c r="K50" s="12"/>
      <c r="L50" s="12"/>
      <c r="M50" s="12"/>
      <c r="N50" s="12"/>
      <c r="O50" s="66"/>
      <c r="P50" s="67"/>
      <c r="Q50" s="67"/>
      <c r="R50" s="67"/>
      <c r="S50" s="67"/>
      <c r="T50" s="12"/>
      <c r="U50" s="12"/>
      <c r="V50" s="66"/>
      <c r="W50" s="12"/>
      <c r="X50" s="11"/>
      <c r="Y50" s="12"/>
      <c r="Z50" s="67"/>
      <c r="AA50" s="67"/>
      <c r="AB50" s="67"/>
      <c r="AC50" s="66"/>
      <c r="AD50" s="67"/>
      <c r="AE50" s="67"/>
      <c r="AF50" s="67"/>
      <c r="AG50" s="67">
        <v>89150</v>
      </c>
      <c r="AH50" s="66">
        <f t="shared" si="2"/>
        <v>89150</v>
      </c>
      <c r="AI50" s="68">
        <f t="shared" si="14"/>
        <v>89150</v>
      </c>
    </row>
    <row r="51" spans="1:35" ht="29.25" customHeight="1" x14ac:dyDescent="0.25">
      <c r="A51" s="40">
        <f t="shared" si="16"/>
        <v>42</v>
      </c>
      <c r="B51" s="43" t="s">
        <v>141</v>
      </c>
      <c r="C51" s="59" t="s">
        <v>142</v>
      </c>
      <c r="D51" s="67"/>
      <c r="E51" s="67"/>
      <c r="F51" s="67"/>
      <c r="G51" s="67"/>
      <c r="H51" s="66">
        <f t="shared" si="0"/>
        <v>0</v>
      </c>
      <c r="I51" s="12"/>
      <c r="J51" s="12"/>
      <c r="K51" s="12"/>
      <c r="L51" s="12"/>
      <c r="M51" s="12"/>
      <c r="N51" s="12"/>
      <c r="O51" s="66"/>
      <c r="P51" s="67"/>
      <c r="Q51" s="67"/>
      <c r="R51" s="67"/>
      <c r="S51" s="67"/>
      <c r="T51" s="12"/>
      <c r="U51" s="12"/>
      <c r="V51" s="66"/>
      <c r="W51" s="12"/>
      <c r="X51" s="11"/>
      <c r="Y51" s="12"/>
      <c r="Z51" s="67"/>
      <c r="AA51" s="67"/>
      <c r="AB51" s="67"/>
      <c r="AC51" s="66"/>
      <c r="AD51" s="67"/>
      <c r="AE51" s="67"/>
      <c r="AF51" s="67"/>
      <c r="AG51" s="67"/>
      <c r="AH51" s="66">
        <f t="shared" si="2"/>
        <v>0</v>
      </c>
      <c r="AI51" s="68">
        <f t="shared" si="14"/>
        <v>0</v>
      </c>
    </row>
    <row r="52" spans="1:35" ht="29.25" customHeight="1" x14ac:dyDescent="0.25">
      <c r="A52" s="40">
        <f t="shared" si="16"/>
        <v>43</v>
      </c>
      <c r="B52" s="64" t="s">
        <v>143</v>
      </c>
      <c r="C52" s="59" t="s">
        <v>16</v>
      </c>
      <c r="D52" s="67"/>
      <c r="E52" s="67"/>
      <c r="F52" s="67"/>
      <c r="G52" s="67"/>
      <c r="H52" s="66"/>
      <c r="I52" s="12"/>
      <c r="J52" s="12"/>
      <c r="K52" s="12"/>
      <c r="L52" s="12"/>
      <c r="M52" s="12"/>
      <c r="N52" s="12"/>
      <c r="O52" s="66"/>
      <c r="P52" s="67"/>
      <c r="Q52" s="67"/>
      <c r="R52" s="67"/>
      <c r="S52" s="67"/>
      <c r="T52" s="12"/>
      <c r="U52" s="12"/>
      <c r="V52" s="66"/>
      <c r="W52" s="12"/>
      <c r="X52" s="11"/>
      <c r="Y52" s="12"/>
      <c r="Z52" s="67"/>
      <c r="AA52" s="67"/>
      <c r="AB52" s="67"/>
      <c r="AC52" s="66"/>
      <c r="AD52" s="67"/>
      <c r="AE52" s="67"/>
      <c r="AF52" s="67"/>
      <c r="AG52" s="67"/>
      <c r="AH52" s="66">
        <f t="shared" si="2"/>
        <v>0</v>
      </c>
      <c r="AI52" s="68">
        <f t="shared" si="14"/>
        <v>0</v>
      </c>
    </row>
    <row r="53" spans="1:35" ht="29.25" customHeight="1" x14ac:dyDescent="0.25">
      <c r="A53" s="40">
        <f t="shared" si="16"/>
        <v>44</v>
      </c>
      <c r="B53" s="64" t="s">
        <v>144</v>
      </c>
      <c r="C53" s="59" t="s">
        <v>145</v>
      </c>
      <c r="D53" s="67"/>
      <c r="E53" s="67"/>
      <c r="F53" s="67"/>
      <c r="G53" s="67"/>
      <c r="H53" s="66"/>
      <c r="I53" s="12"/>
      <c r="J53" s="12"/>
      <c r="K53" s="12"/>
      <c r="L53" s="12"/>
      <c r="M53" s="12"/>
      <c r="N53" s="12"/>
      <c r="O53" s="66"/>
      <c r="P53" s="67"/>
      <c r="Q53" s="67"/>
      <c r="R53" s="67"/>
      <c r="S53" s="67"/>
      <c r="T53" s="12"/>
      <c r="U53" s="12"/>
      <c r="V53" s="66"/>
      <c r="W53" s="12"/>
      <c r="X53" s="11"/>
      <c r="Y53" s="12"/>
      <c r="Z53" s="67"/>
      <c r="AA53" s="67"/>
      <c r="AB53" s="67"/>
      <c r="AC53" s="66"/>
      <c r="AD53" s="67"/>
      <c r="AE53" s="67"/>
      <c r="AF53" s="67"/>
      <c r="AG53" s="67"/>
      <c r="AH53" s="66">
        <f t="shared" si="2"/>
        <v>0</v>
      </c>
      <c r="AI53" s="68">
        <f t="shared" si="14"/>
        <v>0</v>
      </c>
    </row>
    <row r="54" spans="1:35" ht="29.25" customHeight="1" x14ac:dyDescent="0.25">
      <c r="A54" s="40">
        <f t="shared" si="16"/>
        <v>45</v>
      </c>
      <c r="B54" s="64" t="s">
        <v>146</v>
      </c>
      <c r="C54" s="59" t="s">
        <v>32</v>
      </c>
      <c r="D54" s="67"/>
      <c r="E54" s="67"/>
      <c r="F54" s="67"/>
      <c r="G54" s="67"/>
      <c r="H54" s="66"/>
      <c r="I54" s="12"/>
      <c r="J54" s="12"/>
      <c r="K54" s="12"/>
      <c r="L54" s="12"/>
      <c r="M54" s="12"/>
      <c r="N54" s="12"/>
      <c r="O54" s="66"/>
      <c r="P54" s="67"/>
      <c r="Q54" s="67"/>
      <c r="R54" s="67"/>
      <c r="S54" s="67"/>
      <c r="T54" s="12"/>
      <c r="U54" s="12"/>
      <c r="V54" s="66"/>
      <c r="W54" s="12"/>
      <c r="X54" s="11"/>
      <c r="Y54" s="12"/>
      <c r="Z54" s="67"/>
      <c r="AA54" s="67"/>
      <c r="AB54" s="67"/>
      <c r="AC54" s="66"/>
      <c r="AD54" s="67"/>
      <c r="AE54" s="67"/>
      <c r="AF54" s="67"/>
      <c r="AG54" s="67"/>
      <c r="AH54" s="66">
        <f t="shared" si="2"/>
        <v>0</v>
      </c>
      <c r="AI54" s="68">
        <f t="shared" si="14"/>
        <v>0</v>
      </c>
    </row>
    <row r="55" spans="1:35" ht="17.25" customHeight="1" x14ac:dyDescent="0.25">
      <c r="A55" s="40">
        <f t="shared" si="16"/>
        <v>46</v>
      </c>
      <c r="B55" s="58" t="s">
        <v>150</v>
      </c>
      <c r="C55" s="59" t="s">
        <v>88</v>
      </c>
      <c r="D55" s="67"/>
      <c r="E55" s="67"/>
      <c r="F55" s="67"/>
      <c r="G55" s="67"/>
      <c r="H55" s="66">
        <f t="shared" si="0"/>
        <v>0</v>
      </c>
      <c r="I55" s="12"/>
      <c r="J55" s="12"/>
      <c r="K55" s="12"/>
      <c r="L55" s="12"/>
      <c r="M55" s="12"/>
      <c r="N55" s="12"/>
      <c r="O55" s="66">
        <f t="shared" si="12"/>
        <v>0</v>
      </c>
      <c r="P55" s="67"/>
      <c r="Q55" s="67"/>
      <c r="R55" s="67"/>
      <c r="S55" s="67"/>
      <c r="T55" s="12"/>
      <c r="U55" s="12"/>
      <c r="V55" s="66">
        <f t="shared" si="13"/>
        <v>0</v>
      </c>
      <c r="W55" s="12"/>
      <c r="X55" s="11"/>
      <c r="Y55" s="12"/>
      <c r="Z55" s="67"/>
      <c r="AA55" s="67"/>
      <c r="AB55" s="67"/>
      <c r="AC55" s="66">
        <f t="shared" si="1"/>
        <v>0</v>
      </c>
      <c r="AD55" s="67"/>
      <c r="AE55" s="67"/>
      <c r="AF55" s="67"/>
      <c r="AG55" s="67"/>
      <c r="AH55" s="66">
        <f t="shared" si="2"/>
        <v>0</v>
      </c>
      <c r="AI55" s="68">
        <f t="shared" si="14"/>
        <v>0</v>
      </c>
    </row>
    <row r="56" spans="1:35" ht="17.25" customHeight="1" x14ac:dyDescent="0.25">
      <c r="A56" s="40">
        <f t="shared" si="16"/>
        <v>47</v>
      </c>
      <c r="B56" s="58" t="s">
        <v>152</v>
      </c>
      <c r="C56" s="59" t="s">
        <v>6</v>
      </c>
      <c r="D56" s="67"/>
      <c r="E56" s="67"/>
      <c r="F56" s="67"/>
      <c r="G56" s="67"/>
      <c r="H56" s="66"/>
      <c r="I56" s="12"/>
      <c r="J56" s="12"/>
      <c r="K56" s="12"/>
      <c r="L56" s="12"/>
      <c r="M56" s="12"/>
      <c r="N56" s="12"/>
      <c r="O56" s="66"/>
      <c r="P56" s="67"/>
      <c r="Q56" s="67"/>
      <c r="R56" s="67"/>
      <c r="S56" s="67"/>
      <c r="T56" s="12"/>
      <c r="U56" s="12"/>
      <c r="V56" s="66"/>
      <c r="W56" s="12"/>
      <c r="X56" s="11"/>
      <c r="Y56" s="12"/>
      <c r="Z56" s="67"/>
      <c r="AA56" s="67"/>
      <c r="AB56" s="67"/>
      <c r="AC56" s="66"/>
      <c r="AD56" s="67"/>
      <c r="AE56" s="67"/>
      <c r="AF56" s="67"/>
      <c r="AG56" s="67"/>
      <c r="AH56" s="66">
        <f t="shared" si="2"/>
        <v>0</v>
      </c>
      <c r="AI56" s="68">
        <f t="shared" si="14"/>
        <v>0</v>
      </c>
    </row>
    <row r="57" spans="1:35" ht="17.25" customHeight="1" x14ac:dyDescent="0.25">
      <c r="A57" s="40">
        <f t="shared" si="16"/>
        <v>48</v>
      </c>
      <c r="B57" s="58" t="s">
        <v>156</v>
      </c>
      <c r="C57" s="59" t="s">
        <v>16</v>
      </c>
      <c r="D57" s="67"/>
      <c r="E57" s="67"/>
      <c r="F57" s="67"/>
      <c r="G57" s="67"/>
      <c r="H57" s="66"/>
      <c r="I57" s="12"/>
      <c r="J57" s="12"/>
      <c r="K57" s="12"/>
      <c r="L57" s="12"/>
      <c r="M57" s="12"/>
      <c r="N57" s="12"/>
      <c r="O57" s="66"/>
      <c r="P57" s="67"/>
      <c r="Q57" s="67"/>
      <c r="R57" s="67"/>
      <c r="S57" s="67"/>
      <c r="T57" s="12"/>
      <c r="U57" s="12"/>
      <c r="V57" s="66"/>
      <c r="W57" s="12"/>
      <c r="X57" s="11"/>
      <c r="Y57" s="12"/>
      <c r="Z57" s="67"/>
      <c r="AA57" s="67"/>
      <c r="AB57" s="67"/>
      <c r="AC57" s="66"/>
      <c r="AD57" s="67"/>
      <c r="AE57" s="67"/>
      <c r="AF57" s="67"/>
      <c r="AG57" s="67">
        <v>119170</v>
      </c>
      <c r="AH57" s="66">
        <f>SUM(AD57:AG57)</f>
        <v>119170</v>
      </c>
      <c r="AI57" s="68">
        <f t="shared" si="14"/>
        <v>119170</v>
      </c>
    </row>
    <row r="58" spans="1:35" ht="17.25" customHeight="1" x14ac:dyDescent="0.25">
      <c r="A58" s="40">
        <f t="shared" si="16"/>
        <v>49</v>
      </c>
      <c r="B58" s="58" t="s">
        <v>160</v>
      </c>
      <c r="C58" s="59" t="s">
        <v>16</v>
      </c>
      <c r="D58" s="67"/>
      <c r="E58" s="67"/>
      <c r="F58" s="67"/>
      <c r="G58" s="67"/>
      <c r="H58" s="66"/>
      <c r="I58" s="12"/>
      <c r="J58" s="12"/>
      <c r="K58" s="12"/>
      <c r="L58" s="12"/>
      <c r="M58" s="12"/>
      <c r="N58" s="12"/>
      <c r="O58" s="66"/>
      <c r="P58" s="67"/>
      <c r="Q58" s="67"/>
      <c r="R58" s="67"/>
      <c r="S58" s="67"/>
      <c r="T58" s="12"/>
      <c r="U58" s="12"/>
      <c r="V58" s="66"/>
      <c r="W58" s="12"/>
      <c r="X58" s="11"/>
      <c r="Y58" s="12"/>
      <c r="Z58" s="67"/>
      <c r="AA58" s="67"/>
      <c r="AB58" s="67"/>
      <c r="AC58" s="66"/>
      <c r="AD58" s="67"/>
      <c r="AE58" s="67"/>
      <c r="AF58" s="67"/>
      <c r="AG58" s="67"/>
      <c r="AH58" s="66">
        <f t="shared" ref="AH58:AH61" si="17">SUM(AD58:AG58)</f>
        <v>0</v>
      </c>
      <c r="AI58" s="68">
        <f t="shared" si="14"/>
        <v>0</v>
      </c>
    </row>
    <row r="59" spans="1:35" ht="17.25" customHeight="1" x14ac:dyDescent="0.25">
      <c r="A59" s="40">
        <f t="shared" si="16"/>
        <v>50</v>
      </c>
      <c r="B59" s="58" t="s">
        <v>159</v>
      </c>
      <c r="C59" s="59" t="s">
        <v>158</v>
      </c>
      <c r="D59" s="67"/>
      <c r="E59" s="67"/>
      <c r="F59" s="67"/>
      <c r="G59" s="67"/>
      <c r="H59" s="66"/>
      <c r="I59" s="12"/>
      <c r="J59" s="12"/>
      <c r="K59" s="12"/>
      <c r="L59" s="12"/>
      <c r="M59" s="12"/>
      <c r="N59" s="12"/>
      <c r="O59" s="66"/>
      <c r="P59" s="67"/>
      <c r="Q59" s="67"/>
      <c r="R59" s="67"/>
      <c r="S59" s="67"/>
      <c r="T59" s="12"/>
      <c r="U59" s="12"/>
      <c r="V59" s="66"/>
      <c r="W59" s="12"/>
      <c r="X59" s="11"/>
      <c r="Y59" s="12"/>
      <c r="Z59" s="67"/>
      <c r="AA59" s="67"/>
      <c r="AB59" s="67"/>
      <c r="AC59" s="66"/>
      <c r="AD59" s="67"/>
      <c r="AE59" s="67"/>
      <c r="AF59" s="67"/>
      <c r="AG59" s="67"/>
      <c r="AH59" s="66">
        <f t="shared" si="17"/>
        <v>0</v>
      </c>
      <c r="AI59" s="68">
        <f t="shared" si="14"/>
        <v>0</v>
      </c>
    </row>
    <row r="60" spans="1:35" ht="17.25" customHeight="1" x14ac:dyDescent="0.25">
      <c r="A60" s="40">
        <f t="shared" si="16"/>
        <v>51</v>
      </c>
      <c r="B60" s="58" t="s">
        <v>168</v>
      </c>
      <c r="C60" s="59" t="s">
        <v>13</v>
      </c>
      <c r="D60" s="67"/>
      <c r="E60" s="67"/>
      <c r="F60" s="67"/>
      <c r="G60" s="67"/>
      <c r="H60" s="66"/>
      <c r="I60" s="12"/>
      <c r="J60" s="12"/>
      <c r="K60" s="12"/>
      <c r="L60" s="12"/>
      <c r="M60" s="12"/>
      <c r="N60" s="12"/>
      <c r="O60" s="66"/>
      <c r="P60" s="67"/>
      <c r="Q60" s="67"/>
      <c r="R60" s="67"/>
      <c r="S60" s="67"/>
      <c r="T60" s="12"/>
      <c r="U60" s="12"/>
      <c r="V60" s="66"/>
      <c r="W60" s="12"/>
      <c r="X60" s="11"/>
      <c r="Y60" s="12"/>
      <c r="Z60" s="67"/>
      <c r="AA60" s="67"/>
      <c r="AB60" s="67"/>
      <c r="AC60" s="66"/>
      <c r="AD60" s="67"/>
      <c r="AE60" s="67"/>
      <c r="AF60" s="67"/>
      <c r="AG60" s="67">
        <v>48500</v>
      </c>
      <c r="AH60" s="66">
        <f t="shared" si="17"/>
        <v>48500</v>
      </c>
      <c r="AI60" s="68">
        <f t="shared" si="14"/>
        <v>48500</v>
      </c>
    </row>
    <row r="61" spans="1:35" ht="17.25" customHeight="1" x14ac:dyDescent="0.25">
      <c r="A61" s="40">
        <f t="shared" si="16"/>
        <v>52</v>
      </c>
      <c r="B61" s="58" t="s">
        <v>162</v>
      </c>
      <c r="C61" s="59" t="s">
        <v>163</v>
      </c>
      <c r="D61" s="67"/>
      <c r="E61" s="67"/>
      <c r="F61" s="67"/>
      <c r="G61" s="67"/>
      <c r="H61" s="66">
        <f t="shared" ref="H61" si="18">SUM(D61:G61)</f>
        <v>0</v>
      </c>
      <c r="I61" s="12"/>
      <c r="J61" s="12"/>
      <c r="K61" s="12"/>
      <c r="L61" s="12"/>
      <c r="M61" s="12"/>
      <c r="N61" s="12"/>
      <c r="O61" s="66">
        <f t="shared" ref="O61" si="19">SUM(I61:N61)</f>
        <v>0</v>
      </c>
      <c r="P61" s="67"/>
      <c r="Q61" s="67"/>
      <c r="R61" s="67"/>
      <c r="S61" s="67"/>
      <c r="T61" s="12"/>
      <c r="U61" s="12"/>
      <c r="V61" s="66">
        <f t="shared" ref="V61" si="20">SUM(P61:U61)</f>
        <v>0</v>
      </c>
      <c r="W61" s="67"/>
      <c r="X61" s="12"/>
      <c r="Y61" s="11"/>
      <c r="Z61" s="67"/>
      <c r="AA61" s="67"/>
      <c r="AB61" s="67"/>
      <c r="AC61" s="66">
        <f t="shared" ref="AC61" si="21">SUM(W61:AB61)</f>
        <v>0</v>
      </c>
      <c r="AD61" s="67"/>
      <c r="AE61" s="67"/>
      <c r="AF61" s="67"/>
      <c r="AG61" s="67"/>
      <c r="AH61" s="66">
        <f t="shared" si="17"/>
        <v>0</v>
      </c>
      <c r="AI61" s="68">
        <f t="shared" si="14"/>
        <v>0</v>
      </c>
    </row>
    <row r="62" spans="1:35" ht="17.25" customHeight="1" x14ac:dyDescent="0.25">
      <c r="A62" s="40">
        <f t="shared" si="16"/>
        <v>53</v>
      </c>
      <c r="B62" s="58" t="s">
        <v>169</v>
      </c>
      <c r="C62" s="59" t="s">
        <v>32</v>
      </c>
      <c r="D62" s="67"/>
      <c r="E62" s="67"/>
      <c r="F62" s="67"/>
      <c r="G62" s="67"/>
      <c r="H62" s="66">
        <f t="shared" si="0"/>
        <v>0</v>
      </c>
      <c r="I62" s="12"/>
      <c r="J62" s="12"/>
      <c r="K62" s="12"/>
      <c r="L62" s="12"/>
      <c r="M62" s="12"/>
      <c r="N62" s="12"/>
      <c r="O62" s="66">
        <f t="shared" si="12"/>
        <v>0</v>
      </c>
      <c r="P62" s="67"/>
      <c r="Q62" s="67"/>
      <c r="R62" s="67"/>
      <c r="S62" s="67"/>
      <c r="T62" s="12"/>
      <c r="U62" s="12"/>
      <c r="V62" s="66">
        <f t="shared" si="13"/>
        <v>0</v>
      </c>
      <c r="W62" s="67"/>
      <c r="X62" s="12"/>
      <c r="Y62" s="11"/>
      <c r="Z62" s="67"/>
      <c r="AA62" s="67"/>
      <c r="AB62" s="67"/>
      <c r="AC62" s="66">
        <f t="shared" si="1"/>
        <v>0</v>
      </c>
      <c r="AD62" s="67"/>
      <c r="AE62" s="67"/>
      <c r="AF62" s="67"/>
      <c r="AG62" s="67">
        <v>13318.2</v>
      </c>
      <c r="AH62" s="66">
        <f t="shared" si="2"/>
        <v>13318.2</v>
      </c>
      <c r="AI62" s="68">
        <f t="shared" si="14"/>
        <v>13318.2</v>
      </c>
    </row>
    <row r="63" spans="1:35" ht="17.25" customHeight="1" x14ac:dyDescent="0.25">
      <c r="A63" s="40">
        <f t="shared" si="16"/>
        <v>54</v>
      </c>
      <c r="B63" s="58" t="s">
        <v>184</v>
      </c>
      <c r="C63" s="59" t="s">
        <v>32</v>
      </c>
      <c r="D63" s="67"/>
      <c r="E63" s="67"/>
      <c r="F63" s="67"/>
      <c r="G63" s="67"/>
      <c r="H63" s="66">
        <f t="shared" si="0"/>
        <v>0</v>
      </c>
      <c r="I63" s="12"/>
      <c r="J63" s="12"/>
      <c r="K63" s="12"/>
      <c r="L63" s="12"/>
      <c r="M63" s="12"/>
      <c r="N63" s="12"/>
      <c r="O63" s="66">
        <f t="shared" si="12"/>
        <v>0</v>
      </c>
      <c r="P63" s="67"/>
      <c r="Q63" s="67"/>
      <c r="R63" s="67"/>
      <c r="S63" s="67"/>
      <c r="T63" s="67"/>
      <c r="U63" s="67"/>
      <c r="V63" s="66">
        <f t="shared" si="13"/>
        <v>0</v>
      </c>
      <c r="W63" s="67"/>
      <c r="X63" s="67"/>
      <c r="Y63" s="67"/>
      <c r="Z63" s="67"/>
      <c r="AA63" s="67"/>
      <c r="AB63" s="67"/>
      <c r="AC63" s="66">
        <f t="shared" si="1"/>
        <v>0</v>
      </c>
      <c r="AD63" s="67"/>
      <c r="AE63" s="67"/>
      <c r="AF63" s="67"/>
      <c r="AG63" s="67">
        <v>21459</v>
      </c>
      <c r="AH63" s="66">
        <f t="shared" si="2"/>
        <v>21459</v>
      </c>
      <c r="AI63" s="68">
        <f t="shared" si="14"/>
        <v>21459</v>
      </c>
    </row>
    <row r="64" spans="1:35" ht="16.5" thickBot="1" x14ac:dyDescent="0.3">
      <c r="A64" s="274" t="s">
        <v>79</v>
      </c>
      <c r="B64" s="274"/>
      <c r="C64" s="274"/>
      <c r="D64" s="92"/>
      <c r="E64" s="92"/>
      <c r="F64" s="92"/>
      <c r="G64" s="92">
        <f>SUM(G24:G63)</f>
        <v>0</v>
      </c>
      <c r="H64" s="91">
        <f t="shared" si="0"/>
        <v>0</v>
      </c>
      <c r="I64" s="92">
        <f t="shared" ref="I64:N64" si="22">SUM(I24:I63)</f>
        <v>0</v>
      </c>
      <c r="J64" s="92">
        <f t="shared" si="22"/>
        <v>0</v>
      </c>
      <c r="K64" s="92">
        <f t="shared" si="22"/>
        <v>0</v>
      </c>
      <c r="L64" s="92">
        <f t="shared" si="22"/>
        <v>0</v>
      </c>
      <c r="M64" s="92">
        <f t="shared" si="22"/>
        <v>0</v>
      </c>
      <c r="N64" s="92">
        <f t="shared" si="22"/>
        <v>0</v>
      </c>
      <c r="O64" s="91">
        <f>SUM(I64:N64)</f>
        <v>0</v>
      </c>
      <c r="P64" s="92">
        <f t="shared" ref="P64:U64" si="23">SUM(P24:P63)</f>
        <v>0</v>
      </c>
      <c r="Q64" s="92">
        <f t="shared" si="23"/>
        <v>0</v>
      </c>
      <c r="R64" s="92">
        <f t="shared" si="23"/>
        <v>0</v>
      </c>
      <c r="S64" s="92">
        <f t="shared" si="23"/>
        <v>0</v>
      </c>
      <c r="T64" s="92">
        <f t="shared" si="23"/>
        <v>0</v>
      </c>
      <c r="U64" s="92">
        <f t="shared" si="23"/>
        <v>0</v>
      </c>
      <c r="V64" s="91">
        <f>SUM(P64:U64)</f>
        <v>0</v>
      </c>
      <c r="W64" s="92">
        <f t="shared" ref="W64:AB64" si="24">SUM(W24:W63)</f>
        <v>0</v>
      </c>
      <c r="X64" s="92">
        <f t="shared" si="24"/>
        <v>0</v>
      </c>
      <c r="Y64" s="92">
        <f t="shared" si="24"/>
        <v>0</v>
      </c>
      <c r="Z64" s="92">
        <f t="shared" si="24"/>
        <v>0</v>
      </c>
      <c r="AA64" s="92">
        <f t="shared" si="24"/>
        <v>0</v>
      </c>
      <c r="AB64" s="92">
        <f t="shared" si="24"/>
        <v>0</v>
      </c>
      <c r="AC64" s="91">
        <f t="shared" si="1"/>
        <v>0</v>
      </c>
      <c r="AD64" s="92">
        <f>SUM(AD24:AD63)</f>
        <v>0</v>
      </c>
      <c r="AE64" s="92">
        <f t="shared" ref="AE64:AF64" si="25">SUM(AE24:AE63)</f>
        <v>0</v>
      </c>
      <c r="AF64" s="92">
        <f t="shared" si="25"/>
        <v>0</v>
      </c>
      <c r="AG64" s="92">
        <f>SUM(AG24:AG63)</f>
        <v>1168809.7</v>
      </c>
      <c r="AH64" s="66">
        <f>SUM(AD64:AG64)</f>
        <v>1168809.7</v>
      </c>
      <c r="AI64" s="70">
        <f>SUM(AI24:AI63)</f>
        <v>1168809.7</v>
      </c>
    </row>
    <row r="65" spans="1:37" ht="29.25" customHeight="1" thickTop="1" x14ac:dyDescent="0.25">
      <c r="A65" s="269" t="s">
        <v>78</v>
      </c>
      <c r="B65" s="269"/>
      <c r="C65" s="269"/>
      <c r="D65" s="71">
        <f>+D23+D64</f>
        <v>0</v>
      </c>
      <c r="E65" s="71">
        <f>+E23+E64</f>
        <v>0</v>
      </c>
      <c r="F65" s="71">
        <f>+F23+F64</f>
        <v>0</v>
      </c>
      <c r="G65" s="71">
        <f>+G23+G64</f>
        <v>0</v>
      </c>
      <c r="H65" s="66">
        <f t="shared" si="0"/>
        <v>0</v>
      </c>
      <c r="I65" s="71">
        <f t="shared" ref="I65:N65" si="26">+I23+I64</f>
        <v>0</v>
      </c>
      <c r="J65" s="71">
        <f t="shared" si="26"/>
        <v>0</v>
      </c>
      <c r="K65" s="71">
        <f t="shared" si="26"/>
        <v>0</v>
      </c>
      <c r="L65" s="71">
        <f t="shared" si="26"/>
        <v>0</v>
      </c>
      <c r="M65" s="71">
        <f t="shared" si="26"/>
        <v>0</v>
      </c>
      <c r="N65" s="71">
        <f t="shared" si="26"/>
        <v>0</v>
      </c>
      <c r="O65" s="66">
        <f t="shared" si="4"/>
        <v>0</v>
      </c>
      <c r="P65" s="71">
        <f t="shared" ref="P65:U65" si="27">+P23+P64</f>
        <v>0</v>
      </c>
      <c r="Q65" s="71">
        <f t="shared" si="27"/>
        <v>0</v>
      </c>
      <c r="R65" s="71">
        <f t="shared" si="27"/>
        <v>0</v>
      </c>
      <c r="S65" s="71">
        <f t="shared" si="27"/>
        <v>0</v>
      </c>
      <c r="T65" s="71">
        <f t="shared" si="27"/>
        <v>0</v>
      </c>
      <c r="U65" s="71">
        <f t="shared" si="27"/>
        <v>0</v>
      </c>
      <c r="V65" s="66">
        <f>SUM(P65:U65)</f>
        <v>0</v>
      </c>
      <c r="W65" s="71">
        <f t="shared" ref="W65:AB65" si="28">+W23+W64</f>
        <v>0</v>
      </c>
      <c r="X65" s="71">
        <f t="shared" si="28"/>
        <v>0</v>
      </c>
      <c r="Y65" s="71">
        <f t="shared" si="28"/>
        <v>0</v>
      </c>
      <c r="Z65" s="71">
        <f t="shared" si="28"/>
        <v>0</v>
      </c>
      <c r="AA65" s="71">
        <f t="shared" si="28"/>
        <v>0</v>
      </c>
      <c r="AB65" s="71">
        <f t="shared" si="28"/>
        <v>0</v>
      </c>
      <c r="AC65" s="66">
        <f t="shared" si="1"/>
        <v>0</v>
      </c>
      <c r="AD65" s="71">
        <f>+AD23+AD64</f>
        <v>0</v>
      </c>
      <c r="AE65" s="71"/>
      <c r="AF65" s="71"/>
      <c r="AG65" s="71"/>
      <c r="AH65" s="66">
        <f>SUM(AD65:AG65)</f>
        <v>0</v>
      </c>
      <c r="AI65" s="71">
        <f>SUM(AI64,AI23)</f>
        <v>1168809.7</v>
      </c>
    </row>
    <row r="66" spans="1:37" x14ac:dyDescent="0.25">
      <c r="A66" s="37"/>
      <c r="B66" s="33"/>
      <c r="C66" s="33"/>
      <c r="AK66" s="49"/>
    </row>
    <row r="67" spans="1:37" x14ac:dyDescent="0.25">
      <c r="A67" s="37"/>
      <c r="B67" s="34"/>
      <c r="C67" s="34"/>
      <c r="AI67" s="49"/>
    </row>
    <row r="68" spans="1:37" x14ac:dyDescent="0.25">
      <c r="A68" s="37"/>
      <c r="B68" s="34"/>
      <c r="C68" s="34"/>
      <c r="M68" s="49"/>
      <c r="N68" s="100"/>
    </row>
    <row r="69" spans="1:37" x14ac:dyDescent="0.25">
      <c r="M69" s="49"/>
      <c r="N69" s="100"/>
      <c r="AI69" s="49"/>
      <c r="AK69" s="49"/>
    </row>
    <row r="70" spans="1:37" x14ac:dyDescent="0.25">
      <c r="M70" s="49"/>
      <c r="N70" s="101"/>
    </row>
    <row r="71" spans="1:37" x14ac:dyDescent="0.25">
      <c r="M71" s="49"/>
      <c r="N71" s="101"/>
    </row>
    <row r="72" spans="1:37" x14ac:dyDescent="0.25">
      <c r="M72" s="49"/>
      <c r="N72" s="101"/>
    </row>
  </sheetData>
  <mergeCells count="7">
    <mergeCell ref="A65:C65"/>
    <mergeCell ref="A6:A7"/>
    <mergeCell ref="B6:B7"/>
    <mergeCell ref="C6:C7"/>
    <mergeCell ref="AI6:AI7"/>
    <mergeCell ref="A23:C23"/>
    <mergeCell ref="A64:C64"/>
  </mergeCells>
  <pageMargins left="0.7" right="0.7" top="0.75" bottom="0.75" header="0.3" footer="0.3"/>
  <pageSetup paperSize="9" scale="24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D9B9-967C-446B-A2BE-2C578E23661C}">
  <sheetPr codeName="Hoja18">
    <pageSetUpPr fitToPage="1"/>
  </sheetPr>
  <dimension ref="A1:AK75"/>
  <sheetViews>
    <sheetView topLeftCell="A4" zoomScale="90" zoomScaleNormal="90" workbookViewId="0">
      <pane xSplit="3" ySplit="4" topLeftCell="D51" activePane="bottomRight" state="frozen"/>
      <selection activeCell="D51" sqref="D51"/>
      <selection pane="topRight" activeCell="D51" sqref="D51"/>
      <selection pane="bottomLeft" activeCell="D51" sqref="D51"/>
      <selection pane="bottomRight" activeCell="AG62" sqref="AG62"/>
    </sheetView>
  </sheetViews>
  <sheetFormatPr baseColWidth="10" defaultColWidth="11.42578125" defaultRowHeight="15.75" x14ac:dyDescent="0.25"/>
  <cols>
    <col min="1" max="1" width="3.5703125" style="2" customWidth="1"/>
    <col min="2" max="2" width="24.42578125" style="1" customWidth="1"/>
    <col min="3" max="3" width="13.140625" style="1" customWidth="1"/>
    <col min="4" max="29" width="15.140625" style="1" hidden="1" customWidth="1"/>
    <col min="30" max="32" width="15.28515625" style="1" hidden="1" customWidth="1"/>
    <col min="33" max="33" width="15.28515625" style="1" customWidth="1"/>
    <col min="34" max="34" width="15.140625" style="1" customWidth="1"/>
    <col min="35" max="35" width="18.140625" style="1" customWidth="1"/>
    <col min="36" max="36" width="11.42578125" style="1"/>
    <col min="37" max="37" width="12.42578125" style="1" bestFit="1" customWidth="1"/>
    <col min="38" max="16384" width="11.42578125" style="1"/>
  </cols>
  <sheetData>
    <row r="1" spans="1:35" ht="15" customHeight="1" x14ac:dyDescent="0.25">
      <c r="B1" s="30"/>
      <c r="C1" s="31"/>
    </row>
    <row r="2" spans="1:35" ht="15" customHeight="1" x14ac:dyDescent="0.25">
      <c r="B2" s="30"/>
      <c r="C2" s="31"/>
    </row>
    <row r="3" spans="1:35" ht="18" x14ac:dyDescent="0.25">
      <c r="A3" s="90" t="s">
        <v>68</v>
      </c>
      <c r="B3" s="90"/>
      <c r="C3" s="90"/>
    </row>
    <row r="4" spans="1:35" ht="18" x14ac:dyDescent="0.25">
      <c r="A4" s="90" t="s">
        <v>50</v>
      </c>
      <c r="B4" s="90"/>
      <c r="C4" s="90"/>
    </row>
    <row r="5" spans="1:35" ht="20.25" customHeight="1" x14ac:dyDescent="0.25">
      <c r="A5" s="111" t="s">
        <v>193</v>
      </c>
      <c r="B5" s="31"/>
      <c r="C5" s="31"/>
    </row>
    <row r="6" spans="1:35" ht="20.25" customHeight="1" x14ac:dyDescent="0.25">
      <c r="A6" s="270" t="s">
        <v>64</v>
      </c>
      <c r="B6" s="270" t="s">
        <v>1</v>
      </c>
      <c r="C6" s="270" t="s">
        <v>2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9"/>
      <c r="AD6" s="88"/>
      <c r="AE6" s="88"/>
      <c r="AF6" s="88"/>
      <c r="AG6" s="88"/>
      <c r="AH6" s="89"/>
      <c r="AI6" s="270" t="s">
        <v>80</v>
      </c>
    </row>
    <row r="7" spans="1:35" s="32" customFormat="1" ht="17.25" customHeight="1" x14ac:dyDescent="0.25">
      <c r="A7" s="270"/>
      <c r="B7" s="270"/>
      <c r="C7" s="270"/>
      <c r="D7" s="62">
        <v>1</v>
      </c>
      <c r="E7" s="62">
        <v>2</v>
      </c>
      <c r="F7" s="62">
        <v>3</v>
      </c>
      <c r="G7" s="62">
        <v>4</v>
      </c>
      <c r="H7" s="99" t="s">
        <v>81</v>
      </c>
      <c r="I7" s="62">
        <v>6</v>
      </c>
      <c r="J7" s="62">
        <v>7</v>
      </c>
      <c r="K7" s="62">
        <v>8</v>
      </c>
      <c r="L7" s="62">
        <v>9</v>
      </c>
      <c r="M7" s="62">
        <v>10</v>
      </c>
      <c r="N7" s="62">
        <v>11</v>
      </c>
      <c r="O7" s="99" t="s">
        <v>82</v>
      </c>
      <c r="P7" s="62">
        <v>13</v>
      </c>
      <c r="Q7" s="62">
        <v>14</v>
      </c>
      <c r="R7" s="62">
        <v>15</v>
      </c>
      <c r="S7" s="62">
        <v>16</v>
      </c>
      <c r="T7" s="62">
        <v>17</v>
      </c>
      <c r="U7" s="62">
        <v>18</v>
      </c>
      <c r="V7" s="99" t="s">
        <v>83</v>
      </c>
      <c r="W7" s="62">
        <v>20</v>
      </c>
      <c r="X7" s="62">
        <v>21</v>
      </c>
      <c r="Y7" s="62">
        <v>22</v>
      </c>
      <c r="Z7" s="62">
        <v>23</v>
      </c>
      <c r="AA7" s="62">
        <v>24</v>
      </c>
      <c r="AB7" s="62">
        <v>25</v>
      </c>
      <c r="AC7" s="99" t="s">
        <v>84</v>
      </c>
      <c r="AD7" s="62">
        <v>27</v>
      </c>
      <c r="AE7" s="62">
        <v>28</v>
      </c>
      <c r="AF7" s="62">
        <v>29</v>
      </c>
      <c r="AG7" s="62">
        <v>28</v>
      </c>
      <c r="AH7" s="99" t="s">
        <v>84</v>
      </c>
      <c r="AI7" s="270"/>
    </row>
    <row r="8" spans="1:35" s="32" customFormat="1" ht="16.5" customHeight="1" x14ac:dyDescent="0.25">
      <c r="A8" s="56">
        <v>1</v>
      </c>
      <c r="B8" s="57" t="s">
        <v>25</v>
      </c>
      <c r="C8" s="54" t="s">
        <v>13</v>
      </c>
      <c r="D8" s="63"/>
      <c r="E8" s="63"/>
      <c r="F8" s="63"/>
      <c r="G8" s="63"/>
      <c r="H8" s="66">
        <f t="shared" ref="H8:H68" si="0">SUM(D8:G8)</f>
        <v>0</v>
      </c>
      <c r="I8" s="63"/>
      <c r="J8" s="63"/>
      <c r="K8" s="63"/>
      <c r="L8" s="63"/>
      <c r="M8" s="63"/>
      <c r="N8" s="63"/>
      <c r="O8" s="66">
        <f>SUM(I8:N8)</f>
        <v>0</v>
      </c>
      <c r="P8" s="63"/>
      <c r="Q8" s="63"/>
      <c r="R8" s="63"/>
      <c r="S8" s="63"/>
      <c r="T8" s="63"/>
      <c r="U8" s="63"/>
      <c r="V8" s="66">
        <f>SUM(P8:U8)</f>
        <v>0</v>
      </c>
      <c r="W8" s="63"/>
      <c r="X8" s="63"/>
      <c r="Y8" s="63"/>
      <c r="Z8" s="63"/>
      <c r="AA8" s="63"/>
      <c r="AB8" s="63"/>
      <c r="AC8" s="66">
        <f t="shared" ref="AC8:AC68" si="1">SUM(W8:AB8)</f>
        <v>0</v>
      </c>
      <c r="AD8" s="63"/>
      <c r="AE8" s="63"/>
      <c r="AF8" s="63"/>
      <c r="AG8" s="63"/>
      <c r="AH8" s="66">
        <f t="shared" ref="AH8:AH66" si="2">SUM(AD8:AG8)</f>
        <v>0</v>
      </c>
      <c r="AI8" s="68">
        <f t="shared" ref="AI8:AI21" si="3">+H8+O8+V8+AH8</f>
        <v>0</v>
      </c>
    </row>
    <row r="9" spans="1:35" ht="16.5" customHeight="1" x14ac:dyDescent="0.25">
      <c r="A9" s="56">
        <f>1+A8</f>
        <v>2</v>
      </c>
      <c r="B9" s="57" t="s">
        <v>11</v>
      </c>
      <c r="C9" s="54" t="s">
        <v>6</v>
      </c>
      <c r="D9" s="64"/>
      <c r="E9" s="64"/>
      <c r="F9" s="64"/>
      <c r="G9" s="64"/>
      <c r="H9" s="66">
        <f t="shared" si="0"/>
        <v>0</v>
      </c>
      <c r="I9" s="64"/>
      <c r="J9" s="64"/>
      <c r="K9" s="64"/>
      <c r="L9" s="64"/>
      <c r="M9" s="64"/>
      <c r="N9" s="64"/>
      <c r="O9" s="66">
        <f t="shared" ref="O9:O68" si="4">SUM(I9:N9)</f>
        <v>0</v>
      </c>
      <c r="P9" s="64"/>
      <c r="Q9" s="64"/>
      <c r="R9" s="64"/>
      <c r="S9" s="64"/>
      <c r="T9" s="64"/>
      <c r="U9" s="64"/>
      <c r="V9" s="66">
        <f>SUM(P9:U9)</f>
        <v>0</v>
      </c>
      <c r="W9" s="64"/>
      <c r="X9" s="64"/>
      <c r="Y9" s="64"/>
      <c r="Z9" s="64"/>
      <c r="AA9" s="64"/>
      <c r="AB9" s="64"/>
      <c r="AC9" s="66">
        <f t="shared" si="1"/>
        <v>0</v>
      </c>
      <c r="AD9" s="64"/>
      <c r="AE9" s="64"/>
      <c r="AF9" s="64"/>
      <c r="AG9" s="64"/>
      <c r="AH9" s="66">
        <f t="shared" si="2"/>
        <v>0</v>
      </c>
      <c r="AI9" s="68">
        <f t="shared" si="3"/>
        <v>0</v>
      </c>
    </row>
    <row r="10" spans="1:35" ht="16.5" customHeight="1" x14ac:dyDescent="0.25">
      <c r="A10" s="56">
        <f t="shared" ref="A10:A21" si="5">1+A9</f>
        <v>3</v>
      </c>
      <c r="B10" s="57" t="s">
        <v>70</v>
      </c>
      <c r="C10" s="54" t="s">
        <v>13</v>
      </c>
      <c r="D10" s="67"/>
      <c r="E10" s="67"/>
      <c r="F10" s="67"/>
      <c r="G10" s="67"/>
      <c r="H10" s="66">
        <f t="shared" si="0"/>
        <v>0</v>
      </c>
      <c r="I10" s="67"/>
      <c r="J10" s="67"/>
      <c r="K10" s="67"/>
      <c r="L10" s="67"/>
      <c r="M10" s="67"/>
      <c r="N10" s="67"/>
      <c r="O10" s="66">
        <f t="shared" si="4"/>
        <v>0</v>
      </c>
      <c r="P10" s="67"/>
      <c r="Q10" s="67"/>
      <c r="R10" s="67"/>
      <c r="S10" s="67"/>
      <c r="T10" s="67"/>
      <c r="U10" s="67"/>
      <c r="V10" s="66">
        <f t="shared" ref="V10:V23" si="6">SUM(P10:U10)</f>
        <v>0</v>
      </c>
      <c r="W10" s="67"/>
      <c r="X10" s="67"/>
      <c r="Y10" s="67"/>
      <c r="Z10" s="67"/>
      <c r="AA10" s="67"/>
      <c r="AB10" s="67"/>
      <c r="AC10" s="66">
        <f t="shared" si="1"/>
        <v>0</v>
      </c>
      <c r="AD10" s="67"/>
      <c r="AE10" s="67"/>
      <c r="AF10" s="67"/>
      <c r="AG10" s="67"/>
      <c r="AH10" s="66">
        <f t="shared" si="2"/>
        <v>0</v>
      </c>
      <c r="AI10" s="68">
        <f t="shared" si="3"/>
        <v>0</v>
      </c>
    </row>
    <row r="11" spans="1:35" ht="16.5" customHeight="1" x14ac:dyDescent="0.25">
      <c r="A11" s="56">
        <f t="shared" si="5"/>
        <v>4</v>
      </c>
      <c r="B11" s="57" t="s">
        <v>23</v>
      </c>
      <c r="C11" s="54" t="s">
        <v>9</v>
      </c>
      <c r="D11" s="67"/>
      <c r="E11" s="67"/>
      <c r="F11" s="67"/>
      <c r="G11" s="67"/>
      <c r="H11" s="66">
        <f t="shared" si="0"/>
        <v>0</v>
      </c>
      <c r="I11" s="67"/>
      <c r="J11" s="67"/>
      <c r="K11" s="67"/>
      <c r="L11" s="67"/>
      <c r="M11" s="67"/>
      <c r="N11" s="67"/>
      <c r="O11" s="66">
        <f t="shared" si="4"/>
        <v>0</v>
      </c>
      <c r="P11" s="67"/>
      <c r="Q11" s="67"/>
      <c r="R11" s="67"/>
      <c r="S11" s="67"/>
      <c r="T11" s="67"/>
      <c r="U11" s="67"/>
      <c r="V11" s="66">
        <f t="shared" si="6"/>
        <v>0</v>
      </c>
      <c r="W11" s="67"/>
      <c r="X11" s="67"/>
      <c r="Y11" s="67"/>
      <c r="Z11" s="67"/>
      <c r="AA11" s="67"/>
      <c r="AB11" s="67"/>
      <c r="AC11" s="66">
        <f t="shared" si="1"/>
        <v>0</v>
      </c>
      <c r="AD11" s="67"/>
      <c r="AE11" s="67"/>
      <c r="AF11" s="67"/>
      <c r="AG11" s="67"/>
      <c r="AH11" s="66">
        <f t="shared" si="2"/>
        <v>0</v>
      </c>
      <c r="AI11" s="68">
        <f t="shared" si="3"/>
        <v>0</v>
      </c>
    </row>
    <row r="12" spans="1:35" ht="16.5" customHeight="1" x14ac:dyDescent="0.25">
      <c r="A12" s="56">
        <f t="shared" si="5"/>
        <v>5</v>
      </c>
      <c r="B12" s="57" t="s">
        <v>24</v>
      </c>
      <c r="C12" s="54" t="s">
        <v>9</v>
      </c>
      <c r="D12" s="67"/>
      <c r="E12" s="67"/>
      <c r="F12" s="67"/>
      <c r="G12" s="67"/>
      <c r="H12" s="66">
        <f t="shared" si="0"/>
        <v>0</v>
      </c>
      <c r="I12" s="67"/>
      <c r="J12" s="67"/>
      <c r="K12" s="67"/>
      <c r="L12" s="67"/>
      <c r="M12" s="67"/>
      <c r="N12" s="67"/>
      <c r="O12" s="66">
        <f t="shared" si="4"/>
        <v>0</v>
      </c>
      <c r="P12" s="67"/>
      <c r="Q12" s="67"/>
      <c r="R12" s="67"/>
      <c r="S12" s="67"/>
      <c r="T12" s="67"/>
      <c r="U12" s="67"/>
      <c r="V12" s="66">
        <f t="shared" si="6"/>
        <v>0</v>
      </c>
      <c r="W12" s="67"/>
      <c r="X12" s="67"/>
      <c r="Y12" s="67"/>
      <c r="Z12" s="67"/>
      <c r="AA12" s="67"/>
      <c r="AB12" s="67"/>
      <c r="AC12" s="66">
        <f t="shared" si="1"/>
        <v>0</v>
      </c>
      <c r="AD12" s="67"/>
      <c r="AE12" s="67"/>
      <c r="AF12" s="67"/>
      <c r="AG12" s="67"/>
      <c r="AH12" s="66">
        <f t="shared" si="2"/>
        <v>0</v>
      </c>
      <c r="AI12" s="68">
        <f t="shared" si="3"/>
        <v>0</v>
      </c>
    </row>
    <row r="13" spans="1:35" ht="16.5" customHeight="1" x14ac:dyDescent="0.25">
      <c r="A13" s="56">
        <f t="shared" si="5"/>
        <v>6</v>
      </c>
      <c r="B13" s="57" t="s">
        <v>12</v>
      </c>
      <c r="C13" s="54" t="s">
        <v>13</v>
      </c>
      <c r="D13" s="67"/>
      <c r="E13" s="67"/>
      <c r="F13" s="67"/>
      <c r="G13" s="67"/>
      <c r="H13" s="66">
        <f t="shared" si="0"/>
        <v>0</v>
      </c>
      <c r="I13" s="67"/>
      <c r="J13" s="67"/>
      <c r="K13" s="67"/>
      <c r="L13" s="67"/>
      <c r="M13" s="67"/>
      <c r="N13" s="67"/>
      <c r="O13" s="66">
        <f t="shared" si="4"/>
        <v>0</v>
      </c>
      <c r="P13" s="67"/>
      <c r="Q13" s="67"/>
      <c r="R13" s="67"/>
      <c r="S13" s="67"/>
      <c r="T13" s="67"/>
      <c r="U13" s="67"/>
      <c r="V13" s="66">
        <f t="shared" si="6"/>
        <v>0</v>
      </c>
      <c r="W13" s="67"/>
      <c r="X13" s="67"/>
      <c r="Y13" s="67"/>
      <c r="Z13" s="67"/>
      <c r="AA13" s="67"/>
      <c r="AB13" s="67"/>
      <c r="AC13" s="66">
        <f t="shared" si="1"/>
        <v>0</v>
      </c>
      <c r="AD13" s="67"/>
      <c r="AE13" s="67"/>
      <c r="AF13" s="67"/>
      <c r="AG13" s="67"/>
      <c r="AH13" s="66">
        <f t="shared" si="2"/>
        <v>0</v>
      </c>
      <c r="AI13" s="68">
        <f t="shared" si="3"/>
        <v>0</v>
      </c>
    </row>
    <row r="14" spans="1:35" ht="16.5" customHeight="1" x14ac:dyDescent="0.25">
      <c r="A14" s="56">
        <f t="shared" si="5"/>
        <v>7</v>
      </c>
      <c r="B14" s="55" t="s">
        <v>5</v>
      </c>
      <c r="C14" s="54" t="s">
        <v>6</v>
      </c>
      <c r="D14" s="67"/>
      <c r="E14" s="67"/>
      <c r="F14" s="67"/>
      <c r="G14" s="67"/>
      <c r="H14" s="66">
        <f t="shared" si="0"/>
        <v>0</v>
      </c>
      <c r="I14" s="67"/>
      <c r="J14" s="67"/>
      <c r="K14" s="67"/>
      <c r="L14" s="67"/>
      <c r="M14" s="67"/>
      <c r="N14" s="67"/>
      <c r="O14" s="66">
        <f t="shared" si="4"/>
        <v>0</v>
      </c>
      <c r="P14" s="67"/>
      <c r="Q14" s="67"/>
      <c r="R14" s="67"/>
      <c r="S14" s="67"/>
      <c r="T14" s="67"/>
      <c r="U14" s="67"/>
      <c r="V14" s="66">
        <f t="shared" si="6"/>
        <v>0</v>
      </c>
      <c r="W14" s="67"/>
      <c r="X14" s="67"/>
      <c r="Y14" s="67"/>
      <c r="Z14" s="67"/>
      <c r="AA14" s="67"/>
      <c r="AB14" s="67"/>
      <c r="AC14" s="66">
        <f t="shared" si="1"/>
        <v>0</v>
      </c>
      <c r="AD14" s="67"/>
      <c r="AE14" s="67"/>
      <c r="AF14" s="67"/>
      <c r="AG14" s="67"/>
      <c r="AH14" s="66">
        <f t="shared" si="2"/>
        <v>0</v>
      </c>
      <c r="AI14" s="68">
        <f t="shared" si="3"/>
        <v>0</v>
      </c>
    </row>
    <row r="15" spans="1:35" ht="16.5" customHeight="1" x14ac:dyDescent="0.25">
      <c r="A15" s="56">
        <f t="shared" si="5"/>
        <v>8</v>
      </c>
      <c r="B15" s="57" t="s">
        <v>21</v>
      </c>
      <c r="C15" s="54" t="s">
        <v>16</v>
      </c>
      <c r="D15" s="67"/>
      <c r="E15" s="67"/>
      <c r="F15" s="67"/>
      <c r="G15" s="67"/>
      <c r="H15" s="66">
        <f t="shared" si="0"/>
        <v>0</v>
      </c>
      <c r="I15" s="67"/>
      <c r="J15" s="67"/>
      <c r="K15" s="67"/>
      <c r="L15" s="67"/>
      <c r="M15" s="67"/>
      <c r="N15" s="67"/>
      <c r="O15" s="66">
        <f t="shared" si="4"/>
        <v>0</v>
      </c>
      <c r="P15" s="67"/>
      <c r="Q15" s="67"/>
      <c r="R15" s="67"/>
      <c r="S15" s="67"/>
      <c r="T15" s="67"/>
      <c r="U15" s="67"/>
      <c r="V15" s="66">
        <f t="shared" si="6"/>
        <v>0</v>
      </c>
      <c r="W15" s="67"/>
      <c r="X15" s="67"/>
      <c r="Y15" s="67"/>
      <c r="Z15" s="67"/>
      <c r="AA15" s="67"/>
      <c r="AB15" s="67"/>
      <c r="AC15" s="66">
        <f t="shared" si="1"/>
        <v>0</v>
      </c>
      <c r="AD15" s="67"/>
      <c r="AE15" s="67"/>
      <c r="AF15" s="67"/>
      <c r="AG15" s="67"/>
      <c r="AH15" s="66">
        <f t="shared" si="2"/>
        <v>0</v>
      </c>
      <c r="AI15" s="68">
        <f t="shared" si="3"/>
        <v>0</v>
      </c>
    </row>
    <row r="16" spans="1:35" ht="16.5" customHeight="1" x14ac:dyDescent="0.25">
      <c r="A16" s="56">
        <f t="shared" si="5"/>
        <v>9</v>
      </c>
      <c r="B16" s="57" t="s">
        <v>15</v>
      </c>
      <c r="C16" s="54" t="s">
        <v>16</v>
      </c>
      <c r="D16" s="67"/>
      <c r="E16" s="67"/>
      <c r="F16" s="67"/>
      <c r="G16" s="67"/>
      <c r="H16" s="66">
        <f t="shared" si="0"/>
        <v>0</v>
      </c>
      <c r="I16" s="67"/>
      <c r="J16" s="67"/>
      <c r="K16" s="67"/>
      <c r="L16" s="67"/>
      <c r="M16" s="67"/>
      <c r="N16" s="67"/>
      <c r="O16" s="66">
        <f t="shared" si="4"/>
        <v>0</v>
      </c>
      <c r="P16" s="67"/>
      <c r="Q16" s="67"/>
      <c r="R16" s="67"/>
      <c r="S16" s="67"/>
      <c r="T16" s="67"/>
      <c r="U16" s="67"/>
      <c r="V16" s="66">
        <f t="shared" si="6"/>
        <v>0</v>
      </c>
      <c r="W16" s="67"/>
      <c r="X16" s="67"/>
      <c r="Y16" s="67"/>
      <c r="Z16" s="67"/>
      <c r="AA16" s="67"/>
      <c r="AB16" s="67"/>
      <c r="AC16" s="66">
        <f t="shared" si="1"/>
        <v>0</v>
      </c>
      <c r="AD16" s="67"/>
      <c r="AE16" s="67"/>
      <c r="AF16" s="67"/>
      <c r="AG16" s="67"/>
      <c r="AH16" s="66">
        <f t="shared" si="2"/>
        <v>0</v>
      </c>
      <c r="AI16" s="68">
        <f t="shared" si="3"/>
        <v>0</v>
      </c>
    </row>
    <row r="17" spans="1:35" ht="16.5" customHeight="1" x14ac:dyDescent="0.25">
      <c r="A17" s="56">
        <f t="shared" si="5"/>
        <v>10</v>
      </c>
      <c r="B17" s="57" t="s">
        <v>27</v>
      </c>
      <c r="C17" s="54" t="s">
        <v>26</v>
      </c>
      <c r="D17" s="67"/>
      <c r="E17" s="67"/>
      <c r="F17" s="67"/>
      <c r="G17" s="67"/>
      <c r="H17" s="66">
        <f t="shared" si="0"/>
        <v>0</v>
      </c>
      <c r="I17" s="67"/>
      <c r="J17" s="67"/>
      <c r="K17" s="67"/>
      <c r="L17" s="67"/>
      <c r="M17" s="67"/>
      <c r="N17" s="67"/>
      <c r="O17" s="66">
        <f t="shared" si="4"/>
        <v>0</v>
      </c>
      <c r="P17" s="67"/>
      <c r="Q17" s="67"/>
      <c r="R17" s="67"/>
      <c r="S17" s="67"/>
      <c r="T17" s="67"/>
      <c r="U17" s="67"/>
      <c r="V17" s="66">
        <f t="shared" si="6"/>
        <v>0</v>
      </c>
      <c r="W17" s="67"/>
      <c r="X17" s="67"/>
      <c r="Y17" s="67"/>
      <c r="Z17" s="67"/>
      <c r="AA17" s="67"/>
      <c r="AB17" s="67"/>
      <c r="AC17" s="66">
        <f t="shared" si="1"/>
        <v>0</v>
      </c>
      <c r="AD17" s="67"/>
      <c r="AE17" s="67"/>
      <c r="AF17" s="67"/>
      <c r="AG17" s="67"/>
      <c r="AH17" s="66">
        <f t="shared" si="2"/>
        <v>0</v>
      </c>
      <c r="AI17" s="68">
        <f t="shared" si="3"/>
        <v>0</v>
      </c>
    </row>
    <row r="18" spans="1:35" ht="16.5" customHeight="1" x14ac:dyDescent="0.25">
      <c r="A18" s="56">
        <f t="shared" si="5"/>
        <v>11</v>
      </c>
      <c r="B18" s="57" t="s">
        <v>8</v>
      </c>
      <c r="C18" s="54" t="s">
        <v>9</v>
      </c>
      <c r="D18" s="67"/>
      <c r="E18" s="67"/>
      <c r="F18" s="67"/>
      <c r="G18" s="67"/>
      <c r="H18" s="66">
        <f t="shared" si="0"/>
        <v>0</v>
      </c>
      <c r="I18" s="67"/>
      <c r="J18" s="67"/>
      <c r="K18" s="67"/>
      <c r="L18" s="67"/>
      <c r="M18" s="67"/>
      <c r="N18" s="67"/>
      <c r="O18" s="66">
        <f t="shared" si="4"/>
        <v>0</v>
      </c>
      <c r="P18" s="67"/>
      <c r="Q18" s="67"/>
      <c r="R18" s="67"/>
      <c r="S18" s="67"/>
      <c r="T18" s="67"/>
      <c r="U18" s="67"/>
      <c r="V18" s="66">
        <f t="shared" si="6"/>
        <v>0</v>
      </c>
      <c r="W18" s="67"/>
      <c r="X18" s="67"/>
      <c r="Y18" s="67"/>
      <c r="Z18" s="67"/>
      <c r="AA18" s="67"/>
      <c r="AB18" s="67"/>
      <c r="AC18" s="66">
        <f t="shared" si="1"/>
        <v>0</v>
      </c>
      <c r="AD18" s="67"/>
      <c r="AE18" s="67"/>
      <c r="AF18" s="67"/>
      <c r="AG18" s="67"/>
      <c r="AH18" s="66">
        <f t="shared" si="2"/>
        <v>0</v>
      </c>
      <c r="AI18" s="68">
        <f t="shared" si="3"/>
        <v>0</v>
      </c>
    </row>
    <row r="19" spans="1:35" ht="16.5" customHeight="1" x14ac:dyDescent="0.25">
      <c r="A19" s="56">
        <f t="shared" si="5"/>
        <v>12</v>
      </c>
      <c r="B19" s="57" t="s">
        <v>28</v>
      </c>
      <c r="C19" s="54" t="s">
        <v>29</v>
      </c>
      <c r="D19" s="67"/>
      <c r="E19" s="67"/>
      <c r="F19" s="67"/>
      <c r="G19" s="67"/>
      <c r="H19" s="66">
        <f t="shared" si="0"/>
        <v>0</v>
      </c>
      <c r="I19" s="67"/>
      <c r="J19" s="67"/>
      <c r="K19" s="67"/>
      <c r="L19" s="67"/>
      <c r="M19" s="67"/>
      <c r="N19" s="67"/>
      <c r="O19" s="66">
        <f t="shared" si="4"/>
        <v>0</v>
      </c>
      <c r="P19" s="67"/>
      <c r="Q19" s="67"/>
      <c r="R19" s="67"/>
      <c r="S19" s="67"/>
      <c r="T19" s="67"/>
      <c r="U19" s="67"/>
      <c r="V19" s="66">
        <f t="shared" si="6"/>
        <v>0</v>
      </c>
      <c r="W19" s="67"/>
      <c r="X19" s="67"/>
      <c r="Y19" s="67"/>
      <c r="Z19" s="67"/>
      <c r="AA19" s="67"/>
      <c r="AB19" s="67"/>
      <c r="AC19" s="66">
        <f t="shared" si="1"/>
        <v>0</v>
      </c>
      <c r="AD19" s="67"/>
      <c r="AE19" s="67"/>
      <c r="AF19" s="67"/>
      <c r="AG19" s="67"/>
      <c r="AH19" s="66">
        <f t="shared" si="2"/>
        <v>0</v>
      </c>
      <c r="AI19" s="68">
        <f t="shared" si="3"/>
        <v>0</v>
      </c>
    </row>
    <row r="20" spans="1:35" ht="16.5" customHeight="1" x14ac:dyDescent="0.25">
      <c r="A20" s="56">
        <f t="shared" si="5"/>
        <v>13</v>
      </c>
      <c r="B20" s="57" t="s">
        <v>10</v>
      </c>
      <c r="C20" s="65" t="s">
        <v>76</v>
      </c>
      <c r="D20" s="67"/>
      <c r="E20" s="67"/>
      <c r="F20" s="67"/>
      <c r="G20" s="67"/>
      <c r="H20" s="66">
        <f t="shared" si="0"/>
        <v>0</v>
      </c>
      <c r="I20" s="67"/>
      <c r="J20" s="67"/>
      <c r="K20" s="67"/>
      <c r="L20" s="67"/>
      <c r="M20" s="67"/>
      <c r="N20" s="67"/>
      <c r="O20" s="66">
        <f t="shared" si="4"/>
        <v>0</v>
      </c>
      <c r="P20" s="67"/>
      <c r="Q20" s="67"/>
      <c r="R20" s="67"/>
      <c r="S20" s="67"/>
      <c r="T20" s="67"/>
      <c r="U20" s="67"/>
      <c r="V20" s="66">
        <f t="shared" si="6"/>
        <v>0</v>
      </c>
      <c r="W20" s="67"/>
      <c r="X20" s="67"/>
      <c r="Y20" s="67"/>
      <c r="Z20" s="67"/>
      <c r="AA20" s="67"/>
      <c r="AB20" s="67"/>
      <c r="AC20" s="66">
        <f t="shared" si="1"/>
        <v>0</v>
      </c>
      <c r="AD20" s="67"/>
      <c r="AE20" s="67"/>
      <c r="AF20" s="67"/>
      <c r="AG20" s="67"/>
      <c r="AH20" s="66">
        <f t="shared" si="2"/>
        <v>0</v>
      </c>
      <c r="AI20" s="68">
        <f t="shared" si="3"/>
        <v>0</v>
      </c>
    </row>
    <row r="21" spans="1:35" ht="16.5" customHeight="1" x14ac:dyDescent="0.25">
      <c r="A21" s="56">
        <f t="shared" si="5"/>
        <v>14</v>
      </c>
      <c r="B21" s="57" t="s">
        <v>7</v>
      </c>
      <c r="C21" s="65" t="s">
        <v>76</v>
      </c>
      <c r="D21" s="67"/>
      <c r="E21" s="67"/>
      <c r="F21" s="67"/>
      <c r="G21" s="67"/>
      <c r="H21" s="66">
        <f t="shared" si="0"/>
        <v>0</v>
      </c>
      <c r="I21" s="67"/>
      <c r="J21" s="67"/>
      <c r="K21" s="67"/>
      <c r="L21" s="67"/>
      <c r="M21" s="67"/>
      <c r="N21" s="67"/>
      <c r="O21" s="66">
        <f t="shared" si="4"/>
        <v>0</v>
      </c>
      <c r="P21" s="67"/>
      <c r="Q21" s="67"/>
      <c r="R21" s="67"/>
      <c r="S21" s="67"/>
      <c r="T21" s="67"/>
      <c r="U21" s="67"/>
      <c r="V21" s="66">
        <f t="shared" si="6"/>
        <v>0</v>
      </c>
      <c r="W21" s="67"/>
      <c r="X21" s="67"/>
      <c r="Y21" s="67"/>
      <c r="Z21" s="67"/>
      <c r="AA21" s="67"/>
      <c r="AB21" s="67"/>
      <c r="AC21" s="66">
        <f t="shared" si="1"/>
        <v>0</v>
      </c>
      <c r="AD21" s="67"/>
      <c r="AE21" s="67"/>
      <c r="AF21" s="67"/>
      <c r="AG21" s="67"/>
      <c r="AH21" s="66">
        <f t="shared" si="2"/>
        <v>0</v>
      </c>
      <c r="AI21" s="68">
        <f t="shared" si="3"/>
        <v>0</v>
      </c>
    </row>
    <row r="22" spans="1:35" ht="27" customHeight="1" x14ac:dyDescent="0.25">
      <c r="A22" s="56">
        <f>1+A28</f>
        <v>20</v>
      </c>
      <c r="B22" s="105" t="s">
        <v>39</v>
      </c>
      <c r="C22" s="54" t="s">
        <v>40</v>
      </c>
      <c r="D22" s="67"/>
      <c r="E22" s="67"/>
      <c r="F22" s="67"/>
      <c r="G22" s="67"/>
      <c r="H22" s="66">
        <f t="shared" si="0"/>
        <v>0</v>
      </c>
      <c r="I22" s="67"/>
      <c r="J22" s="67"/>
      <c r="K22" s="67"/>
      <c r="L22" s="75"/>
      <c r="M22" s="76"/>
      <c r="N22" s="67"/>
      <c r="O22" s="66">
        <f>SUM(I22:N22)</f>
        <v>0</v>
      </c>
      <c r="P22" s="67"/>
      <c r="Q22" s="67"/>
      <c r="R22" s="67"/>
      <c r="S22" s="67"/>
      <c r="T22" s="67"/>
      <c r="U22" s="67"/>
      <c r="V22" s="66">
        <f>SUM(P22:U22)</f>
        <v>0</v>
      </c>
      <c r="W22" s="67"/>
      <c r="X22" s="67"/>
      <c r="Y22" s="67"/>
      <c r="Z22" s="67"/>
      <c r="AA22" s="67"/>
      <c r="AB22" s="67"/>
      <c r="AC22" s="66">
        <f t="shared" si="1"/>
        <v>0</v>
      </c>
      <c r="AD22" s="67"/>
      <c r="AE22" s="67"/>
      <c r="AF22" s="67"/>
      <c r="AG22" s="67"/>
      <c r="AH22" s="66">
        <f t="shared" si="2"/>
        <v>0</v>
      </c>
      <c r="AI22" s="68">
        <f>H22+O22+V22+AH22</f>
        <v>0</v>
      </c>
    </row>
    <row r="23" spans="1:35" ht="17.25" customHeight="1" x14ac:dyDescent="0.25">
      <c r="A23" s="271" t="s">
        <v>77</v>
      </c>
      <c r="B23" s="272"/>
      <c r="C23" s="273"/>
      <c r="D23" s="93"/>
      <c r="E23" s="93"/>
      <c r="F23" s="93"/>
      <c r="G23" s="93">
        <f t="shared" ref="G23" si="7">SUM(G8:G22)</f>
        <v>0</v>
      </c>
      <c r="H23" s="66">
        <f t="shared" si="0"/>
        <v>0</v>
      </c>
      <c r="I23" s="93">
        <f>SUM(I8:I22)</f>
        <v>0</v>
      </c>
      <c r="J23" s="93">
        <f t="shared" ref="J23:N23" si="8">SUM(J8:J22)</f>
        <v>0</v>
      </c>
      <c r="K23" s="93">
        <f t="shared" si="8"/>
        <v>0</v>
      </c>
      <c r="L23" s="93">
        <f t="shared" si="8"/>
        <v>0</v>
      </c>
      <c r="M23" s="93">
        <f t="shared" si="8"/>
        <v>0</v>
      </c>
      <c r="N23" s="93">
        <f t="shared" si="8"/>
        <v>0</v>
      </c>
      <c r="O23" s="91">
        <f t="shared" si="4"/>
        <v>0</v>
      </c>
      <c r="P23" s="93">
        <f>SUM(P8:P22)</f>
        <v>0</v>
      </c>
      <c r="Q23" s="93">
        <f t="shared" ref="Q23:U23" si="9">SUM(Q8:Q22)</f>
        <v>0</v>
      </c>
      <c r="R23" s="93">
        <f t="shared" si="9"/>
        <v>0</v>
      </c>
      <c r="S23" s="93">
        <f t="shared" si="9"/>
        <v>0</v>
      </c>
      <c r="T23" s="93">
        <f t="shared" si="9"/>
        <v>0</v>
      </c>
      <c r="U23" s="93">
        <f t="shared" si="9"/>
        <v>0</v>
      </c>
      <c r="V23" s="91">
        <f t="shared" si="6"/>
        <v>0</v>
      </c>
      <c r="W23" s="93">
        <f>SUM(W8:W22)</f>
        <v>0</v>
      </c>
      <c r="X23" s="93">
        <f>SUM(X8:X22)</f>
        <v>0</v>
      </c>
      <c r="Y23" s="93">
        <f t="shared" ref="Y23:AB23" si="10">SUM(Y8:Y22)</f>
        <v>0</v>
      </c>
      <c r="Z23" s="93">
        <f t="shared" si="10"/>
        <v>0</v>
      </c>
      <c r="AA23" s="93">
        <f t="shared" si="10"/>
        <v>0</v>
      </c>
      <c r="AB23" s="93">
        <f t="shared" si="10"/>
        <v>0</v>
      </c>
      <c r="AC23" s="91">
        <f t="shared" si="1"/>
        <v>0</v>
      </c>
      <c r="AD23" s="93">
        <f>SUM(AD8:AD22)</f>
        <v>0</v>
      </c>
      <c r="AE23" s="93"/>
      <c r="AF23" s="93"/>
      <c r="AG23" s="93">
        <f>SUM(AG8:AG22)</f>
        <v>0</v>
      </c>
      <c r="AH23" s="66">
        <f t="shared" si="2"/>
        <v>0</v>
      </c>
      <c r="AI23" s="69">
        <f>SUM(AI8:AI22)</f>
        <v>0</v>
      </c>
    </row>
    <row r="24" spans="1:35" ht="17.25" customHeight="1" x14ac:dyDescent="0.25">
      <c r="A24" s="40">
        <f>1+A21</f>
        <v>15</v>
      </c>
      <c r="B24" s="153" t="s">
        <v>56</v>
      </c>
      <c r="C24" s="38" t="s">
        <v>69</v>
      </c>
      <c r="D24" s="67"/>
      <c r="E24" s="67"/>
      <c r="F24" s="67"/>
      <c r="G24" s="67"/>
      <c r="H24" s="66">
        <f t="shared" si="0"/>
        <v>0</v>
      </c>
      <c r="I24" s="67"/>
      <c r="J24" s="67"/>
      <c r="K24" s="12"/>
      <c r="L24" s="12"/>
      <c r="M24" s="67"/>
      <c r="N24" s="67"/>
      <c r="O24" s="66">
        <f>SUM(I24:N24)</f>
        <v>0</v>
      </c>
      <c r="P24" s="12"/>
      <c r="Q24" s="80"/>
      <c r="R24" s="67"/>
      <c r="S24" s="67"/>
      <c r="T24" s="67"/>
      <c r="U24" s="67"/>
      <c r="V24" s="66">
        <f>SUM(P24:U24)</f>
        <v>0</v>
      </c>
      <c r="W24" s="67"/>
      <c r="X24" s="67"/>
      <c r="Y24" s="67"/>
      <c r="Z24" s="67"/>
      <c r="AA24" s="67"/>
      <c r="AB24" s="67"/>
      <c r="AC24" s="66">
        <f t="shared" si="1"/>
        <v>0</v>
      </c>
      <c r="AD24" s="67"/>
      <c r="AE24" s="67"/>
      <c r="AF24" s="67"/>
      <c r="AG24" s="67"/>
      <c r="AH24" s="66">
        <f t="shared" si="2"/>
        <v>0</v>
      </c>
      <c r="AI24" s="68">
        <f>H24+O24+V24+AC24+AH24</f>
        <v>0</v>
      </c>
    </row>
    <row r="25" spans="1:35" ht="17.25" customHeight="1" x14ac:dyDescent="0.25">
      <c r="A25" s="40">
        <f t="shared" ref="A25:A38" si="11">1+A24</f>
        <v>16</v>
      </c>
      <c r="B25" s="41" t="s">
        <v>19</v>
      </c>
      <c r="C25" s="38" t="s">
        <v>18</v>
      </c>
      <c r="D25" s="67"/>
      <c r="E25" s="67"/>
      <c r="F25" s="67"/>
      <c r="G25" s="67"/>
      <c r="H25" s="66">
        <f t="shared" si="0"/>
        <v>0</v>
      </c>
      <c r="I25" s="67"/>
      <c r="J25" s="67"/>
      <c r="K25" s="67"/>
      <c r="L25" s="67"/>
      <c r="M25" s="67"/>
      <c r="N25" s="67"/>
      <c r="O25" s="66">
        <f t="shared" ref="O25:O66" si="12">SUM(I25:N25)</f>
        <v>0</v>
      </c>
      <c r="P25" s="67"/>
      <c r="Q25" s="67"/>
      <c r="R25" s="67"/>
      <c r="S25" s="67"/>
      <c r="T25" s="67"/>
      <c r="U25" s="67"/>
      <c r="V25" s="66">
        <f t="shared" ref="V25:V66" si="13">SUM(P25:U25)</f>
        <v>0</v>
      </c>
      <c r="W25" s="67"/>
      <c r="X25" s="67"/>
      <c r="Y25" s="67"/>
      <c r="Z25" s="67"/>
      <c r="AA25" s="67"/>
      <c r="AB25" s="67"/>
      <c r="AC25" s="66">
        <f t="shared" si="1"/>
        <v>0</v>
      </c>
      <c r="AD25" s="67"/>
      <c r="AE25" s="67"/>
      <c r="AF25" s="67"/>
      <c r="AG25" s="67"/>
      <c r="AH25" s="66">
        <f t="shared" si="2"/>
        <v>0</v>
      </c>
      <c r="AI25" s="68">
        <f>H25+O25+V25+AC25+AH25</f>
        <v>0</v>
      </c>
    </row>
    <row r="26" spans="1:35" ht="17.25" customHeight="1" x14ac:dyDescent="0.25">
      <c r="A26" s="40">
        <f t="shared" si="11"/>
        <v>17</v>
      </c>
      <c r="B26" s="41" t="s">
        <v>31</v>
      </c>
      <c r="C26" s="38" t="s">
        <v>32</v>
      </c>
      <c r="D26" s="67"/>
      <c r="E26" s="67"/>
      <c r="F26" s="67"/>
      <c r="G26" s="67"/>
      <c r="H26" s="66">
        <f t="shared" si="0"/>
        <v>0</v>
      </c>
      <c r="I26" s="67"/>
      <c r="J26" s="12"/>
      <c r="K26" s="67"/>
      <c r="L26" s="12"/>
      <c r="M26" s="67"/>
      <c r="N26" s="67"/>
      <c r="O26" s="66">
        <f t="shared" si="12"/>
        <v>0</v>
      </c>
      <c r="P26" s="67"/>
      <c r="Q26" s="67"/>
      <c r="R26" s="67"/>
      <c r="S26" s="67"/>
      <c r="T26" s="67"/>
      <c r="U26" s="67"/>
      <c r="V26" s="66">
        <f t="shared" si="13"/>
        <v>0</v>
      </c>
      <c r="W26" s="67"/>
      <c r="X26" s="67"/>
      <c r="Y26" s="67"/>
      <c r="Z26" s="67"/>
      <c r="AA26" s="67"/>
      <c r="AB26" s="67"/>
      <c r="AC26" s="66">
        <f t="shared" si="1"/>
        <v>0</v>
      </c>
      <c r="AD26" s="67"/>
      <c r="AE26" s="67"/>
      <c r="AF26" s="67"/>
      <c r="AG26" s="67">
        <f>+'Cristhian Murillo'!L27</f>
        <v>205000</v>
      </c>
      <c r="AH26" s="66">
        <f t="shared" si="2"/>
        <v>205000</v>
      </c>
      <c r="AI26" s="68">
        <f>H26+O26+V26+AC26+AH26</f>
        <v>205000</v>
      </c>
    </row>
    <row r="27" spans="1:35" ht="17.25" customHeight="1" x14ac:dyDescent="0.25">
      <c r="A27" s="40">
        <f t="shared" si="11"/>
        <v>18</v>
      </c>
      <c r="B27" s="41" t="s">
        <v>33</v>
      </c>
      <c r="C27" s="38" t="s">
        <v>16</v>
      </c>
      <c r="D27" s="67"/>
      <c r="E27" s="67"/>
      <c r="F27" s="67"/>
      <c r="G27" s="67"/>
      <c r="H27" s="66">
        <f t="shared" si="0"/>
        <v>0</v>
      </c>
      <c r="I27" s="67"/>
      <c r="J27" s="67"/>
      <c r="K27" s="67"/>
      <c r="L27" s="67"/>
      <c r="M27" s="67"/>
      <c r="N27" s="67"/>
      <c r="O27" s="66">
        <f t="shared" si="12"/>
        <v>0</v>
      </c>
      <c r="P27" s="67"/>
      <c r="Q27" s="67"/>
      <c r="R27" s="67"/>
      <c r="S27" s="67"/>
      <c r="T27" s="67"/>
      <c r="U27" s="67"/>
      <c r="V27" s="66">
        <f t="shared" si="13"/>
        <v>0</v>
      </c>
      <c r="W27" s="67"/>
      <c r="X27" s="67"/>
      <c r="Y27" s="67"/>
      <c r="Z27" s="67"/>
      <c r="AA27" s="67"/>
      <c r="AB27" s="67"/>
      <c r="AC27" s="66">
        <f t="shared" si="1"/>
        <v>0</v>
      </c>
      <c r="AD27" s="67"/>
      <c r="AE27" s="67"/>
      <c r="AF27" s="67"/>
      <c r="AG27" s="67"/>
      <c r="AH27" s="66">
        <f t="shared" si="2"/>
        <v>0</v>
      </c>
      <c r="AI27" s="68">
        <f t="shared" ref="AI27:AI66" si="14">H27+O27+V27+AC27+AH27</f>
        <v>0</v>
      </c>
    </row>
    <row r="28" spans="1:35" ht="17.25" hidden="1" customHeight="1" x14ac:dyDescent="0.25">
      <c r="A28" s="40">
        <f t="shared" si="11"/>
        <v>19</v>
      </c>
      <c r="B28" s="41" t="s">
        <v>34</v>
      </c>
      <c r="C28" s="38" t="s">
        <v>26</v>
      </c>
      <c r="D28" s="67"/>
      <c r="E28" s="67"/>
      <c r="F28" s="67"/>
      <c r="G28" s="67"/>
      <c r="H28" s="66">
        <f t="shared" si="0"/>
        <v>0</v>
      </c>
      <c r="I28" s="67"/>
      <c r="J28" s="67"/>
      <c r="K28" s="67"/>
      <c r="L28" s="67"/>
      <c r="M28" s="67"/>
      <c r="N28" s="67"/>
      <c r="O28" s="66">
        <f t="shared" si="12"/>
        <v>0</v>
      </c>
      <c r="P28" s="67"/>
      <c r="Q28" s="67"/>
      <c r="R28" s="67"/>
      <c r="S28" s="67"/>
      <c r="T28" s="67"/>
      <c r="U28" s="67"/>
      <c r="V28" s="66">
        <f t="shared" si="13"/>
        <v>0</v>
      </c>
      <c r="W28" s="67"/>
      <c r="X28" s="67"/>
      <c r="Y28" s="67"/>
      <c r="Z28" s="67"/>
      <c r="AA28" s="67"/>
      <c r="AB28" s="67"/>
      <c r="AC28" s="66">
        <f t="shared" si="1"/>
        <v>0</v>
      </c>
      <c r="AD28" s="67"/>
      <c r="AE28" s="67"/>
      <c r="AF28" s="67"/>
      <c r="AG28" s="67"/>
      <c r="AH28" s="66">
        <f t="shared" si="2"/>
        <v>0</v>
      </c>
      <c r="AI28" s="68">
        <f t="shared" si="14"/>
        <v>0</v>
      </c>
    </row>
    <row r="29" spans="1:35" ht="17.25" customHeight="1" x14ac:dyDescent="0.25">
      <c r="A29" s="40">
        <f t="shared" si="11"/>
        <v>20</v>
      </c>
      <c r="B29" s="43" t="s">
        <v>73</v>
      </c>
      <c r="C29" s="38" t="s">
        <v>9</v>
      </c>
      <c r="D29" s="67"/>
      <c r="E29" s="12"/>
      <c r="F29" s="67"/>
      <c r="G29" s="67"/>
      <c r="H29" s="66">
        <f t="shared" si="0"/>
        <v>0</v>
      </c>
      <c r="I29" s="67"/>
      <c r="J29" s="67"/>
      <c r="K29" s="67"/>
      <c r="L29" s="67"/>
      <c r="M29" s="67"/>
      <c r="N29" s="67"/>
      <c r="O29" s="66">
        <f t="shared" si="12"/>
        <v>0</v>
      </c>
      <c r="P29" s="67"/>
      <c r="Q29" s="67"/>
      <c r="R29" s="67"/>
      <c r="S29" s="67"/>
      <c r="T29" s="67"/>
      <c r="U29" s="67"/>
      <c r="V29" s="66">
        <f t="shared" si="13"/>
        <v>0</v>
      </c>
      <c r="W29" s="67"/>
      <c r="X29" s="67"/>
      <c r="Y29" s="67"/>
      <c r="Z29" s="67"/>
      <c r="AA29" s="67"/>
      <c r="AB29" s="67"/>
      <c r="AC29" s="66">
        <f t="shared" si="1"/>
        <v>0</v>
      </c>
      <c r="AD29" s="67"/>
      <c r="AE29" s="67"/>
      <c r="AF29" s="67"/>
      <c r="AG29" s="67">
        <f>+'Orlando Aldunate'!L19</f>
        <v>138108.5</v>
      </c>
      <c r="AH29" s="66">
        <f t="shared" si="2"/>
        <v>138108.5</v>
      </c>
      <c r="AI29" s="68">
        <f t="shared" si="14"/>
        <v>138108.5</v>
      </c>
    </row>
    <row r="30" spans="1:35" ht="17.25" customHeight="1" x14ac:dyDescent="0.25">
      <c r="A30" s="40">
        <f t="shared" si="11"/>
        <v>21</v>
      </c>
      <c r="B30" s="58" t="s">
        <v>75</v>
      </c>
      <c r="C30" s="59" t="s">
        <v>13</v>
      </c>
      <c r="D30" s="67"/>
      <c r="E30" s="67"/>
      <c r="F30" s="67"/>
      <c r="G30" s="67"/>
      <c r="H30" s="66">
        <f t="shared" si="0"/>
        <v>0</v>
      </c>
      <c r="I30" s="67"/>
      <c r="J30" s="67"/>
      <c r="K30" s="67"/>
      <c r="L30" s="67"/>
      <c r="M30" s="67"/>
      <c r="N30" s="67"/>
      <c r="O30" s="66">
        <f t="shared" si="12"/>
        <v>0</v>
      </c>
      <c r="P30" s="67"/>
      <c r="Q30" s="67"/>
      <c r="R30" s="67"/>
      <c r="S30" s="67"/>
      <c r="T30" s="67"/>
      <c r="U30" s="67"/>
      <c r="V30" s="66">
        <f t="shared" si="13"/>
        <v>0</v>
      </c>
      <c r="W30" s="67"/>
      <c r="X30" s="67"/>
      <c r="Y30" s="67"/>
      <c r="Z30" s="67"/>
      <c r="AA30" s="67"/>
      <c r="AB30" s="67"/>
      <c r="AC30" s="66">
        <f t="shared" si="1"/>
        <v>0</v>
      </c>
      <c r="AD30" s="67"/>
      <c r="AE30" s="67"/>
      <c r="AF30" s="67"/>
      <c r="AG30" s="67"/>
      <c r="AH30" s="66">
        <f t="shared" si="2"/>
        <v>0</v>
      </c>
      <c r="AI30" s="68">
        <f t="shared" si="14"/>
        <v>0</v>
      </c>
    </row>
    <row r="31" spans="1:35" ht="17.25" customHeight="1" x14ac:dyDescent="0.25">
      <c r="A31" s="40">
        <f t="shared" si="11"/>
        <v>22</v>
      </c>
      <c r="B31" s="43" t="s">
        <v>85</v>
      </c>
      <c r="C31" s="38" t="s">
        <v>86</v>
      </c>
      <c r="D31" s="67"/>
      <c r="E31" s="67"/>
      <c r="F31" s="67"/>
      <c r="G31" s="67"/>
      <c r="H31" s="66">
        <f t="shared" si="0"/>
        <v>0</v>
      </c>
      <c r="I31" s="67"/>
      <c r="J31" s="67"/>
      <c r="K31" s="67"/>
      <c r="L31" s="12"/>
      <c r="M31" s="11"/>
      <c r="N31" s="67"/>
      <c r="O31" s="66">
        <f t="shared" si="12"/>
        <v>0</v>
      </c>
      <c r="P31" s="67"/>
      <c r="Q31" s="67"/>
      <c r="R31" s="67"/>
      <c r="S31" s="67"/>
      <c r="T31" s="67"/>
      <c r="U31" s="67"/>
      <c r="V31" s="66">
        <f t="shared" si="13"/>
        <v>0</v>
      </c>
      <c r="W31" s="67"/>
      <c r="X31" s="67"/>
      <c r="Y31" s="67"/>
      <c r="Z31" s="67"/>
      <c r="AA31" s="67"/>
      <c r="AB31" s="67"/>
      <c r="AC31" s="66">
        <f t="shared" si="1"/>
        <v>0</v>
      </c>
      <c r="AD31" s="67"/>
      <c r="AE31" s="67"/>
      <c r="AF31" s="67"/>
      <c r="AG31" s="67"/>
      <c r="AH31" s="66">
        <f t="shared" si="2"/>
        <v>0</v>
      </c>
      <c r="AI31" s="68">
        <f t="shared" si="14"/>
        <v>0</v>
      </c>
    </row>
    <row r="32" spans="1:35" ht="17.25" customHeight="1" x14ac:dyDescent="0.25">
      <c r="A32" s="40">
        <f t="shared" si="11"/>
        <v>23</v>
      </c>
      <c r="B32" s="58" t="s">
        <v>87</v>
      </c>
      <c r="C32" s="59" t="s">
        <v>6</v>
      </c>
      <c r="D32" s="67"/>
      <c r="E32" s="67"/>
      <c r="F32" s="67"/>
      <c r="G32" s="67"/>
      <c r="H32" s="66">
        <f t="shared" si="0"/>
        <v>0</v>
      </c>
      <c r="I32" s="67"/>
      <c r="J32" s="67"/>
      <c r="K32" s="67"/>
      <c r="L32" s="12"/>
      <c r="M32" s="11"/>
      <c r="N32" s="67"/>
      <c r="O32" s="66">
        <f t="shared" si="12"/>
        <v>0</v>
      </c>
      <c r="P32" s="67"/>
      <c r="Q32" s="67"/>
      <c r="R32" s="67"/>
      <c r="S32" s="67"/>
      <c r="T32" s="67"/>
      <c r="U32" s="67"/>
      <c r="V32" s="66">
        <f t="shared" si="13"/>
        <v>0</v>
      </c>
      <c r="W32" s="67"/>
      <c r="X32" s="67"/>
      <c r="Y32" s="12"/>
      <c r="Z32" s="67"/>
      <c r="AA32" s="67"/>
      <c r="AB32" s="67"/>
      <c r="AC32" s="66">
        <f t="shared" si="1"/>
        <v>0</v>
      </c>
      <c r="AD32" s="67"/>
      <c r="AE32" s="67"/>
      <c r="AF32" s="67"/>
      <c r="AG32" s="67"/>
      <c r="AH32" s="66">
        <f t="shared" si="2"/>
        <v>0</v>
      </c>
      <c r="AI32" s="68">
        <f t="shared" si="14"/>
        <v>0</v>
      </c>
    </row>
    <row r="33" spans="1:37" ht="17.25" customHeight="1" x14ac:dyDescent="0.25">
      <c r="A33" s="40">
        <f t="shared" si="11"/>
        <v>24</v>
      </c>
      <c r="B33" s="43" t="s">
        <v>89</v>
      </c>
      <c r="C33" s="38" t="s">
        <v>26</v>
      </c>
      <c r="D33" s="67"/>
      <c r="E33" s="67"/>
      <c r="F33" s="67"/>
      <c r="G33" s="67"/>
      <c r="H33" s="66">
        <f t="shared" si="0"/>
        <v>0</v>
      </c>
      <c r="I33" s="67"/>
      <c r="J33" s="67"/>
      <c r="K33" s="67"/>
      <c r="L33" s="12"/>
      <c r="M33" s="11"/>
      <c r="N33" s="67"/>
      <c r="O33" s="66">
        <f t="shared" si="12"/>
        <v>0</v>
      </c>
      <c r="P33" s="12"/>
      <c r="Q33" s="11"/>
      <c r="R33" s="67"/>
      <c r="S33" s="67"/>
      <c r="T33" s="67"/>
      <c r="U33" s="67"/>
      <c r="V33" s="66">
        <f t="shared" si="13"/>
        <v>0</v>
      </c>
      <c r="W33" s="67"/>
      <c r="X33" s="67"/>
      <c r="Y33" s="67"/>
      <c r="Z33" s="67"/>
      <c r="AA33" s="67"/>
      <c r="AB33" s="67"/>
      <c r="AC33" s="66">
        <f t="shared" si="1"/>
        <v>0</v>
      </c>
      <c r="AD33" s="67"/>
      <c r="AE33" s="67"/>
      <c r="AF33" s="67"/>
      <c r="AG33" s="67"/>
      <c r="AH33" s="66">
        <f t="shared" si="2"/>
        <v>0</v>
      </c>
      <c r="AI33" s="68">
        <f t="shared" si="14"/>
        <v>0</v>
      </c>
    </row>
    <row r="34" spans="1:37" ht="17.25" customHeight="1" x14ac:dyDescent="0.25">
      <c r="A34" s="40">
        <f t="shared" si="11"/>
        <v>25</v>
      </c>
      <c r="B34" s="58" t="s">
        <v>93</v>
      </c>
      <c r="C34" s="59" t="s">
        <v>26</v>
      </c>
      <c r="D34" s="67"/>
      <c r="E34" s="67"/>
      <c r="F34" s="67"/>
      <c r="G34" s="67"/>
      <c r="H34" s="66">
        <f t="shared" si="0"/>
        <v>0</v>
      </c>
      <c r="I34" s="67"/>
      <c r="J34" s="67"/>
      <c r="K34" s="67"/>
      <c r="L34" s="12"/>
      <c r="M34" s="11"/>
      <c r="N34" s="67"/>
      <c r="O34" s="66">
        <f t="shared" si="12"/>
        <v>0</v>
      </c>
      <c r="P34" s="12"/>
      <c r="Q34" s="11"/>
      <c r="R34" s="67"/>
      <c r="S34" s="67"/>
      <c r="T34" s="67"/>
      <c r="U34" s="67"/>
      <c r="V34" s="66">
        <f t="shared" si="13"/>
        <v>0</v>
      </c>
      <c r="W34" s="67"/>
      <c r="X34" s="67"/>
      <c r="Y34" s="67"/>
      <c r="Z34" s="67"/>
      <c r="AA34" s="67"/>
      <c r="AB34" s="67"/>
      <c r="AC34" s="66">
        <f t="shared" si="1"/>
        <v>0</v>
      </c>
      <c r="AD34" s="67"/>
      <c r="AE34" s="67"/>
      <c r="AF34" s="67"/>
      <c r="AG34" s="67"/>
      <c r="AH34" s="66">
        <f t="shared" si="2"/>
        <v>0</v>
      </c>
      <c r="AI34" s="68">
        <f t="shared" si="14"/>
        <v>0</v>
      </c>
    </row>
    <row r="35" spans="1:37" ht="17.25" customHeight="1" x14ac:dyDescent="0.25">
      <c r="A35" s="40">
        <f>1+A34</f>
        <v>26</v>
      </c>
      <c r="B35" s="58" t="s">
        <v>112</v>
      </c>
      <c r="C35" s="59" t="s">
        <v>32</v>
      </c>
      <c r="D35" s="67"/>
      <c r="E35" s="67"/>
      <c r="F35" s="67"/>
      <c r="G35" s="67"/>
      <c r="H35" s="66">
        <f t="shared" si="0"/>
        <v>0</v>
      </c>
      <c r="I35" s="67"/>
      <c r="J35" s="67"/>
      <c r="K35" s="67"/>
      <c r="L35" s="12"/>
      <c r="M35" s="11"/>
      <c r="N35" s="67"/>
      <c r="O35" s="66">
        <f t="shared" si="12"/>
        <v>0</v>
      </c>
      <c r="P35" s="12"/>
      <c r="Q35" s="19"/>
      <c r="R35" s="67"/>
      <c r="S35" s="67"/>
      <c r="T35" s="67"/>
      <c r="U35" s="67"/>
      <c r="V35" s="66">
        <f t="shared" si="13"/>
        <v>0</v>
      </c>
      <c r="W35" s="67"/>
      <c r="X35" s="67"/>
      <c r="Y35" s="67"/>
      <c r="Z35" s="67"/>
      <c r="AA35" s="67"/>
      <c r="AB35" s="67"/>
      <c r="AC35" s="66">
        <f t="shared" si="1"/>
        <v>0</v>
      </c>
      <c r="AD35" s="67"/>
      <c r="AE35" s="67"/>
      <c r="AF35" s="67"/>
      <c r="AG35" s="67"/>
      <c r="AH35" s="66">
        <f t="shared" si="2"/>
        <v>0</v>
      </c>
      <c r="AI35" s="68">
        <f t="shared" si="14"/>
        <v>0</v>
      </c>
    </row>
    <row r="36" spans="1:37" ht="17.25" customHeight="1" x14ac:dyDescent="0.25">
      <c r="A36" s="40">
        <f t="shared" ref="A36:A37" si="15">1+A35</f>
        <v>27</v>
      </c>
      <c r="B36" s="58" t="s">
        <v>113</v>
      </c>
      <c r="C36" s="59" t="s">
        <v>32</v>
      </c>
      <c r="D36" s="67"/>
      <c r="E36" s="67"/>
      <c r="F36" s="67"/>
      <c r="G36" s="67"/>
      <c r="H36" s="66">
        <f t="shared" si="0"/>
        <v>0</v>
      </c>
      <c r="I36" s="67"/>
      <c r="J36" s="67"/>
      <c r="K36" s="67"/>
      <c r="L36" s="12"/>
      <c r="M36" s="11"/>
      <c r="N36" s="67"/>
      <c r="O36" s="66">
        <f t="shared" si="12"/>
        <v>0</v>
      </c>
      <c r="P36" s="12"/>
      <c r="Q36" s="19"/>
      <c r="R36" s="67"/>
      <c r="S36" s="67"/>
      <c r="T36" s="67"/>
      <c r="U36" s="67"/>
      <c r="V36" s="66">
        <f t="shared" si="13"/>
        <v>0</v>
      </c>
      <c r="W36" s="67"/>
      <c r="X36" s="67"/>
      <c r="Y36" s="67"/>
      <c r="Z36" s="67"/>
      <c r="AA36" s="67"/>
      <c r="AB36" s="67"/>
      <c r="AC36" s="66">
        <f t="shared" si="1"/>
        <v>0</v>
      </c>
      <c r="AD36" s="67"/>
      <c r="AE36" s="67"/>
      <c r="AF36" s="67"/>
      <c r="AG36" s="67"/>
      <c r="AH36" s="66">
        <f t="shared" si="2"/>
        <v>0</v>
      </c>
      <c r="AI36" s="68">
        <f t="shared" si="14"/>
        <v>0</v>
      </c>
    </row>
    <row r="37" spans="1:37" ht="17.25" customHeight="1" x14ac:dyDescent="0.25">
      <c r="A37" s="40">
        <f t="shared" si="15"/>
        <v>28</v>
      </c>
      <c r="B37" s="58" t="s">
        <v>94</v>
      </c>
      <c r="C37" s="59" t="s">
        <v>26</v>
      </c>
      <c r="D37" s="67"/>
      <c r="E37" s="67"/>
      <c r="F37" s="67"/>
      <c r="G37" s="67"/>
      <c r="H37" s="66">
        <f t="shared" si="0"/>
        <v>0</v>
      </c>
      <c r="I37" s="12"/>
      <c r="J37" s="12"/>
      <c r="K37" s="12"/>
      <c r="L37" s="12"/>
      <c r="M37" s="11"/>
      <c r="N37" s="67"/>
      <c r="O37" s="66">
        <f t="shared" si="12"/>
        <v>0</v>
      </c>
      <c r="P37" s="67"/>
      <c r="Q37" s="19"/>
      <c r="R37" s="67"/>
      <c r="S37" s="67"/>
      <c r="T37" s="67"/>
      <c r="U37" s="67"/>
      <c r="V37" s="66">
        <f t="shared" si="13"/>
        <v>0</v>
      </c>
      <c r="W37" s="67"/>
      <c r="X37" s="67"/>
      <c r="Y37" s="67"/>
      <c r="Z37" s="12"/>
      <c r="AA37" s="67"/>
      <c r="AB37" s="67"/>
      <c r="AC37" s="66">
        <f t="shared" si="1"/>
        <v>0</v>
      </c>
      <c r="AD37" s="12"/>
      <c r="AE37" s="12"/>
      <c r="AF37" s="12"/>
      <c r="AG37" s="12" t="e">
        <f>+#REF!</f>
        <v>#REF!</v>
      </c>
      <c r="AH37" s="66" t="e">
        <f t="shared" si="2"/>
        <v>#REF!</v>
      </c>
      <c r="AI37" s="68" t="e">
        <f t="shared" si="14"/>
        <v>#REF!</v>
      </c>
    </row>
    <row r="38" spans="1:37" ht="17.25" customHeight="1" x14ac:dyDescent="0.25">
      <c r="A38" s="40">
        <f t="shared" si="11"/>
        <v>29</v>
      </c>
      <c r="B38" s="58" t="s">
        <v>100</v>
      </c>
      <c r="C38" s="59" t="s">
        <v>13</v>
      </c>
      <c r="D38" s="67"/>
      <c r="E38" s="67"/>
      <c r="F38" s="67"/>
      <c r="G38" s="67"/>
      <c r="H38" s="66">
        <f t="shared" si="0"/>
        <v>0</v>
      </c>
      <c r="I38" s="12"/>
      <c r="J38" s="12"/>
      <c r="K38" s="12"/>
      <c r="L38" s="67"/>
      <c r="M38" s="67"/>
      <c r="N38" s="67"/>
      <c r="O38" s="66">
        <f t="shared" si="12"/>
        <v>0</v>
      </c>
      <c r="P38" s="67"/>
      <c r="Q38" s="19"/>
      <c r="R38" s="67"/>
      <c r="S38" s="67"/>
      <c r="T38" s="67"/>
      <c r="U38" s="67"/>
      <c r="V38" s="66">
        <f t="shared" si="13"/>
        <v>0</v>
      </c>
      <c r="W38" s="67"/>
      <c r="X38" s="67"/>
      <c r="Y38" s="67"/>
      <c r="Z38" s="67"/>
      <c r="AA38" s="67"/>
      <c r="AB38" s="67"/>
      <c r="AC38" s="66">
        <f t="shared" si="1"/>
        <v>0</v>
      </c>
      <c r="AD38" s="67"/>
      <c r="AE38" s="67"/>
      <c r="AF38" s="67"/>
      <c r="AG38" s="67"/>
      <c r="AH38" s="66">
        <f t="shared" si="2"/>
        <v>0</v>
      </c>
      <c r="AI38" s="68">
        <f t="shared" si="14"/>
        <v>0</v>
      </c>
      <c r="AK38" s="49"/>
    </row>
    <row r="39" spans="1:37" ht="17.25" customHeight="1" x14ac:dyDescent="0.25">
      <c r="A39" s="40">
        <f>1+A38</f>
        <v>30</v>
      </c>
      <c r="B39" s="58" t="s">
        <v>101</v>
      </c>
      <c r="C39" s="59" t="s">
        <v>16</v>
      </c>
      <c r="D39" s="67"/>
      <c r="E39" s="67"/>
      <c r="F39" s="67"/>
      <c r="G39" s="67"/>
      <c r="H39" s="66">
        <f t="shared" si="0"/>
        <v>0</v>
      </c>
      <c r="I39" s="12"/>
      <c r="J39" s="12"/>
      <c r="K39" s="12"/>
      <c r="L39" s="67"/>
      <c r="M39" s="67"/>
      <c r="N39" s="67"/>
      <c r="O39" s="66">
        <f t="shared" si="12"/>
        <v>0</v>
      </c>
      <c r="P39" s="67"/>
      <c r="Q39" s="19"/>
      <c r="R39" s="67"/>
      <c r="S39" s="67"/>
      <c r="T39" s="67"/>
      <c r="U39" s="67"/>
      <c r="V39" s="66">
        <f t="shared" si="13"/>
        <v>0</v>
      </c>
      <c r="W39" s="67"/>
      <c r="X39" s="67"/>
      <c r="Y39" s="67"/>
      <c r="Z39" s="67"/>
      <c r="AA39" s="67"/>
      <c r="AB39" s="67"/>
      <c r="AC39" s="66">
        <f t="shared" si="1"/>
        <v>0</v>
      </c>
      <c r="AD39" s="67"/>
      <c r="AE39" s="67"/>
      <c r="AF39" s="67"/>
      <c r="AG39" s="67"/>
      <c r="AH39" s="66">
        <f t="shared" si="2"/>
        <v>0</v>
      </c>
      <c r="AI39" s="68">
        <f t="shared" si="14"/>
        <v>0</v>
      </c>
    </row>
    <row r="40" spans="1:37" ht="17.25" customHeight="1" x14ac:dyDescent="0.25">
      <c r="A40" s="40">
        <f t="shared" ref="A40:A65" si="16">1+A39</f>
        <v>31</v>
      </c>
      <c r="B40" s="58" t="s">
        <v>103</v>
      </c>
      <c r="C40" s="59" t="s">
        <v>104</v>
      </c>
      <c r="D40" s="67"/>
      <c r="E40" s="67"/>
      <c r="F40" s="67"/>
      <c r="G40" s="67"/>
      <c r="H40" s="66">
        <f t="shared" si="0"/>
        <v>0</v>
      </c>
      <c r="I40" s="12"/>
      <c r="J40" s="12"/>
      <c r="K40" s="12"/>
      <c r="L40" s="67"/>
      <c r="M40" s="67"/>
      <c r="N40" s="67"/>
      <c r="O40" s="66">
        <f t="shared" si="12"/>
        <v>0</v>
      </c>
      <c r="P40" s="67"/>
      <c r="Q40" s="19"/>
      <c r="R40" s="67"/>
      <c r="S40" s="67"/>
      <c r="T40" s="67"/>
      <c r="U40" s="67"/>
      <c r="V40" s="66">
        <f t="shared" si="13"/>
        <v>0</v>
      </c>
      <c r="W40" s="67"/>
      <c r="X40" s="67"/>
      <c r="Y40" s="67"/>
      <c r="Z40" s="67"/>
      <c r="AA40" s="67"/>
      <c r="AB40" s="67"/>
      <c r="AC40" s="66">
        <f t="shared" si="1"/>
        <v>0</v>
      </c>
      <c r="AD40" s="67"/>
      <c r="AE40" s="67"/>
      <c r="AF40" s="67"/>
      <c r="AG40" s="67"/>
      <c r="AH40" s="66">
        <f t="shared" si="2"/>
        <v>0</v>
      </c>
      <c r="AI40" s="68">
        <f t="shared" si="14"/>
        <v>0</v>
      </c>
    </row>
    <row r="41" spans="1:37" ht="17.25" customHeight="1" x14ac:dyDescent="0.25">
      <c r="A41" s="40">
        <f t="shared" si="16"/>
        <v>32</v>
      </c>
      <c r="B41" s="58" t="s">
        <v>98</v>
      </c>
      <c r="C41" s="59" t="s">
        <v>88</v>
      </c>
      <c r="D41" s="67"/>
      <c r="E41" s="67"/>
      <c r="F41" s="67"/>
      <c r="G41" s="67"/>
      <c r="H41" s="66">
        <f t="shared" si="0"/>
        <v>0</v>
      </c>
      <c r="I41" s="12"/>
      <c r="J41" s="12"/>
      <c r="K41" s="12"/>
      <c r="L41" s="67"/>
      <c r="M41" s="67"/>
      <c r="N41" s="67"/>
      <c r="O41" s="66">
        <f t="shared" si="12"/>
        <v>0</v>
      </c>
      <c r="P41" s="67"/>
      <c r="Q41" s="19"/>
      <c r="R41" s="67"/>
      <c r="S41" s="67"/>
      <c r="T41" s="67"/>
      <c r="U41" s="67"/>
      <c r="V41" s="66">
        <f t="shared" si="13"/>
        <v>0</v>
      </c>
      <c r="W41" s="67"/>
      <c r="X41" s="67"/>
      <c r="Y41" s="67"/>
      <c r="Z41" s="67"/>
      <c r="AA41" s="67"/>
      <c r="AB41" s="67"/>
      <c r="AC41" s="66">
        <f t="shared" si="1"/>
        <v>0</v>
      </c>
      <c r="AD41" s="67"/>
      <c r="AE41" s="67"/>
      <c r="AF41" s="67"/>
      <c r="AG41" s="67"/>
      <c r="AH41" s="66">
        <f t="shared" si="2"/>
        <v>0</v>
      </c>
      <c r="AI41" s="68">
        <f t="shared" si="14"/>
        <v>0</v>
      </c>
    </row>
    <row r="42" spans="1:37" ht="17.25" customHeight="1" x14ac:dyDescent="0.25">
      <c r="A42" s="40">
        <f t="shared" si="16"/>
        <v>33</v>
      </c>
      <c r="B42" s="58" t="s">
        <v>114</v>
      </c>
      <c r="C42" s="59" t="s">
        <v>88</v>
      </c>
      <c r="D42" s="67"/>
      <c r="E42" s="67"/>
      <c r="F42" s="67"/>
      <c r="G42" s="67"/>
      <c r="H42" s="66">
        <f t="shared" si="0"/>
        <v>0</v>
      </c>
      <c r="I42" s="12"/>
      <c r="J42" s="12"/>
      <c r="K42" s="12"/>
      <c r="L42" s="67"/>
      <c r="M42" s="67"/>
      <c r="N42" s="67"/>
      <c r="O42" s="66">
        <f t="shared" si="12"/>
        <v>0</v>
      </c>
      <c r="P42" s="67"/>
      <c r="Q42" s="19"/>
      <c r="R42" s="67"/>
      <c r="S42" s="67"/>
      <c r="T42" s="67"/>
      <c r="U42" s="67"/>
      <c r="V42" s="66">
        <f t="shared" si="13"/>
        <v>0</v>
      </c>
      <c r="W42" s="67"/>
      <c r="X42" s="67"/>
      <c r="Y42" s="67"/>
      <c r="Z42" s="67"/>
      <c r="AA42" s="67"/>
      <c r="AB42" s="67"/>
      <c r="AC42" s="66">
        <f t="shared" si="1"/>
        <v>0</v>
      </c>
      <c r="AD42" s="67"/>
      <c r="AE42" s="67"/>
      <c r="AF42" s="67"/>
      <c r="AG42" s="67"/>
      <c r="AH42" s="66">
        <f t="shared" si="2"/>
        <v>0</v>
      </c>
      <c r="AI42" s="68">
        <f t="shared" si="14"/>
        <v>0</v>
      </c>
      <c r="AK42" s="49"/>
    </row>
    <row r="43" spans="1:37" ht="17.25" customHeight="1" x14ac:dyDescent="0.25">
      <c r="A43" s="40">
        <f t="shared" si="16"/>
        <v>34</v>
      </c>
      <c r="B43" s="58" t="s">
        <v>121</v>
      </c>
      <c r="C43" s="59" t="s">
        <v>86</v>
      </c>
      <c r="D43" s="67"/>
      <c r="E43" s="67"/>
      <c r="F43" s="67"/>
      <c r="G43" s="67"/>
      <c r="H43" s="66">
        <f t="shared" si="0"/>
        <v>0</v>
      </c>
      <c r="I43" s="12"/>
      <c r="J43" s="12"/>
      <c r="K43" s="12"/>
      <c r="L43" s="67"/>
      <c r="M43" s="67"/>
      <c r="N43" s="67"/>
      <c r="O43" s="66">
        <f t="shared" si="12"/>
        <v>0</v>
      </c>
      <c r="P43" s="67"/>
      <c r="Q43" s="19"/>
      <c r="R43" s="67"/>
      <c r="S43" s="67"/>
      <c r="T43" s="67"/>
      <c r="U43" s="67"/>
      <c r="V43" s="66">
        <f t="shared" si="13"/>
        <v>0</v>
      </c>
      <c r="W43" s="67"/>
      <c r="X43" s="67"/>
      <c r="Y43" s="67"/>
      <c r="Z43" s="67"/>
      <c r="AA43" s="67"/>
      <c r="AB43" s="67"/>
      <c r="AC43" s="66">
        <f t="shared" si="1"/>
        <v>0</v>
      </c>
      <c r="AD43" s="67"/>
      <c r="AE43" s="67"/>
      <c r="AF43" s="67"/>
      <c r="AG43" s="67"/>
      <c r="AH43" s="66">
        <f t="shared" si="2"/>
        <v>0</v>
      </c>
      <c r="AI43" s="68">
        <f t="shared" si="14"/>
        <v>0</v>
      </c>
    </row>
    <row r="44" spans="1:37" ht="17.25" customHeight="1" x14ac:dyDescent="0.25">
      <c r="A44" s="40">
        <f t="shared" si="16"/>
        <v>35</v>
      </c>
      <c r="B44" s="58" t="s">
        <v>118</v>
      </c>
      <c r="C44" s="59" t="s">
        <v>122</v>
      </c>
      <c r="D44" s="67"/>
      <c r="E44" s="67"/>
      <c r="F44" s="67"/>
      <c r="G44" s="67"/>
      <c r="H44" s="66">
        <f t="shared" si="0"/>
        <v>0</v>
      </c>
      <c r="I44" s="12"/>
      <c r="J44" s="12"/>
      <c r="K44" s="12"/>
      <c r="L44" s="67"/>
      <c r="M44" s="67"/>
      <c r="N44" s="67"/>
      <c r="O44" s="66">
        <f t="shared" si="12"/>
        <v>0</v>
      </c>
      <c r="P44" s="67"/>
      <c r="Q44" s="19"/>
      <c r="R44" s="67"/>
      <c r="S44" s="67"/>
      <c r="T44" s="67"/>
      <c r="U44" s="67"/>
      <c r="V44" s="66">
        <f t="shared" si="13"/>
        <v>0</v>
      </c>
      <c r="W44" s="67"/>
      <c r="X44" s="67"/>
      <c r="Y44" s="67"/>
      <c r="Z44" s="67"/>
      <c r="AA44" s="67"/>
      <c r="AB44" s="67"/>
      <c r="AC44" s="66">
        <f t="shared" si="1"/>
        <v>0</v>
      </c>
      <c r="AD44" s="67"/>
      <c r="AE44" s="67"/>
      <c r="AF44" s="67"/>
      <c r="AG44" s="67"/>
      <c r="AH44" s="66">
        <f t="shared" si="2"/>
        <v>0</v>
      </c>
      <c r="AI44" s="68">
        <f t="shared" si="14"/>
        <v>0</v>
      </c>
    </row>
    <row r="45" spans="1:37" ht="17.25" customHeight="1" x14ac:dyDescent="0.25">
      <c r="A45" s="40">
        <f t="shared" si="16"/>
        <v>36</v>
      </c>
      <c r="B45" s="58" t="s">
        <v>115</v>
      </c>
      <c r="C45" s="59" t="s">
        <v>116</v>
      </c>
      <c r="D45" s="67"/>
      <c r="E45" s="67"/>
      <c r="F45" s="67"/>
      <c r="G45" s="67"/>
      <c r="H45" s="66">
        <f t="shared" si="0"/>
        <v>0</v>
      </c>
      <c r="I45" s="12"/>
      <c r="J45" s="12"/>
      <c r="K45" s="12"/>
      <c r="L45" s="12"/>
      <c r="M45" s="12"/>
      <c r="N45" s="12"/>
      <c r="O45" s="66">
        <f t="shared" si="12"/>
        <v>0</v>
      </c>
      <c r="P45" s="67"/>
      <c r="Q45" s="19"/>
      <c r="R45" s="67"/>
      <c r="S45" s="67"/>
      <c r="T45" s="12"/>
      <c r="U45" s="12"/>
      <c r="V45" s="66">
        <f t="shared" si="13"/>
        <v>0</v>
      </c>
      <c r="W45" s="67"/>
      <c r="X45" s="12"/>
      <c r="Y45" s="12"/>
      <c r="Z45" s="67"/>
      <c r="AA45" s="67"/>
      <c r="AB45" s="67"/>
      <c r="AC45" s="66">
        <f t="shared" si="1"/>
        <v>0</v>
      </c>
      <c r="AD45" s="67"/>
      <c r="AE45" s="67"/>
      <c r="AF45" s="67"/>
      <c r="AG45" s="67"/>
      <c r="AH45" s="66">
        <f t="shared" si="2"/>
        <v>0</v>
      </c>
      <c r="AI45" s="68">
        <f t="shared" si="14"/>
        <v>0</v>
      </c>
    </row>
    <row r="46" spans="1:37" ht="17.25" customHeight="1" x14ac:dyDescent="0.25">
      <c r="A46" s="40">
        <f t="shared" si="16"/>
        <v>37</v>
      </c>
      <c r="B46" s="58" t="s">
        <v>123</v>
      </c>
      <c r="C46" s="59" t="s">
        <v>125</v>
      </c>
      <c r="D46" s="67"/>
      <c r="E46" s="67"/>
      <c r="F46" s="67"/>
      <c r="G46" s="67"/>
      <c r="H46" s="66">
        <f t="shared" si="0"/>
        <v>0</v>
      </c>
      <c r="I46" s="12"/>
      <c r="J46" s="12"/>
      <c r="K46" s="12"/>
      <c r="L46" s="12"/>
      <c r="M46" s="12"/>
      <c r="N46" s="12"/>
      <c r="O46" s="66">
        <f t="shared" si="12"/>
        <v>0</v>
      </c>
      <c r="P46" s="67"/>
      <c r="Q46" s="67"/>
      <c r="R46" s="67"/>
      <c r="S46" s="67"/>
      <c r="T46" s="12"/>
      <c r="U46" s="12"/>
      <c r="V46" s="66">
        <f t="shared" si="13"/>
        <v>0</v>
      </c>
      <c r="W46" s="67"/>
      <c r="X46" s="12"/>
      <c r="Y46" s="12"/>
      <c r="Z46" s="67"/>
      <c r="AA46" s="67"/>
      <c r="AB46" s="67"/>
      <c r="AC46" s="66">
        <f t="shared" si="1"/>
        <v>0</v>
      </c>
      <c r="AD46" s="67"/>
      <c r="AE46" s="67"/>
      <c r="AF46" s="67"/>
      <c r="AG46" s="67"/>
      <c r="AH46" s="66">
        <f t="shared" si="2"/>
        <v>0</v>
      </c>
      <c r="AI46" s="68">
        <f t="shared" si="14"/>
        <v>0</v>
      </c>
    </row>
    <row r="47" spans="1:37" ht="17.25" customHeight="1" x14ac:dyDescent="0.25">
      <c r="A47" s="40">
        <f t="shared" si="16"/>
        <v>38</v>
      </c>
      <c r="B47" s="58" t="s">
        <v>128</v>
      </c>
      <c r="C47" s="59" t="s">
        <v>129</v>
      </c>
      <c r="D47" s="67"/>
      <c r="E47" s="67"/>
      <c r="F47" s="67"/>
      <c r="G47" s="67"/>
      <c r="H47" s="66">
        <f t="shared" si="0"/>
        <v>0</v>
      </c>
      <c r="I47" s="12"/>
      <c r="J47" s="12"/>
      <c r="K47" s="12"/>
      <c r="L47" s="12"/>
      <c r="M47" s="12"/>
      <c r="N47" s="12"/>
      <c r="O47" s="66">
        <f t="shared" si="12"/>
        <v>0</v>
      </c>
      <c r="P47" s="67"/>
      <c r="Q47" s="67"/>
      <c r="R47" s="67"/>
      <c r="S47" s="67"/>
      <c r="T47" s="12"/>
      <c r="U47" s="12"/>
      <c r="V47" s="66">
        <f t="shared" si="13"/>
        <v>0</v>
      </c>
      <c r="W47" s="12"/>
      <c r="X47" s="11"/>
      <c r="Y47" s="12"/>
      <c r="Z47" s="67"/>
      <c r="AA47" s="67"/>
      <c r="AB47" s="67"/>
      <c r="AC47" s="66">
        <f t="shared" si="1"/>
        <v>0</v>
      </c>
      <c r="AD47" s="67"/>
      <c r="AE47" s="67"/>
      <c r="AF47" s="67"/>
      <c r="AG47" s="67"/>
      <c r="AH47" s="66">
        <f t="shared" si="2"/>
        <v>0</v>
      </c>
      <c r="AI47" s="68">
        <f t="shared" si="14"/>
        <v>0</v>
      </c>
    </row>
    <row r="48" spans="1:37" ht="17.25" customHeight="1" x14ac:dyDescent="0.25">
      <c r="A48" s="40">
        <f t="shared" si="16"/>
        <v>39</v>
      </c>
      <c r="B48" s="58" t="s">
        <v>126</v>
      </c>
      <c r="C48" s="59" t="s">
        <v>29</v>
      </c>
      <c r="D48" s="67"/>
      <c r="E48" s="67"/>
      <c r="F48" s="67"/>
      <c r="G48" s="67"/>
      <c r="H48" s="66">
        <f t="shared" si="0"/>
        <v>0</v>
      </c>
      <c r="I48" s="12"/>
      <c r="J48" s="12"/>
      <c r="K48" s="12"/>
      <c r="L48" s="12"/>
      <c r="M48" s="12"/>
      <c r="N48" s="12"/>
      <c r="O48" s="66">
        <f t="shared" si="12"/>
        <v>0</v>
      </c>
      <c r="P48" s="67"/>
      <c r="Q48" s="67"/>
      <c r="R48" s="67"/>
      <c r="S48" s="67"/>
      <c r="T48" s="12"/>
      <c r="U48" s="12"/>
      <c r="V48" s="66">
        <f t="shared" si="13"/>
        <v>0</v>
      </c>
      <c r="W48" s="12"/>
      <c r="X48" s="11"/>
      <c r="Y48" s="12"/>
      <c r="Z48" s="67"/>
      <c r="AA48" s="67"/>
      <c r="AB48" s="67"/>
      <c r="AC48" s="66">
        <f t="shared" si="1"/>
        <v>0</v>
      </c>
      <c r="AD48" s="67"/>
      <c r="AE48" s="67"/>
      <c r="AF48" s="67"/>
      <c r="AG48" s="67"/>
      <c r="AH48" s="66">
        <f t="shared" si="2"/>
        <v>0</v>
      </c>
      <c r="AI48" s="68">
        <f t="shared" si="14"/>
        <v>0</v>
      </c>
    </row>
    <row r="49" spans="1:35" ht="17.25" customHeight="1" x14ac:dyDescent="0.25">
      <c r="A49" s="40">
        <f t="shared" si="16"/>
        <v>40</v>
      </c>
      <c r="B49" s="58" t="s">
        <v>132</v>
      </c>
      <c r="C49" s="59" t="s">
        <v>16</v>
      </c>
      <c r="D49" s="67"/>
      <c r="E49" s="67"/>
      <c r="F49" s="67"/>
      <c r="G49" s="67"/>
      <c r="H49" s="66">
        <f t="shared" si="0"/>
        <v>0</v>
      </c>
      <c r="I49" s="12"/>
      <c r="J49" s="12"/>
      <c r="K49" s="12"/>
      <c r="L49" s="12"/>
      <c r="M49" s="12"/>
      <c r="N49" s="12"/>
      <c r="O49" s="66"/>
      <c r="P49" s="67"/>
      <c r="Q49" s="67"/>
      <c r="R49" s="67"/>
      <c r="S49" s="67"/>
      <c r="T49" s="12"/>
      <c r="U49" s="12"/>
      <c r="V49" s="66"/>
      <c r="W49" s="12"/>
      <c r="X49" s="11"/>
      <c r="Y49" s="12"/>
      <c r="Z49" s="67"/>
      <c r="AA49" s="67"/>
      <c r="AB49" s="67"/>
      <c r="AC49" s="66"/>
      <c r="AD49" s="67"/>
      <c r="AE49" s="67"/>
      <c r="AF49" s="67"/>
      <c r="AG49" s="67"/>
      <c r="AH49" s="66">
        <f t="shared" si="2"/>
        <v>0</v>
      </c>
      <c r="AI49" s="68">
        <f t="shared" si="14"/>
        <v>0</v>
      </c>
    </row>
    <row r="50" spans="1:35" ht="29.25" customHeight="1" x14ac:dyDescent="0.25">
      <c r="A50" s="40">
        <f t="shared" si="16"/>
        <v>41</v>
      </c>
      <c r="B50" s="58" t="s">
        <v>133</v>
      </c>
      <c r="C50" s="59" t="s">
        <v>140</v>
      </c>
      <c r="D50" s="67"/>
      <c r="E50" s="67"/>
      <c r="F50" s="67"/>
      <c r="G50" s="67"/>
      <c r="H50" s="66">
        <f t="shared" si="0"/>
        <v>0</v>
      </c>
      <c r="I50" s="12"/>
      <c r="J50" s="12"/>
      <c r="K50" s="12"/>
      <c r="L50" s="12"/>
      <c r="M50" s="12"/>
      <c r="N50" s="12"/>
      <c r="O50" s="66"/>
      <c r="P50" s="67"/>
      <c r="Q50" s="67"/>
      <c r="R50" s="67"/>
      <c r="S50" s="67"/>
      <c r="T50" s="12"/>
      <c r="U50" s="12"/>
      <c r="V50" s="66"/>
      <c r="W50" s="12"/>
      <c r="X50" s="11"/>
      <c r="Y50" s="12"/>
      <c r="Z50" s="67"/>
      <c r="AA50" s="67"/>
      <c r="AB50" s="67"/>
      <c r="AC50" s="66"/>
      <c r="AD50" s="67"/>
      <c r="AE50" s="67"/>
      <c r="AF50" s="67"/>
      <c r="AG50" s="67"/>
      <c r="AH50" s="66">
        <f t="shared" si="2"/>
        <v>0</v>
      </c>
      <c r="AI50" s="68">
        <f t="shared" si="14"/>
        <v>0</v>
      </c>
    </row>
    <row r="51" spans="1:35" ht="29.25" customHeight="1" x14ac:dyDescent="0.25">
      <c r="A51" s="40">
        <f t="shared" si="16"/>
        <v>42</v>
      </c>
      <c r="B51" s="43" t="s">
        <v>141</v>
      </c>
      <c r="C51" s="59" t="s">
        <v>142</v>
      </c>
      <c r="D51" s="67"/>
      <c r="E51" s="67"/>
      <c r="F51" s="67"/>
      <c r="G51" s="67"/>
      <c r="H51" s="66">
        <f t="shared" si="0"/>
        <v>0</v>
      </c>
      <c r="I51" s="12"/>
      <c r="J51" s="12"/>
      <c r="K51" s="12"/>
      <c r="L51" s="12"/>
      <c r="M51" s="12"/>
      <c r="N51" s="12"/>
      <c r="O51" s="66"/>
      <c r="P51" s="67"/>
      <c r="Q51" s="67"/>
      <c r="R51" s="67"/>
      <c r="S51" s="67"/>
      <c r="T51" s="12"/>
      <c r="U51" s="12"/>
      <c r="V51" s="66"/>
      <c r="W51" s="12"/>
      <c r="X51" s="11"/>
      <c r="Y51" s="12"/>
      <c r="Z51" s="67"/>
      <c r="AA51" s="67"/>
      <c r="AB51" s="67"/>
      <c r="AC51" s="66"/>
      <c r="AD51" s="67"/>
      <c r="AE51" s="67"/>
      <c r="AF51" s="67"/>
      <c r="AG51" s="67"/>
      <c r="AH51" s="66">
        <f t="shared" si="2"/>
        <v>0</v>
      </c>
      <c r="AI51" s="68">
        <f t="shared" si="14"/>
        <v>0</v>
      </c>
    </row>
    <row r="52" spans="1:35" ht="19.5" customHeight="1" x14ac:dyDescent="0.25">
      <c r="A52" s="40">
        <f t="shared" si="16"/>
        <v>43</v>
      </c>
      <c r="B52" s="64" t="s">
        <v>143</v>
      </c>
      <c r="C52" s="59" t="s">
        <v>16</v>
      </c>
      <c r="D52" s="67"/>
      <c r="E52" s="67"/>
      <c r="F52" s="67"/>
      <c r="G52" s="67"/>
      <c r="H52" s="66"/>
      <c r="I52" s="12"/>
      <c r="J52" s="12"/>
      <c r="K52" s="12"/>
      <c r="L52" s="12"/>
      <c r="M52" s="12"/>
      <c r="N52" s="12"/>
      <c r="O52" s="66"/>
      <c r="P52" s="67"/>
      <c r="Q52" s="67"/>
      <c r="R52" s="67"/>
      <c r="S52" s="67"/>
      <c r="T52" s="12"/>
      <c r="U52" s="12"/>
      <c r="V52" s="66"/>
      <c r="W52" s="12"/>
      <c r="X52" s="11"/>
      <c r="Y52" s="12"/>
      <c r="Z52" s="67"/>
      <c r="AA52" s="67"/>
      <c r="AB52" s="67"/>
      <c r="AC52" s="66"/>
      <c r="AD52" s="67"/>
      <c r="AE52" s="67"/>
      <c r="AF52" s="67"/>
      <c r="AG52" s="67"/>
      <c r="AH52" s="66">
        <f t="shared" si="2"/>
        <v>0</v>
      </c>
      <c r="AI52" s="68">
        <f t="shared" si="14"/>
        <v>0</v>
      </c>
    </row>
    <row r="53" spans="1:35" ht="19.5" customHeight="1" x14ac:dyDescent="0.25">
      <c r="A53" s="40">
        <f t="shared" si="16"/>
        <v>44</v>
      </c>
      <c r="B53" s="64" t="s">
        <v>144</v>
      </c>
      <c r="C53" s="59" t="s">
        <v>145</v>
      </c>
      <c r="D53" s="67"/>
      <c r="E53" s="67"/>
      <c r="F53" s="67"/>
      <c r="G53" s="67"/>
      <c r="H53" s="66"/>
      <c r="I53" s="12"/>
      <c r="J53" s="12"/>
      <c r="K53" s="12"/>
      <c r="L53" s="12"/>
      <c r="M53" s="12"/>
      <c r="N53" s="12"/>
      <c r="O53" s="66"/>
      <c r="P53" s="67"/>
      <c r="Q53" s="67"/>
      <c r="R53" s="67"/>
      <c r="S53" s="67"/>
      <c r="T53" s="12"/>
      <c r="U53" s="12"/>
      <c r="V53" s="66"/>
      <c r="W53" s="12"/>
      <c r="X53" s="11"/>
      <c r="Y53" s="12"/>
      <c r="Z53" s="67"/>
      <c r="AA53" s="67"/>
      <c r="AB53" s="67"/>
      <c r="AC53" s="66"/>
      <c r="AD53" s="67"/>
      <c r="AE53" s="67"/>
      <c r="AF53" s="67"/>
      <c r="AG53" s="67"/>
      <c r="AH53" s="66">
        <f t="shared" si="2"/>
        <v>0</v>
      </c>
      <c r="AI53" s="68">
        <f t="shared" si="14"/>
        <v>0</v>
      </c>
    </row>
    <row r="54" spans="1:35" ht="19.5" customHeight="1" x14ac:dyDescent="0.25">
      <c r="A54" s="40">
        <f t="shared" si="16"/>
        <v>45</v>
      </c>
      <c r="B54" s="64" t="s">
        <v>146</v>
      </c>
      <c r="C54" s="59" t="s">
        <v>32</v>
      </c>
      <c r="D54" s="67"/>
      <c r="E54" s="67"/>
      <c r="F54" s="67"/>
      <c r="G54" s="67"/>
      <c r="H54" s="66"/>
      <c r="I54" s="12"/>
      <c r="J54" s="12"/>
      <c r="K54" s="12"/>
      <c r="L54" s="12"/>
      <c r="M54" s="12"/>
      <c r="N54" s="12"/>
      <c r="O54" s="66"/>
      <c r="P54" s="67"/>
      <c r="Q54" s="67"/>
      <c r="R54" s="67"/>
      <c r="S54" s="67"/>
      <c r="T54" s="12"/>
      <c r="U54" s="12"/>
      <c r="V54" s="66"/>
      <c r="W54" s="12"/>
      <c r="X54" s="11"/>
      <c r="Y54" s="12"/>
      <c r="Z54" s="67"/>
      <c r="AA54" s="67"/>
      <c r="AB54" s="67"/>
      <c r="AC54" s="66"/>
      <c r="AD54" s="67"/>
      <c r="AE54" s="67"/>
      <c r="AF54" s="67"/>
      <c r="AG54" s="67"/>
      <c r="AH54" s="66">
        <f t="shared" si="2"/>
        <v>0</v>
      </c>
      <c r="AI54" s="68">
        <f t="shared" si="14"/>
        <v>0</v>
      </c>
    </row>
    <row r="55" spans="1:35" ht="19.5" customHeight="1" x14ac:dyDescent="0.25">
      <c r="A55" s="40">
        <f t="shared" si="16"/>
        <v>46</v>
      </c>
      <c r="B55" s="58" t="s">
        <v>150</v>
      </c>
      <c r="C55" s="59" t="s">
        <v>88</v>
      </c>
      <c r="D55" s="67"/>
      <c r="E55" s="67"/>
      <c r="F55" s="67"/>
      <c r="G55" s="67"/>
      <c r="H55" s="66">
        <f t="shared" si="0"/>
        <v>0</v>
      </c>
      <c r="I55" s="12"/>
      <c r="J55" s="12"/>
      <c r="K55" s="12"/>
      <c r="L55" s="12"/>
      <c r="M55" s="12"/>
      <c r="N55" s="12"/>
      <c r="O55" s="66">
        <f t="shared" si="12"/>
        <v>0</v>
      </c>
      <c r="P55" s="67"/>
      <c r="Q55" s="67"/>
      <c r="R55" s="67"/>
      <c r="S55" s="67"/>
      <c r="T55" s="12"/>
      <c r="U55" s="12"/>
      <c r="V55" s="66">
        <f t="shared" si="13"/>
        <v>0</v>
      </c>
      <c r="W55" s="12"/>
      <c r="X55" s="11"/>
      <c r="Y55" s="12"/>
      <c r="Z55" s="67"/>
      <c r="AA55" s="67"/>
      <c r="AB55" s="67"/>
      <c r="AC55" s="66">
        <f t="shared" si="1"/>
        <v>0</v>
      </c>
      <c r="AD55" s="67"/>
      <c r="AE55" s="67"/>
      <c r="AF55" s="67"/>
      <c r="AG55" s="67"/>
      <c r="AH55" s="66">
        <f t="shared" si="2"/>
        <v>0</v>
      </c>
      <c r="AI55" s="68">
        <f t="shared" si="14"/>
        <v>0</v>
      </c>
    </row>
    <row r="56" spans="1:35" ht="17.25" customHeight="1" x14ac:dyDescent="0.25">
      <c r="A56" s="40">
        <f t="shared" si="16"/>
        <v>47</v>
      </c>
      <c r="B56" s="58" t="s">
        <v>152</v>
      </c>
      <c r="C56" s="59" t="s">
        <v>6</v>
      </c>
      <c r="D56" s="67"/>
      <c r="E56" s="67"/>
      <c r="F56" s="67"/>
      <c r="G56" s="67"/>
      <c r="H56" s="66"/>
      <c r="I56" s="12"/>
      <c r="J56" s="12"/>
      <c r="K56" s="12"/>
      <c r="L56" s="12"/>
      <c r="M56" s="12"/>
      <c r="N56" s="12"/>
      <c r="O56" s="66"/>
      <c r="P56" s="67"/>
      <c r="Q56" s="67"/>
      <c r="R56" s="67"/>
      <c r="S56" s="67"/>
      <c r="T56" s="12"/>
      <c r="U56" s="12"/>
      <c r="V56" s="66"/>
      <c r="W56" s="12"/>
      <c r="X56" s="11"/>
      <c r="Y56" s="12"/>
      <c r="Z56" s="67"/>
      <c r="AA56" s="67"/>
      <c r="AB56" s="67"/>
      <c r="AC56" s="66"/>
      <c r="AD56" s="67"/>
      <c r="AE56" s="67"/>
      <c r="AF56" s="67"/>
      <c r="AG56" s="67"/>
      <c r="AH56" s="66">
        <f t="shared" si="2"/>
        <v>0</v>
      </c>
      <c r="AI56" s="68">
        <f t="shared" si="14"/>
        <v>0</v>
      </c>
    </row>
    <row r="57" spans="1:35" ht="17.25" customHeight="1" x14ac:dyDescent="0.25">
      <c r="A57" s="40">
        <f t="shared" si="16"/>
        <v>48</v>
      </c>
      <c r="B57" s="58" t="s">
        <v>156</v>
      </c>
      <c r="C57" s="59" t="s">
        <v>16</v>
      </c>
      <c r="D57" s="67"/>
      <c r="E57" s="67"/>
      <c r="F57" s="67"/>
      <c r="G57" s="67"/>
      <c r="H57" s="66"/>
      <c r="I57" s="12"/>
      <c r="J57" s="12"/>
      <c r="K57" s="12"/>
      <c r="L57" s="12"/>
      <c r="M57" s="12"/>
      <c r="N57" s="12"/>
      <c r="O57" s="66"/>
      <c r="P57" s="67"/>
      <c r="Q57" s="67"/>
      <c r="R57" s="67"/>
      <c r="S57" s="67"/>
      <c r="T57" s="12"/>
      <c r="U57" s="12"/>
      <c r="V57" s="66"/>
      <c r="W57" s="12"/>
      <c r="X57" s="11"/>
      <c r="Y57" s="12"/>
      <c r="Z57" s="67"/>
      <c r="AA57" s="67"/>
      <c r="AB57" s="67"/>
      <c r="AC57" s="66"/>
      <c r="AD57" s="67"/>
      <c r="AE57" s="67"/>
      <c r="AF57" s="67"/>
      <c r="AG57" s="67" t="e">
        <f>+#REF!</f>
        <v>#REF!</v>
      </c>
      <c r="AH57" s="66" t="e">
        <f>SUM(AD57:AG57)</f>
        <v>#REF!</v>
      </c>
      <c r="AI57" s="68" t="e">
        <f t="shared" si="14"/>
        <v>#REF!</v>
      </c>
    </row>
    <row r="58" spans="1:35" ht="17.25" customHeight="1" x14ac:dyDescent="0.25">
      <c r="A58" s="40">
        <f t="shared" si="16"/>
        <v>49</v>
      </c>
      <c r="B58" s="58" t="s">
        <v>160</v>
      </c>
      <c r="C58" s="59" t="s">
        <v>16</v>
      </c>
      <c r="D58" s="67"/>
      <c r="E58" s="67"/>
      <c r="F58" s="67"/>
      <c r="G58" s="67"/>
      <c r="H58" s="66"/>
      <c r="I58" s="12"/>
      <c r="J58" s="12"/>
      <c r="K58" s="12"/>
      <c r="L58" s="12"/>
      <c r="M58" s="12"/>
      <c r="N58" s="12"/>
      <c r="O58" s="66"/>
      <c r="P58" s="67"/>
      <c r="Q58" s="67"/>
      <c r="R58" s="67"/>
      <c r="S58" s="67"/>
      <c r="T58" s="12"/>
      <c r="U58" s="12"/>
      <c r="V58" s="66"/>
      <c r="W58" s="12"/>
      <c r="X58" s="11"/>
      <c r="Y58" s="12"/>
      <c r="Z58" s="67"/>
      <c r="AA58" s="67"/>
      <c r="AB58" s="67"/>
      <c r="AC58" s="66"/>
      <c r="AD58" s="67"/>
      <c r="AE58" s="67"/>
      <c r="AF58" s="67"/>
      <c r="AG58" s="67"/>
      <c r="AH58" s="66">
        <f t="shared" ref="AH58:AH61" si="17">SUM(AD58:AG58)</f>
        <v>0</v>
      </c>
      <c r="AI58" s="68">
        <f t="shared" si="14"/>
        <v>0</v>
      </c>
    </row>
    <row r="59" spans="1:35" ht="17.25" customHeight="1" x14ac:dyDescent="0.25">
      <c r="A59" s="40">
        <f t="shared" si="16"/>
        <v>50</v>
      </c>
      <c r="B59" s="58" t="s">
        <v>159</v>
      </c>
      <c r="C59" s="59" t="s">
        <v>158</v>
      </c>
      <c r="D59" s="67"/>
      <c r="E59" s="67"/>
      <c r="F59" s="67"/>
      <c r="G59" s="67"/>
      <c r="H59" s="66"/>
      <c r="I59" s="12"/>
      <c r="J59" s="12"/>
      <c r="K59" s="12"/>
      <c r="L59" s="12"/>
      <c r="M59" s="12"/>
      <c r="N59" s="12"/>
      <c r="O59" s="66"/>
      <c r="P59" s="67"/>
      <c r="Q59" s="67"/>
      <c r="R59" s="67"/>
      <c r="S59" s="67"/>
      <c r="T59" s="12"/>
      <c r="U59" s="12"/>
      <c r="V59" s="66"/>
      <c r="W59" s="12"/>
      <c r="X59" s="11"/>
      <c r="Y59" s="12"/>
      <c r="Z59" s="67"/>
      <c r="AA59" s="67"/>
      <c r="AB59" s="67"/>
      <c r="AC59" s="66"/>
      <c r="AD59" s="67"/>
      <c r="AE59" s="67"/>
      <c r="AF59" s="67"/>
      <c r="AG59" s="67"/>
      <c r="AH59" s="66">
        <f t="shared" si="17"/>
        <v>0</v>
      </c>
      <c r="AI59" s="68">
        <f t="shared" si="14"/>
        <v>0</v>
      </c>
    </row>
    <row r="60" spans="1:35" ht="17.25" customHeight="1" x14ac:dyDescent="0.25">
      <c r="A60" s="40">
        <f t="shared" si="16"/>
        <v>51</v>
      </c>
      <c r="B60" s="58" t="s">
        <v>168</v>
      </c>
      <c r="C60" s="59" t="s">
        <v>13</v>
      </c>
      <c r="D60" s="67"/>
      <c r="E60" s="67"/>
      <c r="F60" s="67"/>
      <c r="G60" s="67"/>
      <c r="H60" s="66"/>
      <c r="I60" s="12"/>
      <c r="J60" s="12"/>
      <c r="K60" s="12"/>
      <c r="L60" s="12"/>
      <c r="M60" s="12"/>
      <c r="N60" s="12"/>
      <c r="O60" s="66"/>
      <c r="P60" s="67"/>
      <c r="Q60" s="67"/>
      <c r="R60" s="67"/>
      <c r="S60" s="67"/>
      <c r="T60" s="12"/>
      <c r="U60" s="12"/>
      <c r="V60" s="66"/>
      <c r="W60" s="12"/>
      <c r="X60" s="11"/>
      <c r="Y60" s="12"/>
      <c r="Z60" s="67"/>
      <c r="AA60" s="67"/>
      <c r="AB60" s="67"/>
      <c r="AC60" s="66"/>
      <c r="AD60" s="67"/>
      <c r="AE60" s="67"/>
      <c r="AF60" s="67"/>
      <c r="AG60" s="67"/>
      <c r="AH60" s="66">
        <f t="shared" si="17"/>
        <v>0</v>
      </c>
      <c r="AI60" s="68">
        <f t="shared" si="14"/>
        <v>0</v>
      </c>
    </row>
    <row r="61" spans="1:35" ht="17.25" customHeight="1" x14ac:dyDescent="0.25">
      <c r="A61" s="40">
        <f t="shared" si="16"/>
        <v>52</v>
      </c>
      <c r="B61" s="58" t="s">
        <v>162</v>
      </c>
      <c r="C61" s="59" t="s">
        <v>163</v>
      </c>
      <c r="D61" s="67"/>
      <c r="E61" s="67"/>
      <c r="F61" s="67"/>
      <c r="G61" s="67"/>
      <c r="H61" s="66">
        <f t="shared" ref="H61" si="18">SUM(D61:G61)</f>
        <v>0</v>
      </c>
      <c r="I61" s="12"/>
      <c r="J61" s="12"/>
      <c r="K61" s="12"/>
      <c r="L61" s="12"/>
      <c r="M61" s="12"/>
      <c r="N61" s="12"/>
      <c r="O61" s="66">
        <f t="shared" ref="O61" si="19">SUM(I61:N61)</f>
        <v>0</v>
      </c>
      <c r="P61" s="67"/>
      <c r="Q61" s="67"/>
      <c r="R61" s="67"/>
      <c r="S61" s="67"/>
      <c r="T61" s="12"/>
      <c r="U61" s="12"/>
      <c r="V61" s="66">
        <f t="shared" ref="V61" si="20">SUM(P61:U61)</f>
        <v>0</v>
      </c>
      <c r="W61" s="67"/>
      <c r="X61" s="12"/>
      <c r="Y61" s="11"/>
      <c r="Z61" s="67"/>
      <c r="AA61" s="67"/>
      <c r="AB61" s="67"/>
      <c r="AC61" s="66">
        <f t="shared" ref="AC61" si="21">SUM(W61:AB61)</f>
        <v>0</v>
      </c>
      <c r="AD61" s="67"/>
      <c r="AE61" s="67"/>
      <c r="AF61" s="67"/>
      <c r="AG61" s="67"/>
      <c r="AH61" s="66">
        <f t="shared" si="17"/>
        <v>0</v>
      </c>
      <c r="AI61" s="68">
        <f t="shared" si="14"/>
        <v>0</v>
      </c>
    </row>
    <row r="62" spans="1:35" ht="17.25" customHeight="1" x14ac:dyDescent="0.25">
      <c r="A62" s="40">
        <f t="shared" si="16"/>
        <v>53</v>
      </c>
      <c r="B62" s="58" t="s">
        <v>188</v>
      </c>
      <c r="C62" s="59" t="s">
        <v>88</v>
      </c>
      <c r="D62" s="67"/>
      <c r="E62" s="67"/>
      <c r="F62" s="67"/>
      <c r="G62" s="67"/>
      <c r="H62" s="66"/>
      <c r="I62" s="12"/>
      <c r="J62" s="12"/>
      <c r="K62" s="12"/>
      <c r="L62" s="12"/>
      <c r="M62" s="12"/>
      <c r="N62" s="12"/>
      <c r="O62" s="66"/>
      <c r="P62" s="67"/>
      <c r="Q62" s="67"/>
      <c r="R62" s="67"/>
      <c r="S62" s="67"/>
      <c r="T62" s="12"/>
      <c r="U62" s="12"/>
      <c r="V62" s="66"/>
      <c r="W62" s="67"/>
      <c r="X62" s="12"/>
      <c r="Y62" s="11"/>
      <c r="Z62" s="67"/>
      <c r="AA62" s="67"/>
      <c r="AB62" s="67"/>
      <c r="AC62" s="66"/>
      <c r="AD62" s="67"/>
      <c r="AE62" s="67"/>
      <c r="AF62" s="67"/>
      <c r="AG62" s="67">
        <f>+'ALEJANDRO CHILE'!F34</f>
        <v>169400</v>
      </c>
      <c r="AH62" s="66">
        <f t="shared" ref="AH62:AH64" si="22">SUM(AD62:AG62)</f>
        <v>169400</v>
      </c>
      <c r="AI62" s="68">
        <f t="shared" ref="AI62:AI64" si="23">H62+O62+V62+AC62+AH62</f>
        <v>169400</v>
      </c>
    </row>
    <row r="63" spans="1:35" ht="17.25" customHeight="1" x14ac:dyDescent="0.25">
      <c r="A63" s="40">
        <f t="shared" si="16"/>
        <v>54</v>
      </c>
      <c r="B63" s="58" t="s">
        <v>190</v>
      </c>
      <c r="C63" s="59" t="s">
        <v>88</v>
      </c>
      <c r="D63" s="67"/>
      <c r="E63" s="67"/>
      <c r="F63" s="67"/>
      <c r="G63" s="67"/>
      <c r="H63" s="66"/>
      <c r="I63" s="12"/>
      <c r="J63" s="12"/>
      <c r="K63" s="12"/>
      <c r="L63" s="12"/>
      <c r="M63" s="12"/>
      <c r="N63" s="12"/>
      <c r="O63" s="66"/>
      <c r="P63" s="67"/>
      <c r="Q63" s="67"/>
      <c r="R63" s="67"/>
      <c r="S63" s="67"/>
      <c r="T63" s="12"/>
      <c r="U63" s="12"/>
      <c r="V63" s="66"/>
      <c r="W63" s="67"/>
      <c r="X63" s="12"/>
      <c r="Y63" s="11"/>
      <c r="Z63" s="67"/>
      <c r="AA63" s="67"/>
      <c r="AB63" s="67"/>
      <c r="AC63" s="66"/>
      <c r="AD63" s="67"/>
      <c r="AE63" s="67"/>
      <c r="AF63" s="67"/>
      <c r="AG63" s="67">
        <f>+'SANDRA CHILE'!F34</f>
        <v>165733.48000000001</v>
      </c>
      <c r="AH63" s="66">
        <f t="shared" si="22"/>
        <v>165733.48000000001</v>
      </c>
      <c r="AI63" s="68">
        <f t="shared" si="23"/>
        <v>165733.48000000001</v>
      </c>
    </row>
    <row r="64" spans="1:35" ht="17.25" customHeight="1" x14ac:dyDescent="0.25">
      <c r="A64" s="40">
        <f t="shared" si="16"/>
        <v>55</v>
      </c>
      <c r="B64" s="58" t="s">
        <v>169</v>
      </c>
      <c r="C64" s="59" t="s">
        <v>32</v>
      </c>
      <c r="D64" s="67"/>
      <c r="E64" s="67"/>
      <c r="F64" s="67"/>
      <c r="G64" s="67"/>
      <c r="H64" s="66">
        <f t="shared" si="0"/>
        <v>0</v>
      </c>
      <c r="I64" s="12"/>
      <c r="J64" s="12"/>
      <c r="K64" s="12"/>
      <c r="L64" s="12"/>
      <c r="M64" s="12"/>
      <c r="N64" s="12"/>
      <c r="O64" s="66">
        <f t="shared" si="12"/>
        <v>0</v>
      </c>
      <c r="P64" s="67"/>
      <c r="Q64" s="67"/>
      <c r="R64" s="67"/>
      <c r="S64" s="67"/>
      <c r="T64" s="12"/>
      <c r="U64" s="12"/>
      <c r="V64" s="66">
        <f t="shared" si="13"/>
        <v>0</v>
      </c>
      <c r="W64" s="67"/>
      <c r="X64" s="12"/>
      <c r="Y64" s="11"/>
      <c r="Z64" s="67"/>
      <c r="AA64" s="67"/>
      <c r="AB64" s="67"/>
      <c r="AC64" s="66">
        <f t="shared" si="1"/>
        <v>0</v>
      </c>
      <c r="AD64" s="67"/>
      <c r="AE64" s="67"/>
      <c r="AF64" s="67"/>
      <c r="AG64" s="67"/>
      <c r="AH64" s="66">
        <f t="shared" si="22"/>
        <v>0</v>
      </c>
      <c r="AI64" s="68">
        <f t="shared" si="23"/>
        <v>0</v>
      </c>
    </row>
    <row r="65" spans="1:37" ht="17.25" customHeight="1" x14ac:dyDescent="0.25">
      <c r="A65" s="40">
        <f t="shared" si="16"/>
        <v>56</v>
      </c>
      <c r="B65" s="58" t="s">
        <v>194</v>
      </c>
      <c r="C65" s="59" t="s">
        <v>32</v>
      </c>
      <c r="D65" s="67"/>
      <c r="E65" s="67"/>
      <c r="F65" s="67"/>
      <c r="G65" s="67"/>
      <c r="H65" s="66"/>
      <c r="I65" s="12"/>
      <c r="J65" s="12"/>
      <c r="K65" s="12"/>
      <c r="L65" s="12"/>
      <c r="M65" s="12"/>
      <c r="N65" s="12"/>
      <c r="O65" s="66"/>
      <c r="P65" s="67"/>
      <c r="Q65" s="67"/>
      <c r="R65" s="67"/>
      <c r="S65" s="67"/>
      <c r="T65" s="12"/>
      <c r="U65" s="12"/>
      <c r="V65" s="66"/>
      <c r="W65" s="67"/>
      <c r="X65" s="12"/>
      <c r="Y65" s="11"/>
      <c r="Z65" s="67"/>
      <c r="AA65" s="67"/>
      <c r="AB65" s="67"/>
      <c r="AC65" s="66"/>
      <c r="AD65" s="67"/>
      <c r="AE65" s="67"/>
      <c r="AF65" s="67"/>
      <c r="AG65" s="67">
        <v>44735</v>
      </c>
      <c r="AH65" s="66">
        <f t="shared" ref="AH65" si="24">SUM(AD65:AG65)</f>
        <v>44735</v>
      </c>
      <c r="AI65" s="68">
        <f t="shared" ref="AI65" si="25">H65+O65+V65+AC65+AH65</f>
        <v>44735</v>
      </c>
    </row>
    <row r="66" spans="1:37" ht="17.25" customHeight="1" x14ac:dyDescent="0.25">
      <c r="A66" s="40">
        <f>1+A64</f>
        <v>56</v>
      </c>
      <c r="B66" s="58" t="s">
        <v>184</v>
      </c>
      <c r="C66" s="59" t="s">
        <v>32</v>
      </c>
      <c r="D66" s="67"/>
      <c r="E66" s="67"/>
      <c r="F66" s="67"/>
      <c r="G66" s="67"/>
      <c r="H66" s="66">
        <f t="shared" si="0"/>
        <v>0</v>
      </c>
      <c r="I66" s="12"/>
      <c r="J66" s="12"/>
      <c r="K66" s="12"/>
      <c r="L66" s="12"/>
      <c r="M66" s="12"/>
      <c r="N66" s="12"/>
      <c r="O66" s="66">
        <f t="shared" si="12"/>
        <v>0</v>
      </c>
      <c r="P66" s="67"/>
      <c r="Q66" s="67"/>
      <c r="R66" s="67"/>
      <c r="S66" s="67"/>
      <c r="T66" s="67"/>
      <c r="U66" s="67"/>
      <c r="V66" s="66">
        <f t="shared" si="13"/>
        <v>0</v>
      </c>
      <c r="W66" s="67"/>
      <c r="X66" s="67"/>
      <c r="Y66" s="67"/>
      <c r="Z66" s="67"/>
      <c r="AA66" s="67"/>
      <c r="AB66" s="67"/>
      <c r="AC66" s="66">
        <f t="shared" si="1"/>
        <v>0</v>
      </c>
      <c r="AD66" s="67"/>
      <c r="AE66" s="67"/>
      <c r="AF66" s="67"/>
      <c r="AG66" s="67">
        <v>26024</v>
      </c>
      <c r="AH66" s="66">
        <f t="shared" si="2"/>
        <v>26024</v>
      </c>
      <c r="AI66" s="68">
        <f t="shared" si="14"/>
        <v>26024</v>
      </c>
    </row>
    <row r="67" spans="1:37" ht="16.5" thickBot="1" x14ac:dyDescent="0.3">
      <c r="A67" s="274" t="s">
        <v>79</v>
      </c>
      <c r="B67" s="274"/>
      <c r="C67" s="274"/>
      <c r="D67" s="92"/>
      <c r="E67" s="92"/>
      <c r="F67" s="92"/>
      <c r="G67" s="92">
        <f>SUM(G24:G66)</f>
        <v>0</v>
      </c>
      <c r="H67" s="91">
        <f t="shared" si="0"/>
        <v>0</v>
      </c>
      <c r="I67" s="92">
        <f t="shared" ref="I67:N67" si="26">SUM(I24:I66)</f>
        <v>0</v>
      </c>
      <c r="J67" s="92">
        <f t="shared" si="26"/>
        <v>0</v>
      </c>
      <c r="K67" s="92">
        <f t="shared" si="26"/>
        <v>0</v>
      </c>
      <c r="L67" s="92">
        <f t="shared" si="26"/>
        <v>0</v>
      </c>
      <c r="M67" s="92">
        <f t="shared" si="26"/>
        <v>0</v>
      </c>
      <c r="N67" s="92">
        <f t="shared" si="26"/>
        <v>0</v>
      </c>
      <c r="O67" s="91">
        <f>SUM(I67:N67)</f>
        <v>0</v>
      </c>
      <c r="P67" s="92">
        <f t="shared" ref="P67:U67" si="27">SUM(P24:P66)</f>
        <v>0</v>
      </c>
      <c r="Q67" s="92">
        <f t="shared" si="27"/>
        <v>0</v>
      </c>
      <c r="R67" s="92">
        <f t="shared" si="27"/>
        <v>0</v>
      </c>
      <c r="S67" s="92">
        <f t="shared" si="27"/>
        <v>0</v>
      </c>
      <c r="T67" s="92">
        <f t="shared" si="27"/>
        <v>0</v>
      </c>
      <c r="U67" s="92">
        <f t="shared" si="27"/>
        <v>0</v>
      </c>
      <c r="V67" s="91">
        <f>SUM(P67:U67)</f>
        <v>0</v>
      </c>
      <c r="W67" s="92">
        <f t="shared" ref="W67:AB67" si="28">SUM(W24:W66)</f>
        <v>0</v>
      </c>
      <c r="X67" s="92">
        <f t="shared" si="28"/>
        <v>0</v>
      </c>
      <c r="Y67" s="92">
        <f t="shared" si="28"/>
        <v>0</v>
      </c>
      <c r="Z67" s="92">
        <f t="shared" si="28"/>
        <v>0</v>
      </c>
      <c r="AA67" s="92">
        <f t="shared" si="28"/>
        <v>0</v>
      </c>
      <c r="AB67" s="92">
        <f t="shared" si="28"/>
        <v>0</v>
      </c>
      <c r="AC67" s="91">
        <f t="shared" si="1"/>
        <v>0</v>
      </c>
      <c r="AD67" s="92">
        <f>SUM(AD24:AD66)</f>
        <v>0</v>
      </c>
      <c r="AE67" s="92">
        <f t="shared" ref="AE67:AF67" si="29">SUM(AE24:AE66)</f>
        <v>0</v>
      </c>
      <c r="AF67" s="92">
        <f t="shared" si="29"/>
        <v>0</v>
      </c>
      <c r="AG67" s="92" t="e">
        <f>SUM(AG24:AG66)</f>
        <v>#REF!</v>
      </c>
      <c r="AH67" s="66" t="e">
        <f>SUM(AD67:AG67)</f>
        <v>#REF!</v>
      </c>
      <c r="AI67" s="70" t="e">
        <f>SUM(AI24:AI66)</f>
        <v>#REF!</v>
      </c>
    </row>
    <row r="68" spans="1:37" ht="29.25" customHeight="1" thickTop="1" x14ac:dyDescent="0.25">
      <c r="A68" s="269" t="s">
        <v>78</v>
      </c>
      <c r="B68" s="269"/>
      <c r="C68" s="269"/>
      <c r="D68" s="71">
        <f>+D23+D67</f>
        <v>0</v>
      </c>
      <c r="E68" s="71">
        <f>+E23+E67</f>
        <v>0</v>
      </c>
      <c r="F68" s="71">
        <f>+F23+F67</f>
        <v>0</v>
      </c>
      <c r="G68" s="71">
        <f>+G23+G67</f>
        <v>0</v>
      </c>
      <c r="H68" s="66">
        <f t="shared" si="0"/>
        <v>0</v>
      </c>
      <c r="I68" s="71">
        <f t="shared" ref="I68:N68" si="30">+I23+I67</f>
        <v>0</v>
      </c>
      <c r="J68" s="71">
        <f t="shared" si="30"/>
        <v>0</v>
      </c>
      <c r="K68" s="71">
        <f t="shared" si="30"/>
        <v>0</v>
      </c>
      <c r="L68" s="71">
        <f t="shared" si="30"/>
        <v>0</v>
      </c>
      <c r="M68" s="71">
        <f t="shared" si="30"/>
        <v>0</v>
      </c>
      <c r="N68" s="71">
        <f t="shared" si="30"/>
        <v>0</v>
      </c>
      <c r="O68" s="66">
        <f t="shared" si="4"/>
        <v>0</v>
      </c>
      <c r="P68" s="71">
        <f t="shared" ref="P68:U68" si="31">+P23+P67</f>
        <v>0</v>
      </c>
      <c r="Q68" s="71">
        <f t="shared" si="31"/>
        <v>0</v>
      </c>
      <c r="R68" s="71">
        <f t="shared" si="31"/>
        <v>0</v>
      </c>
      <c r="S68" s="71">
        <f t="shared" si="31"/>
        <v>0</v>
      </c>
      <c r="T68" s="71">
        <f t="shared" si="31"/>
        <v>0</v>
      </c>
      <c r="U68" s="71">
        <f t="shared" si="31"/>
        <v>0</v>
      </c>
      <c r="V68" s="66">
        <f>SUM(P68:U68)</f>
        <v>0</v>
      </c>
      <c r="W68" s="71">
        <f t="shared" ref="W68:AB68" si="32">+W23+W67</f>
        <v>0</v>
      </c>
      <c r="X68" s="71">
        <f t="shared" si="32"/>
        <v>0</v>
      </c>
      <c r="Y68" s="71">
        <f t="shared" si="32"/>
        <v>0</v>
      </c>
      <c r="Z68" s="71">
        <f t="shared" si="32"/>
        <v>0</v>
      </c>
      <c r="AA68" s="71">
        <f t="shared" si="32"/>
        <v>0</v>
      </c>
      <c r="AB68" s="71">
        <f t="shared" si="32"/>
        <v>0</v>
      </c>
      <c r="AC68" s="66">
        <f t="shared" si="1"/>
        <v>0</v>
      </c>
      <c r="AD68" s="71">
        <f>+AD23+AD67</f>
        <v>0</v>
      </c>
      <c r="AE68" s="71"/>
      <c r="AF68" s="71"/>
      <c r="AG68" s="71"/>
      <c r="AH68" s="66">
        <f>SUM(AD68:AG68)</f>
        <v>0</v>
      </c>
      <c r="AI68" s="71" t="e">
        <f>SUM(AI67,AI23)</f>
        <v>#REF!</v>
      </c>
    </row>
    <row r="69" spans="1:37" x14ac:dyDescent="0.25">
      <c r="A69" s="37"/>
      <c r="B69" s="33"/>
      <c r="C69" s="33"/>
      <c r="AK69" s="49"/>
    </row>
    <row r="70" spans="1:37" x14ac:dyDescent="0.25">
      <c r="A70" s="37"/>
      <c r="B70" s="34"/>
      <c r="C70" s="34"/>
      <c r="AI70" s="49"/>
    </row>
    <row r="71" spans="1:37" x14ac:dyDescent="0.25">
      <c r="A71" s="37"/>
      <c r="B71" s="34"/>
      <c r="C71" s="34"/>
      <c r="M71" s="49"/>
      <c r="N71" s="100"/>
    </row>
    <row r="72" spans="1:37" x14ac:dyDescent="0.25">
      <c r="M72" s="49"/>
      <c r="N72" s="100"/>
      <c r="AI72" s="49"/>
      <c r="AK72" s="49"/>
    </row>
    <row r="73" spans="1:37" x14ac:dyDescent="0.25">
      <c r="M73" s="49"/>
      <c r="N73" s="101"/>
    </row>
    <row r="74" spans="1:37" x14ac:dyDescent="0.25">
      <c r="M74" s="49"/>
      <c r="N74" s="101"/>
    </row>
    <row r="75" spans="1:37" x14ac:dyDescent="0.25">
      <c r="M75" s="49"/>
      <c r="N75" s="101"/>
    </row>
  </sheetData>
  <mergeCells count="7">
    <mergeCell ref="A68:C68"/>
    <mergeCell ref="A6:A7"/>
    <mergeCell ref="B6:B7"/>
    <mergeCell ref="C6:C7"/>
    <mergeCell ref="AI6:AI7"/>
    <mergeCell ref="A23:C23"/>
    <mergeCell ref="A67:C67"/>
  </mergeCells>
  <pageMargins left="0.7" right="0.7" top="0.75" bottom="0.75" header="0.3" footer="0.3"/>
  <pageSetup paperSize="9" scale="24" orientation="landscape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B46C-5137-4228-B405-F8D5525D5F05}">
  <sheetPr codeName="Hoja19">
    <pageSetUpPr fitToPage="1"/>
  </sheetPr>
  <dimension ref="A1:AK75"/>
  <sheetViews>
    <sheetView topLeftCell="A4" zoomScale="90" zoomScaleNormal="90" workbookViewId="0">
      <pane xSplit="3" ySplit="4" topLeftCell="D54" activePane="bottomRight" state="frozen"/>
      <selection activeCell="B19" sqref="B19:D19"/>
      <selection pane="topRight" activeCell="B19" sqref="B19:D19"/>
      <selection pane="bottomLeft" activeCell="B19" sqref="B19:D19"/>
      <selection pane="bottomRight" activeCell="AG64" sqref="AG64"/>
    </sheetView>
  </sheetViews>
  <sheetFormatPr baseColWidth="10" defaultColWidth="11.42578125" defaultRowHeight="15.75" x14ac:dyDescent="0.25"/>
  <cols>
    <col min="1" max="1" width="3.5703125" style="2" customWidth="1"/>
    <col min="2" max="2" width="24.42578125" style="1" customWidth="1"/>
    <col min="3" max="3" width="13.140625" style="1" customWidth="1"/>
    <col min="4" max="29" width="15.140625" style="1" hidden="1" customWidth="1"/>
    <col min="30" max="32" width="15.28515625" style="1" hidden="1" customWidth="1"/>
    <col min="33" max="33" width="15.28515625" style="1" customWidth="1"/>
    <col min="34" max="34" width="15.140625" style="1" customWidth="1"/>
    <col min="35" max="35" width="18.140625" style="1" customWidth="1"/>
    <col min="36" max="36" width="11.42578125" style="1"/>
    <col min="37" max="37" width="12.42578125" style="1" bestFit="1" customWidth="1"/>
    <col min="38" max="16384" width="11.42578125" style="1"/>
  </cols>
  <sheetData>
    <row r="1" spans="1:35" ht="15" customHeight="1" x14ac:dyDescent="0.25">
      <c r="B1" s="30"/>
      <c r="C1" s="31"/>
    </row>
    <row r="2" spans="1:35" ht="15" customHeight="1" x14ac:dyDescent="0.25">
      <c r="B2" s="30"/>
      <c r="C2" s="31"/>
    </row>
    <row r="3" spans="1:35" ht="18" x14ac:dyDescent="0.25">
      <c r="A3" s="90" t="s">
        <v>68</v>
      </c>
      <c r="B3" s="90"/>
      <c r="C3" s="90"/>
    </row>
    <row r="4" spans="1:35" ht="18" x14ac:dyDescent="0.25">
      <c r="A4" s="90" t="s">
        <v>50</v>
      </c>
      <c r="B4" s="90"/>
      <c r="C4" s="90"/>
    </row>
    <row r="5" spans="1:35" ht="20.25" customHeight="1" x14ac:dyDescent="0.25">
      <c r="A5" s="111" t="s">
        <v>197</v>
      </c>
      <c r="B5" s="31"/>
      <c r="C5" s="31"/>
    </row>
    <row r="6" spans="1:35" ht="20.25" customHeight="1" x14ac:dyDescent="0.25">
      <c r="A6" s="270" t="s">
        <v>64</v>
      </c>
      <c r="B6" s="270" t="s">
        <v>1</v>
      </c>
      <c r="C6" s="270" t="s">
        <v>2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9"/>
      <c r="AD6" s="88"/>
      <c r="AE6" s="88"/>
      <c r="AF6" s="88"/>
      <c r="AG6" s="88"/>
      <c r="AH6" s="89"/>
      <c r="AI6" s="270" t="s">
        <v>80</v>
      </c>
    </row>
    <row r="7" spans="1:35" s="32" customFormat="1" ht="17.25" customHeight="1" x14ac:dyDescent="0.25">
      <c r="A7" s="270"/>
      <c r="B7" s="270"/>
      <c r="C7" s="270"/>
      <c r="D7" s="62">
        <v>1</v>
      </c>
      <c r="E7" s="62">
        <v>2</v>
      </c>
      <c r="F7" s="62">
        <v>3</v>
      </c>
      <c r="G7" s="62">
        <v>4</v>
      </c>
      <c r="H7" s="99" t="s">
        <v>81</v>
      </c>
      <c r="I7" s="62">
        <v>6</v>
      </c>
      <c r="J7" s="62">
        <v>7</v>
      </c>
      <c r="K7" s="62">
        <v>8</v>
      </c>
      <c r="L7" s="62">
        <v>9</v>
      </c>
      <c r="M7" s="62">
        <v>10</v>
      </c>
      <c r="N7" s="62">
        <v>11</v>
      </c>
      <c r="O7" s="99" t="s">
        <v>82</v>
      </c>
      <c r="P7" s="62">
        <v>13</v>
      </c>
      <c r="Q7" s="62">
        <v>14</v>
      </c>
      <c r="R7" s="62">
        <v>15</v>
      </c>
      <c r="S7" s="62">
        <v>16</v>
      </c>
      <c r="T7" s="62">
        <v>17</v>
      </c>
      <c r="U7" s="62">
        <v>18</v>
      </c>
      <c r="V7" s="99" t="s">
        <v>83</v>
      </c>
      <c r="W7" s="62">
        <v>20</v>
      </c>
      <c r="X7" s="62">
        <v>21</v>
      </c>
      <c r="Y7" s="62">
        <v>22</v>
      </c>
      <c r="Z7" s="62">
        <v>23</v>
      </c>
      <c r="AA7" s="62">
        <v>24</v>
      </c>
      <c r="AB7" s="62">
        <v>25</v>
      </c>
      <c r="AC7" s="99" t="s">
        <v>84</v>
      </c>
      <c r="AD7" s="62">
        <v>27</v>
      </c>
      <c r="AE7" s="62">
        <v>28</v>
      </c>
      <c r="AF7" s="62">
        <v>29</v>
      </c>
      <c r="AG7" s="62">
        <v>28</v>
      </c>
      <c r="AH7" s="99" t="s">
        <v>84</v>
      </c>
      <c r="AI7" s="270"/>
    </row>
    <row r="8" spans="1:35" s="32" customFormat="1" ht="16.5" customHeight="1" x14ac:dyDescent="0.25">
      <c r="A8" s="56">
        <v>1</v>
      </c>
      <c r="B8" s="57" t="s">
        <v>25</v>
      </c>
      <c r="C8" s="54" t="s">
        <v>13</v>
      </c>
      <c r="D8" s="63"/>
      <c r="E8" s="63"/>
      <c r="F8" s="63"/>
      <c r="G8" s="63"/>
      <c r="H8" s="66">
        <f t="shared" ref="H8:H68" si="0">SUM(D8:G8)</f>
        <v>0</v>
      </c>
      <c r="I8" s="63"/>
      <c r="J8" s="63"/>
      <c r="K8" s="63"/>
      <c r="L8" s="63"/>
      <c r="M8" s="63"/>
      <c r="N8" s="63"/>
      <c r="O8" s="66">
        <f>SUM(I8:N8)</f>
        <v>0</v>
      </c>
      <c r="P8" s="63"/>
      <c r="Q8" s="63"/>
      <c r="R8" s="63"/>
      <c r="S8" s="63"/>
      <c r="T8" s="63"/>
      <c r="U8" s="63"/>
      <c r="V8" s="66">
        <f>SUM(P8:U8)</f>
        <v>0</v>
      </c>
      <c r="W8" s="63"/>
      <c r="X8" s="63"/>
      <c r="Y8" s="63"/>
      <c r="Z8" s="63"/>
      <c r="AA8" s="63"/>
      <c r="AB8" s="63"/>
      <c r="AC8" s="66">
        <f t="shared" ref="AC8:AC68" si="1">SUM(W8:AB8)</f>
        <v>0</v>
      </c>
      <c r="AD8" s="63"/>
      <c r="AE8" s="63"/>
      <c r="AF8" s="63"/>
      <c r="AG8" s="63"/>
      <c r="AH8" s="66">
        <f t="shared" ref="AH8:AH66" si="2">SUM(AD8:AG8)</f>
        <v>0</v>
      </c>
      <c r="AI8" s="68">
        <f t="shared" ref="AI8:AI21" si="3">+H8+O8+V8+AH8</f>
        <v>0</v>
      </c>
    </row>
    <row r="9" spans="1:35" ht="16.5" customHeight="1" x14ac:dyDescent="0.25">
      <c r="A9" s="56">
        <f>1+A8</f>
        <v>2</v>
      </c>
      <c r="B9" s="57" t="s">
        <v>11</v>
      </c>
      <c r="C9" s="54" t="s">
        <v>6</v>
      </c>
      <c r="D9" s="64"/>
      <c r="E9" s="64"/>
      <c r="F9" s="64"/>
      <c r="G9" s="64"/>
      <c r="H9" s="66">
        <f t="shared" si="0"/>
        <v>0</v>
      </c>
      <c r="I9" s="64"/>
      <c r="J9" s="64"/>
      <c r="K9" s="64"/>
      <c r="L9" s="64"/>
      <c r="M9" s="64"/>
      <c r="N9" s="64"/>
      <c r="O9" s="66">
        <f t="shared" ref="O9:O68" si="4">SUM(I9:N9)</f>
        <v>0</v>
      </c>
      <c r="P9" s="64"/>
      <c r="Q9" s="64"/>
      <c r="R9" s="64"/>
      <c r="S9" s="64"/>
      <c r="T9" s="64"/>
      <c r="U9" s="64"/>
      <c r="V9" s="66">
        <f>SUM(P9:U9)</f>
        <v>0</v>
      </c>
      <c r="W9" s="64"/>
      <c r="X9" s="64"/>
      <c r="Y9" s="64"/>
      <c r="Z9" s="64"/>
      <c r="AA9" s="64"/>
      <c r="AB9" s="64"/>
      <c r="AC9" s="66">
        <f t="shared" si="1"/>
        <v>0</v>
      </c>
      <c r="AD9" s="64"/>
      <c r="AE9" s="64"/>
      <c r="AF9" s="64"/>
      <c r="AG9" s="64"/>
      <c r="AH9" s="66">
        <f t="shared" si="2"/>
        <v>0</v>
      </c>
      <c r="AI9" s="68">
        <f t="shared" si="3"/>
        <v>0</v>
      </c>
    </row>
    <row r="10" spans="1:35" ht="16.5" customHeight="1" x14ac:dyDescent="0.25">
      <c r="A10" s="56">
        <f t="shared" ref="A10:A21" si="5">1+A9</f>
        <v>3</v>
      </c>
      <c r="B10" s="57" t="s">
        <v>70</v>
      </c>
      <c r="C10" s="54" t="s">
        <v>13</v>
      </c>
      <c r="D10" s="67"/>
      <c r="E10" s="67"/>
      <c r="F10" s="67"/>
      <c r="G10" s="67"/>
      <c r="H10" s="66">
        <f t="shared" si="0"/>
        <v>0</v>
      </c>
      <c r="I10" s="67"/>
      <c r="J10" s="67"/>
      <c r="K10" s="67"/>
      <c r="L10" s="67"/>
      <c r="M10" s="67"/>
      <c r="N10" s="67"/>
      <c r="O10" s="66">
        <f t="shared" si="4"/>
        <v>0</v>
      </c>
      <c r="P10" s="67"/>
      <c r="Q10" s="67"/>
      <c r="R10" s="67"/>
      <c r="S10" s="67"/>
      <c r="T10" s="67"/>
      <c r="U10" s="67"/>
      <c r="V10" s="66">
        <f t="shared" ref="V10:V23" si="6">SUM(P10:U10)</f>
        <v>0</v>
      </c>
      <c r="W10" s="67"/>
      <c r="X10" s="67"/>
      <c r="Y10" s="67"/>
      <c r="Z10" s="67"/>
      <c r="AA10" s="67"/>
      <c r="AB10" s="67"/>
      <c r="AC10" s="66">
        <f t="shared" si="1"/>
        <v>0</v>
      </c>
      <c r="AD10" s="67"/>
      <c r="AE10" s="67"/>
      <c r="AF10" s="67"/>
      <c r="AG10" s="67"/>
      <c r="AH10" s="66">
        <f t="shared" si="2"/>
        <v>0</v>
      </c>
      <c r="AI10" s="68">
        <f t="shared" si="3"/>
        <v>0</v>
      </c>
    </row>
    <row r="11" spans="1:35" ht="16.5" customHeight="1" x14ac:dyDescent="0.25">
      <c r="A11" s="56">
        <f t="shared" si="5"/>
        <v>4</v>
      </c>
      <c r="B11" s="57" t="s">
        <v>23</v>
      </c>
      <c r="C11" s="54" t="s">
        <v>9</v>
      </c>
      <c r="D11" s="67"/>
      <c r="E11" s="67"/>
      <c r="F11" s="67"/>
      <c r="G11" s="67"/>
      <c r="H11" s="66">
        <f t="shared" si="0"/>
        <v>0</v>
      </c>
      <c r="I11" s="67"/>
      <c r="J11" s="67"/>
      <c r="K11" s="67"/>
      <c r="L11" s="67"/>
      <c r="M11" s="67"/>
      <c r="N11" s="67"/>
      <c r="O11" s="66">
        <f t="shared" si="4"/>
        <v>0</v>
      </c>
      <c r="P11" s="67"/>
      <c r="Q11" s="67"/>
      <c r="R11" s="67"/>
      <c r="S11" s="67"/>
      <c r="T11" s="67"/>
      <c r="U11" s="67"/>
      <c r="V11" s="66">
        <f t="shared" si="6"/>
        <v>0</v>
      </c>
      <c r="W11" s="67"/>
      <c r="X11" s="67"/>
      <c r="Y11" s="67"/>
      <c r="Z11" s="67"/>
      <c r="AA11" s="67"/>
      <c r="AB11" s="67"/>
      <c r="AC11" s="66">
        <f t="shared" si="1"/>
        <v>0</v>
      </c>
      <c r="AD11" s="67"/>
      <c r="AE11" s="67"/>
      <c r="AF11" s="67"/>
      <c r="AG11" s="67"/>
      <c r="AH11" s="66">
        <f t="shared" si="2"/>
        <v>0</v>
      </c>
      <c r="AI11" s="68">
        <f t="shared" si="3"/>
        <v>0</v>
      </c>
    </row>
    <row r="12" spans="1:35" ht="16.5" customHeight="1" x14ac:dyDescent="0.25">
      <c r="A12" s="56">
        <f t="shared" si="5"/>
        <v>5</v>
      </c>
      <c r="B12" s="57" t="s">
        <v>24</v>
      </c>
      <c r="C12" s="54" t="s">
        <v>9</v>
      </c>
      <c r="D12" s="67"/>
      <c r="E12" s="67"/>
      <c r="F12" s="67"/>
      <c r="G12" s="67"/>
      <c r="H12" s="66">
        <f t="shared" si="0"/>
        <v>0</v>
      </c>
      <c r="I12" s="67"/>
      <c r="J12" s="67"/>
      <c r="K12" s="67"/>
      <c r="L12" s="67"/>
      <c r="M12" s="67"/>
      <c r="N12" s="67"/>
      <c r="O12" s="66">
        <f t="shared" si="4"/>
        <v>0</v>
      </c>
      <c r="P12" s="67"/>
      <c r="Q12" s="67"/>
      <c r="R12" s="67"/>
      <c r="S12" s="67"/>
      <c r="T12" s="67"/>
      <c r="U12" s="67"/>
      <c r="V12" s="66">
        <f t="shared" si="6"/>
        <v>0</v>
      </c>
      <c r="W12" s="67"/>
      <c r="X12" s="67"/>
      <c r="Y12" s="67"/>
      <c r="Z12" s="67"/>
      <c r="AA12" s="67"/>
      <c r="AB12" s="67"/>
      <c r="AC12" s="66">
        <f t="shared" si="1"/>
        <v>0</v>
      </c>
      <c r="AD12" s="67"/>
      <c r="AE12" s="67"/>
      <c r="AF12" s="67"/>
      <c r="AG12" s="67"/>
      <c r="AH12" s="66">
        <f t="shared" si="2"/>
        <v>0</v>
      </c>
      <c r="AI12" s="68">
        <f t="shared" si="3"/>
        <v>0</v>
      </c>
    </row>
    <row r="13" spans="1:35" ht="16.5" customHeight="1" x14ac:dyDescent="0.25">
      <c r="A13" s="56">
        <f t="shared" si="5"/>
        <v>6</v>
      </c>
      <c r="B13" s="57" t="s">
        <v>12</v>
      </c>
      <c r="C13" s="54" t="s">
        <v>13</v>
      </c>
      <c r="D13" s="67"/>
      <c r="E13" s="67"/>
      <c r="F13" s="67"/>
      <c r="G13" s="67"/>
      <c r="H13" s="66">
        <f t="shared" si="0"/>
        <v>0</v>
      </c>
      <c r="I13" s="67"/>
      <c r="J13" s="67"/>
      <c r="K13" s="67"/>
      <c r="L13" s="67"/>
      <c r="M13" s="67"/>
      <c r="N13" s="67"/>
      <c r="O13" s="66">
        <f t="shared" si="4"/>
        <v>0</v>
      </c>
      <c r="P13" s="67"/>
      <c r="Q13" s="67"/>
      <c r="R13" s="67"/>
      <c r="S13" s="67"/>
      <c r="T13" s="67"/>
      <c r="U13" s="67"/>
      <c r="V13" s="66">
        <f t="shared" si="6"/>
        <v>0</v>
      </c>
      <c r="W13" s="67"/>
      <c r="X13" s="67"/>
      <c r="Y13" s="67"/>
      <c r="Z13" s="67"/>
      <c r="AA13" s="67"/>
      <c r="AB13" s="67"/>
      <c r="AC13" s="66">
        <f t="shared" si="1"/>
        <v>0</v>
      </c>
      <c r="AD13" s="67"/>
      <c r="AE13" s="67"/>
      <c r="AF13" s="67"/>
      <c r="AG13" s="67"/>
      <c r="AH13" s="66">
        <f t="shared" si="2"/>
        <v>0</v>
      </c>
      <c r="AI13" s="68">
        <f t="shared" si="3"/>
        <v>0</v>
      </c>
    </row>
    <row r="14" spans="1:35" ht="16.5" customHeight="1" x14ac:dyDescent="0.25">
      <c r="A14" s="56">
        <f t="shared" si="5"/>
        <v>7</v>
      </c>
      <c r="B14" s="55" t="s">
        <v>5</v>
      </c>
      <c r="C14" s="54" t="s">
        <v>6</v>
      </c>
      <c r="D14" s="67"/>
      <c r="E14" s="67"/>
      <c r="F14" s="67"/>
      <c r="G14" s="67"/>
      <c r="H14" s="66">
        <f t="shared" si="0"/>
        <v>0</v>
      </c>
      <c r="I14" s="67"/>
      <c r="J14" s="67"/>
      <c r="K14" s="67"/>
      <c r="L14" s="67"/>
      <c r="M14" s="67"/>
      <c r="N14" s="67"/>
      <c r="O14" s="66">
        <f t="shared" si="4"/>
        <v>0</v>
      </c>
      <c r="P14" s="67"/>
      <c r="Q14" s="67"/>
      <c r="R14" s="67"/>
      <c r="S14" s="67"/>
      <c r="T14" s="67"/>
      <c r="U14" s="67"/>
      <c r="V14" s="66">
        <f t="shared" si="6"/>
        <v>0</v>
      </c>
      <c r="W14" s="67"/>
      <c r="X14" s="67"/>
      <c r="Y14" s="67"/>
      <c r="Z14" s="67"/>
      <c r="AA14" s="67"/>
      <c r="AB14" s="67"/>
      <c r="AC14" s="66">
        <f t="shared" si="1"/>
        <v>0</v>
      </c>
      <c r="AD14" s="67"/>
      <c r="AE14" s="67"/>
      <c r="AF14" s="67"/>
      <c r="AG14" s="67"/>
      <c r="AH14" s="66">
        <f t="shared" si="2"/>
        <v>0</v>
      </c>
      <c r="AI14" s="68">
        <f t="shared" si="3"/>
        <v>0</v>
      </c>
    </row>
    <row r="15" spans="1:35" ht="16.5" customHeight="1" x14ac:dyDescent="0.25">
      <c r="A15" s="56">
        <f t="shared" si="5"/>
        <v>8</v>
      </c>
      <c r="B15" s="57" t="s">
        <v>21</v>
      </c>
      <c r="C15" s="54" t="s">
        <v>16</v>
      </c>
      <c r="D15" s="67"/>
      <c r="E15" s="67"/>
      <c r="F15" s="67"/>
      <c r="G15" s="67"/>
      <c r="H15" s="66">
        <f t="shared" si="0"/>
        <v>0</v>
      </c>
      <c r="I15" s="67"/>
      <c r="J15" s="67"/>
      <c r="K15" s="67"/>
      <c r="L15" s="67"/>
      <c r="M15" s="67"/>
      <c r="N15" s="67"/>
      <c r="O15" s="66">
        <f t="shared" si="4"/>
        <v>0</v>
      </c>
      <c r="P15" s="67"/>
      <c r="Q15" s="67"/>
      <c r="R15" s="67"/>
      <c r="S15" s="67"/>
      <c r="T15" s="67"/>
      <c r="U15" s="67"/>
      <c r="V15" s="66">
        <f t="shared" si="6"/>
        <v>0</v>
      </c>
      <c r="W15" s="67"/>
      <c r="X15" s="67"/>
      <c r="Y15" s="67"/>
      <c r="Z15" s="67"/>
      <c r="AA15" s="67"/>
      <c r="AB15" s="67"/>
      <c r="AC15" s="66">
        <f t="shared" si="1"/>
        <v>0</v>
      </c>
      <c r="AD15" s="67"/>
      <c r="AE15" s="67"/>
      <c r="AF15" s="67"/>
      <c r="AG15" s="67"/>
      <c r="AH15" s="66">
        <f t="shared" si="2"/>
        <v>0</v>
      </c>
      <c r="AI15" s="68">
        <f t="shared" si="3"/>
        <v>0</v>
      </c>
    </row>
    <row r="16" spans="1:35" ht="16.5" customHeight="1" x14ac:dyDescent="0.25">
      <c r="A16" s="56">
        <f t="shared" si="5"/>
        <v>9</v>
      </c>
      <c r="B16" s="57" t="s">
        <v>15</v>
      </c>
      <c r="C16" s="54" t="s">
        <v>16</v>
      </c>
      <c r="D16" s="67"/>
      <c r="E16" s="67"/>
      <c r="F16" s="67"/>
      <c r="G16" s="67"/>
      <c r="H16" s="66">
        <f t="shared" si="0"/>
        <v>0</v>
      </c>
      <c r="I16" s="67"/>
      <c r="J16" s="67"/>
      <c r="K16" s="67"/>
      <c r="L16" s="67"/>
      <c r="M16" s="67"/>
      <c r="N16" s="67"/>
      <c r="O16" s="66">
        <f t="shared" si="4"/>
        <v>0</v>
      </c>
      <c r="P16" s="67"/>
      <c r="Q16" s="67"/>
      <c r="R16" s="67"/>
      <c r="S16" s="67"/>
      <c r="T16" s="67"/>
      <c r="U16" s="67"/>
      <c r="V16" s="66">
        <f t="shared" si="6"/>
        <v>0</v>
      </c>
      <c r="W16" s="67"/>
      <c r="X16" s="67"/>
      <c r="Y16" s="67"/>
      <c r="Z16" s="67"/>
      <c r="AA16" s="67"/>
      <c r="AB16" s="67"/>
      <c r="AC16" s="66">
        <f t="shared" si="1"/>
        <v>0</v>
      </c>
      <c r="AD16" s="67"/>
      <c r="AE16" s="67"/>
      <c r="AF16" s="67"/>
      <c r="AG16" s="67"/>
      <c r="AH16" s="66">
        <f t="shared" si="2"/>
        <v>0</v>
      </c>
      <c r="AI16" s="68">
        <f t="shared" si="3"/>
        <v>0</v>
      </c>
    </row>
    <row r="17" spans="1:35" ht="16.5" customHeight="1" x14ac:dyDescent="0.25">
      <c r="A17" s="56">
        <f t="shared" si="5"/>
        <v>10</v>
      </c>
      <c r="B17" s="57" t="s">
        <v>27</v>
      </c>
      <c r="C17" s="54" t="s">
        <v>26</v>
      </c>
      <c r="D17" s="67"/>
      <c r="E17" s="67"/>
      <c r="F17" s="67"/>
      <c r="G17" s="67"/>
      <c r="H17" s="66">
        <f t="shared" si="0"/>
        <v>0</v>
      </c>
      <c r="I17" s="67"/>
      <c r="J17" s="67"/>
      <c r="K17" s="67"/>
      <c r="L17" s="67"/>
      <c r="M17" s="67"/>
      <c r="N17" s="67"/>
      <c r="O17" s="66">
        <f t="shared" si="4"/>
        <v>0</v>
      </c>
      <c r="P17" s="67"/>
      <c r="Q17" s="67"/>
      <c r="R17" s="67"/>
      <c r="S17" s="67"/>
      <c r="T17" s="67"/>
      <c r="U17" s="67"/>
      <c r="V17" s="66">
        <f t="shared" si="6"/>
        <v>0</v>
      </c>
      <c r="W17" s="67"/>
      <c r="X17" s="67"/>
      <c r="Y17" s="67"/>
      <c r="Z17" s="67"/>
      <c r="AA17" s="67"/>
      <c r="AB17" s="67"/>
      <c r="AC17" s="66">
        <f t="shared" si="1"/>
        <v>0</v>
      </c>
      <c r="AD17" s="67"/>
      <c r="AE17" s="67"/>
      <c r="AF17" s="67"/>
      <c r="AG17" s="67"/>
      <c r="AH17" s="66">
        <f t="shared" si="2"/>
        <v>0</v>
      </c>
      <c r="AI17" s="68">
        <f t="shared" si="3"/>
        <v>0</v>
      </c>
    </row>
    <row r="18" spans="1:35" ht="16.5" customHeight="1" x14ac:dyDescent="0.25">
      <c r="A18" s="56">
        <f t="shared" si="5"/>
        <v>11</v>
      </c>
      <c r="B18" s="57" t="s">
        <v>8</v>
      </c>
      <c r="C18" s="54" t="s">
        <v>9</v>
      </c>
      <c r="D18" s="67"/>
      <c r="E18" s="67"/>
      <c r="F18" s="67"/>
      <c r="G18" s="67"/>
      <c r="H18" s="66">
        <f t="shared" si="0"/>
        <v>0</v>
      </c>
      <c r="I18" s="67"/>
      <c r="J18" s="67"/>
      <c r="K18" s="67"/>
      <c r="L18" s="67"/>
      <c r="M18" s="67"/>
      <c r="N18" s="67"/>
      <c r="O18" s="66">
        <f t="shared" si="4"/>
        <v>0</v>
      </c>
      <c r="P18" s="67"/>
      <c r="Q18" s="67"/>
      <c r="R18" s="67"/>
      <c r="S18" s="67"/>
      <c r="T18" s="67"/>
      <c r="U18" s="67"/>
      <c r="V18" s="66">
        <f t="shared" si="6"/>
        <v>0</v>
      </c>
      <c r="W18" s="67"/>
      <c r="X18" s="67"/>
      <c r="Y18" s="67"/>
      <c r="Z18" s="67"/>
      <c r="AA18" s="67"/>
      <c r="AB18" s="67"/>
      <c r="AC18" s="66">
        <f t="shared" si="1"/>
        <v>0</v>
      </c>
      <c r="AD18" s="67"/>
      <c r="AE18" s="67"/>
      <c r="AF18" s="67"/>
      <c r="AG18" s="67"/>
      <c r="AH18" s="66">
        <f t="shared" si="2"/>
        <v>0</v>
      </c>
      <c r="AI18" s="68">
        <f t="shared" si="3"/>
        <v>0</v>
      </c>
    </row>
    <row r="19" spans="1:35" ht="16.5" customHeight="1" x14ac:dyDescent="0.25">
      <c r="A19" s="56">
        <f t="shared" si="5"/>
        <v>12</v>
      </c>
      <c r="B19" s="57" t="s">
        <v>28</v>
      </c>
      <c r="C19" s="54" t="s">
        <v>29</v>
      </c>
      <c r="D19" s="67"/>
      <c r="E19" s="67"/>
      <c r="F19" s="67"/>
      <c r="G19" s="67"/>
      <c r="H19" s="66">
        <f t="shared" si="0"/>
        <v>0</v>
      </c>
      <c r="I19" s="67"/>
      <c r="J19" s="67"/>
      <c r="K19" s="67"/>
      <c r="L19" s="67"/>
      <c r="M19" s="67"/>
      <c r="N19" s="67"/>
      <c r="O19" s="66">
        <f t="shared" si="4"/>
        <v>0</v>
      </c>
      <c r="P19" s="67"/>
      <c r="Q19" s="67"/>
      <c r="R19" s="67"/>
      <c r="S19" s="67"/>
      <c r="T19" s="67"/>
      <c r="U19" s="67"/>
      <c r="V19" s="66">
        <f t="shared" si="6"/>
        <v>0</v>
      </c>
      <c r="W19" s="67"/>
      <c r="X19" s="67"/>
      <c r="Y19" s="67"/>
      <c r="Z19" s="67"/>
      <c r="AA19" s="67"/>
      <c r="AB19" s="67"/>
      <c r="AC19" s="66">
        <f t="shared" si="1"/>
        <v>0</v>
      </c>
      <c r="AD19" s="67"/>
      <c r="AE19" s="67"/>
      <c r="AF19" s="67"/>
      <c r="AG19" s="67"/>
      <c r="AH19" s="66">
        <f t="shared" si="2"/>
        <v>0</v>
      </c>
      <c r="AI19" s="68">
        <f t="shared" si="3"/>
        <v>0</v>
      </c>
    </row>
    <row r="20" spans="1:35" ht="16.5" customHeight="1" x14ac:dyDescent="0.25">
      <c r="A20" s="56">
        <f t="shared" si="5"/>
        <v>13</v>
      </c>
      <c r="B20" s="57" t="s">
        <v>10</v>
      </c>
      <c r="C20" s="65" t="s">
        <v>76</v>
      </c>
      <c r="D20" s="67"/>
      <c r="E20" s="67"/>
      <c r="F20" s="67"/>
      <c r="G20" s="67"/>
      <c r="H20" s="66">
        <f t="shared" si="0"/>
        <v>0</v>
      </c>
      <c r="I20" s="67"/>
      <c r="J20" s="67"/>
      <c r="K20" s="67"/>
      <c r="L20" s="67"/>
      <c r="M20" s="67"/>
      <c r="N20" s="67"/>
      <c r="O20" s="66">
        <f t="shared" si="4"/>
        <v>0</v>
      </c>
      <c r="P20" s="67"/>
      <c r="Q20" s="67"/>
      <c r="R20" s="67"/>
      <c r="S20" s="67"/>
      <c r="T20" s="67"/>
      <c r="U20" s="67"/>
      <c r="V20" s="66">
        <f t="shared" si="6"/>
        <v>0</v>
      </c>
      <c r="W20" s="67"/>
      <c r="X20" s="67"/>
      <c r="Y20" s="67"/>
      <c r="Z20" s="67"/>
      <c r="AA20" s="67"/>
      <c r="AB20" s="67"/>
      <c r="AC20" s="66">
        <f t="shared" si="1"/>
        <v>0</v>
      </c>
      <c r="AD20" s="67"/>
      <c r="AE20" s="67"/>
      <c r="AF20" s="67"/>
      <c r="AG20" s="67"/>
      <c r="AH20" s="66">
        <f t="shared" si="2"/>
        <v>0</v>
      </c>
      <c r="AI20" s="68">
        <f t="shared" si="3"/>
        <v>0</v>
      </c>
    </row>
    <row r="21" spans="1:35" ht="16.5" customHeight="1" x14ac:dyDescent="0.25">
      <c r="A21" s="56">
        <f t="shared" si="5"/>
        <v>14</v>
      </c>
      <c r="B21" s="57" t="s">
        <v>7</v>
      </c>
      <c r="C21" s="65" t="s">
        <v>76</v>
      </c>
      <c r="D21" s="67"/>
      <c r="E21" s="67"/>
      <c r="F21" s="67"/>
      <c r="G21" s="67"/>
      <c r="H21" s="66">
        <f t="shared" si="0"/>
        <v>0</v>
      </c>
      <c r="I21" s="67"/>
      <c r="J21" s="67"/>
      <c r="K21" s="67"/>
      <c r="L21" s="67"/>
      <c r="M21" s="67"/>
      <c r="N21" s="67"/>
      <c r="O21" s="66">
        <f t="shared" si="4"/>
        <v>0</v>
      </c>
      <c r="P21" s="67"/>
      <c r="Q21" s="67"/>
      <c r="R21" s="67"/>
      <c r="S21" s="67"/>
      <c r="T21" s="67"/>
      <c r="U21" s="67"/>
      <c r="V21" s="66">
        <f t="shared" si="6"/>
        <v>0</v>
      </c>
      <c r="W21" s="67"/>
      <c r="X21" s="67"/>
      <c r="Y21" s="67"/>
      <c r="Z21" s="67"/>
      <c r="AA21" s="67"/>
      <c r="AB21" s="67"/>
      <c r="AC21" s="66">
        <f t="shared" si="1"/>
        <v>0</v>
      </c>
      <c r="AD21" s="67"/>
      <c r="AE21" s="67"/>
      <c r="AF21" s="67"/>
      <c r="AG21" s="67"/>
      <c r="AH21" s="66">
        <f t="shared" si="2"/>
        <v>0</v>
      </c>
      <c r="AI21" s="68">
        <f t="shared" si="3"/>
        <v>0</v>
      </c>
    </row>
    <row r="22" spans="1:35" ht="27" customHeight="1" x14ac:dyDescent="0.25">
      <c r="A22" s="56">
        <f>1+A28</f>
        <v>20</v>
      </c>
      <c r="B22" s="105" t="s">
        <v>39</v>
      </c>
      <c r="C22" s="54" t="s">
        <v>40</v>
      </c>
      <c r="D22" s="67"/>
      <c r="E22" s="67"/>
      <c r="F22" s="67"/>
      <c r="G22" s="67"/>
      <c r="H22" s="66">
        <f t="shared" si="0"/>
        <v>0</v>
      </c>
      <c r="I22" s="67"/>
      <c r="J22" s="67"/>
      <c r="K22" s="67"/>
      <c r="L22" s="75"/>
      <c r="M22" s="76"/>
      <c r="N22" s="67"/>
      <c r="O22" s="66">
        <f>SUM(I22:N22)</f>
        <v>0</v>
      </c>
      <c r="P22" s="67"/>
      <c r="Q22" s="67"/>
      <c r="R22" s="67"/>
      <c r="S22" s="67"/>
      <c r="T22" s="67"/>
      <c r="U22" s="67"/>
      <c r="V22" s="66">
        <f>SUM(P22:U22)</f>
        <v>0</v>
      </c>
      <c r="W22" s="67"/>
      <c r="X22" s="67"/>
      <c r="Y22" s="67"/>
      <c r="Z22" s="67"/>
      <c r="AA22" s="67"/>
      <c r="AB22" s="67"/>
      <c r="AC22" s="66">
        <f t="shared" si="1"/>
        <v>0</v>
      </c>
      <c r="AD22" s="67"/>
      <c r="AE22" s="67"/>
      <c r="AF22" s="67"/>
      <c r="AG22" s="67"/>
      <c r="AH22" s="66">
        <f t="shared" si="2"/>
        <v>0</v>
      </c>
      <c r="AI22" s="68">
        <f>H22+O22+V22+AH22</f>
        <v>0</v>
      </c>
    </row>
    <row r="23" spans="1:35" ht="17.25" customHeight="1" x14ac:dyDescent="0.25">
      <c r="A23" s="271" t="s">
        <v>77</v>
      </c>
      <c r="B23" s="272"/>
      <c r="C23" s="273"/>
      <c r="D23" s="93"/>
      <c r="E23" s="93"/>
      <c r="F23" s="93"/>
      <c r="G23" s="93">
        <f t="shared" ref="G23" si="7">SUM(G8:G22)</f>
        <v>0</v>
      </c>
      <c r="H23" s="66">
        <f t="shared" si="0"/>
        <v>0</v>
      </c>
      <c r="I23" s="93">
        <f>SUM(I8:I22)</f>
        <v>0</v>
      </c>
      <c r="J23" s="93">
        <f t="shared" ref="J23:N23" si="8">SUM(J8:J22)</f>
        <v>0</v>
      </c>
      <c r="K23" s="93">
        <f t="shared" si="8"/>
        <v>0</v>
      </c>
      <c r="L23" s="93">
        <f t="shared" si="8"/>
        <v>0</v>
      </c>
      <c r="M23" s="93">
        <f t="shared" si="8"/>
        <v>0</v>
      </c>
      <c r="N23" s="93">
        <f t="shared" si="8"/>
        <v>0</v>
      </c>
      <c r="O23" s="91">
        <f t="shared" si="4"/>
        <v>0</v>
      </c>
      <c r="P23" s="93">
        <f>SUM(P8:P22)</f>
        <v>0</v>
      </c>
      <c r="Q23" s="93">
        <f t="shared" ref="Q23:U23" si="9">SUM(Q8:Q22)</f>
        <v>0</v>
      </c>
      <c r="R23" s="93">
        <f t="shared" si="9"/>
        <v>0</v>
      </c>
      <c r="S23" s="93">
        <f t="shared" si="9"/>
        <v>0</v>
      </c>
      <c r="T23" s="93">
        <f t="shared" si="9"/>
        <v>0</v>
      </c>
      <c r="U23" s="93">
        <f t="shared" si="9"/>
        <v>0</v>
      </c>
      <c r="V23" s="91">
        <f t="shared" si="6"/>
        <v>0</v>
      </c>
      <c r="W23" s="93">
        <f>SUM(W8:W22)</f>
        <v>0</v>
      </c>
      <c r="X23" s="93">
        <f>SUM(X8:X22)</f>
        <v>0</v>
      </c>
      <c r="Y23" s="93">
        <f t="shared" ref="Y23:AB23" si="10">SUM(Y8:Y22)</f>
        <v>0</v>
      </c>
      <c r="Z23" s="93">
        <f t="shared" si="10"/>
        <v>0</v>
      </c>
      <c r="AA23" s="93">
        <f t="shared" si="10"/>
        <v>0</v>
      </c>
      <c r="AB23" s="93">
        <f t="shared" si="10"/>
        <v>0</v>
      </c>
      <c r="AC23" s="91">
        <f t="shared" si="1"/>
        <v>0</v>
      </c>
      <c r="AD23" s="93">
        <f>SUM(AD8:AD22)</f>
        <v>0</v>
      </c>
      <c r="AE23" s="93"/>
      <c r="AF23" s="93"/>
      <c r="AG23" s="93">
        <f>SUM(AG8:AG22)</f>
        <v>0</v>
      </c>
      <c r="AH23" s="66">
        <f t="shared" si="2"/>
        <v>0</v>
      </c>
      <c r="AI23" s="69">
        <f>SUM(AI8:AI22)</f>
        <v>0</v>
      </c>
    </row>
    <row r="24" spans="1:35" ht="17.25" customHeight="1" x14ac:dyDescent="0.25">
      <c r="A24" s="40">
        <f>1+A21</f>
        <v>15</v>
      </c>
      <c r="B24" s="153" t="s">
        <v>56</v>
      </c>
      <c r="C24" s="38" t="s">
        <v>69</v>
      </c>
      <c r="D24" s="67"/>
      <c r="E24" s="67"/>
      <c r="F24" s="67"/>
      <c r="G24" s="67"/>
      <c r="H24" s="66">
        <f t="shared" si="0"/>
        <v>0</v>
      </c>
      <c r="I24" s="67"/>
      <c r="J24" s="67"/>
      <c r="K24" s="12"/>
      <c r="L24" s="12"/>
      <c r="M24" s="67"/>
      <c r="N24" s="67"/>
      <c r="O24" s="66">
        <f>SUM(I24:N24)</f>
        <v>0</v>
      </c>
      <c r="P24" s="12"/>
      <c r="Q24" s="80"/>
      <c r="R24" s="67"/>
      <c r="S24" s="67"/>
      <c r="T24" s="67"/>
      <c r="U24" s="67"/>
      <c r="V24" s="66">
        <f>SUM(P24:U24)</f>
        <v>0</v>
      </c>
      <c r="W24" s="67"/>
      <c r="X24" s="67"/>
      <c r="Y24" s="67"/>
      <c r="Z24" s="67"/>
      <c r="AA24" s="67"/>
      <c r="AB24" s="67"/>
      <c r="AC24" s="66">
        <f t="shared" si="1"/>
        <v>0</v>
      </c>
      <c r="AD24" s="67"/>
      <c r="AE24" s="67"/>
      <c r="AF24" s="67"/>
      <c r="AG24" s="67"/>
      <c r="AH24" s="66">
        <f t="shared" si="2"/>
        <v>0</v>
      </c>
      <c r="AI24" s="68">
        <f>H24+O24+V24+AC24+AH24</f>
        <v>0</v>
      </c>
    </row>
    <row r="25" spans="1:35" ht="17.25" customHeight="1" x14ac:dyDescent="0.25">
      <c r="A25" s="40">
        <f t="shared" ref="A25:A38" si="11">1+A24</f>
        <v>16</v>
      </c>
      <c r="B25" s="41" t="s">
        <v>19</v>
      </c>
      <c r="C25" s="38" t="s">
        <v>18</v>
      </c>
      <c r="D25" s="67"/>
      <c r="E25" s="67"/>
      <c r="F25" s="67"/>
      <c r="G25" s="67"/>
      <c r="H25" s="66">
        <f t="shared" si="0"/>
        <v>0</v>
      </c>
      <c r="I25" s="67"/>
      <c r="J25" s="67"/>
      <c r="K25" s="67"/>
      <c r="L25" s="67"/>
      <c r="M25" s="67"/>
      <c r="N25" s="67"/>
      <c r="O25" s="66">
        <f t="shared" ref="O25:O66" si="12">SUM(I25:N25)</f>
        <v>0</v>
      </c>
      <c r="P25" s="67"/>
      <c r="Q25" s="67"/>
      <c r="R25" s="67"/>
      <c r="S25" s="67"/>
      <c r="T25" s="67"/>
      <c r="U25" s="67"/>
      <c r="V25" s="66">
        <f t="shared" ref="V25:V66" si="13">SUM(P25:U25)</f>
        <v>0</v>
      </c>
      <c r="W25" s="67"/>
      <c r="X25" s="67"/>
      <c r="Y25" s="67"/>
      <c r="Z25" s="67"/>
      <c r="AA25" s="67"/>
      <c r="AB25" s="67"/>
      <c r="AC25" s="66">
        <f t="shared" si="1"/>
        <v>0</v>
      </c>
      <c r="AD25" s="67"/>
      <c r="AE25" s="67"/>
      <c r="AF25" s="67"/>
      <c r="AG25" s="67">
        <v>85974</v>
      </c>
      <c r="AH25" s="66">
        <f t="shared" si="2"/>
        <v>85974</v>
      </c>
      <c r="AI25" s="68">
        <f>H25+O25+V25+AC25+AH25</f>
        <v>85974</v>
      </c>
    </row>
    <row r="26" spans="1:35" ht="17.25" customHeight="1" x14ac:dyDescent="0.25">
      <c r="A26" s="40">
        <f t="shared" si="11"/>
        <v>17</v>
      </c>
      <c r="B26" s="41" t="s">
        <v>31</v>
      </c>
      <c r="C26" s="38" t="s">
        <v>32</v>
      </c>
      <c r="D26" s="67"/>
      <c r="E26" s="67"/>
      <c r="F26" s="67"/>
      <c r="G26" s="67"/>
      <c r="H26" s="66">
        <f t="shared" si="0"/>
        <v>0</v>
      </c>
      <c r="I26" s="67"/>
      <c r="J26" s="12"/>
      <c r="K26" s="67"/>
      <c r="L26" s="12"/>
      <c r="M26" s="67"/>
      <c r="N26" s="67"/>
      <c r="O26" s="66">
        <f t="shared" si="12"/>
        <v>0</v>
      </c>
      <c r="P26" s="67"/>
      <c r="Q26" s="67"/>
      <c r="R26" s="67"/>
      <c r="S26" s="67"/>
      <c r="T26" s="67"/>
      <c r="U26" s="67"/>
      <c r="V26" s="66">
        <f t="shared" si="13"/>
        <v>0</v>
      </c>
      <c r="W26" s="67"/>
      <c r="X26" s="67"/>
      <c r="Y26" s="67"/>
      <c r="Z26" s="67"/>
      <c r="AA26" s="67"/>
      <c r="AB26" s="67"/>
      <c r="AC26" s="66">
        <f t="shared" si="1"/>
        <v>0</v>
      </c>
      <c r="AD26" s="67"/>
      <c r="AE26" s="67"/>
      <c r="AF26" s="67"/>
      <c r="AG26" s="67">
        <v>100000</v>
      </c>
      <c r="AH26" s="66">
        <f t="shared" si="2"/>
        <v>100000</v>
      </c>
      <c r="AI26" s="68">
        <f>H26+O26+V26+AC26+AH26</f>
        <v>100000</v>
      </c>
    </row>
    <row r="27" spans="1:35" ht="17.25" customHeight="1" x14ac:dyDescent="0.25">
      <c r="A27" s="40">
        <f t="shared" si="11"/>
        <v>18</v>
      </c>
      <c r="B27" s="41" t="s">
        <v>33</v>
      </c>
      <c r="C27" s="38" t="s">
        <v>16</v>
      </c>
      <c r="D27" s="67"/>
      <c r="E27" s="67"/>
      <c r="F27" s="67"/>
      <c r="G27" s="67"/>
      <c r="H27" s="66">
        <f t="shared" si="0"/>
        <v>0</v>
      </c>
      <c r="I27" s="67"/>
      <c r="J27" s="67"/>
      <c r="K27" s="67"/>
      <c r="L27" s="67"/>
      <c r="M27" s="67"/>
      <c r="N27" s="67"/>
      <c r="O27" s="66">
        <f t="shared" si="12"/>
        <v>0</v>
      </c>
      <c r="P27" s="67"/>
      <c r="Q27" s="67"/>
      <c r="R27" s="67"/>
      <c r="S27" s="67"/>
      <c r="T27" s="67"/>
      <c r="U27" s="67"/>
      <c r="V27" s="66">
        <f t="shared" si="13"/>
        <v>0</v>
      </c>
      <c r="W27" s="67"/>
      <c r="X27" s="67"/>
      <c r="Y27" s="67"/>
      <c r="Z27" s="67"/>
      <c r="AA27" s="67"/>
      <c r="AB27" s="67"/>
      <c r="AC27" s="66">
        <f t="shared" si="1"/>
        <v>0</v>
      </c>
      <c r="AD27" s="67"/>
      <c r="AE27" s="67"/>
      <c r="AF27" s="67"/>
      <c r="AG27" s="67"/>
      <c r="AH27" s="66">
        <f t="shared" si="2"/>
        <v>0</v>
      </c>
      <c r="AI27" s="68">
        <f t="shared" ref="AI27:AI66" si="14">H27+O27+V27+AC27+AH27</f>
        <v>0</v>
      </c>
    </row>
    <row r="28" spans="1:35" ht="17.25" hidden="1" customHeight="1" x14ac:dyDescent="0.25">
      <c r="A28" s="40">
        <f t="shared" si="11"/>
        <v>19</v>
      </c>
      <c r="B28" s="41" t="s">
        <v>34</v>
      </c>
      <c r="C28" s="38" t="s">
        <v>26</v>
      </c>
      <c r="D28" s="67"/>
      <c r="E28" s="67"/>
      <c r="F28" s="67"/>
      <c r="G28" s="67"/>
      <c r="H28" s="66">
        <f t="shared" si="0"/>
        <v>0</v>
      </c>
      <c r="I28" s="67"/>
      <c r="J28" s="67"/>
      <c r="K28" s="67"/>
      <c r="L28" s="67"/>
      <c r="M28" s="67"/>
      <c r="N28" s="67"/>
      <c r="O28" s="66">
        <f t="shared" si="12"/>
        <v>0</v>
      </c>
      <c r="P28" s="67"/>
      <c r="Q28" s="67"/>
      <c r="R28" s="67"/>
      <c r="S28" s="67"/>
      <c r="T28" s="67"/>
      <c r="U28" s="67"/>
      <c r="V28" s="66">
        <f t="shared" si="13"/>
        <v>0</v>
      </c>
      <c r="W28" s="67"/>
      <c r="X28" s="67"/>
      <c r="Y28" s="67"/>
      <c r="Z28" s="67"/>
      <c r="AA28" s="67"/>
      <c r="AB28" s="67"/>
      <c r="AC28" s="66">
        <f t="shared" si="1"/>
        <v>0</v>
      </c>
      <c r="AD28" s="67"/>
      <c r="AE28" s="67"/>
      <c r="AF28" s="67"/>
      <c r="AG28" s="67"/>
      <c r="AH28" s="66">
        <f t="shared" si="2"/>
        <v>0</v>
      </c>
      <c r="AI28" s="68">
        <f t="shared" si="14"/>
        <v>0</v>
      </c>
    </row>
    <row r="29" spans="1:35" ht="17.25" customHeight="1" x14ac:dyDescent="0.25">
      <c r="A29" s="40">
        <f t="shared" si="11"/>
        <v>20</v>
      </c>
      <c r="B29" s="43" t="s">
        <v>73</v>
      </c>
      <c r="C29" s="38" t="s">
        <v>9</v>
      </c>
      <c r="D29" s="67"/>
      <c r="E29" s="12"/>
      <c r="F29" s="67"/>
      <c r="G29" s="67"/>
      <c r="H29" s="66">
        <f t="shared" si="0"/>
        <v>0</v>
      </c>
      <c r="I29" s="67"/>
      <c r="J29" s="67"/>
      <c r="K29" s="67"/>
      <c r="L29" s="67"/>
      <c r="M29" s="67"/>
      <c r="N29" s="67"/>
      <c r="O29" s="66">
        <f t="shared" si="12"/>
        <v>0</v>
      </c>
      <c r="P29" s="67"/>
      <c r="Q29" s="67"/>
      <c r="R29" s="67"/>
      <c r="S29" s="67"/>
      <c r="T29" s="67"/>
      <c r="U29" s="67"/>
      <c r="V29" s="66">
        <f t="shared" si="13"/>
        <v>0</v>
      </c>
      <c r="W29" s="67"/>
      <c r="X29" s="67"/>
      <c r="Y29" s="67"/>
      <c r="Z29" s="67"/>
      <c r="AA29" s="67"/>
      <c r="AB29" s="67"/>
      <c r="AC29" s="66">
        <f t="shared" si="1"/>
        <v>0</v>
      </c>
      <c r="AD29" s="67"/>
      <c r="AE29" s="67"/>
      <c r="AF29" s="67"/>
      <c r="AG29" s="67"/>
      <c r="AH29" s="66">
        <f t="shared" si="2"/>
        <v>0</v>
      </c>
      <c r="AI29" s="68">
        <f t="shared" si="14"/>
        <v>0</v>
      </c>
    </row>
    <row r="30" spans="1:35" ht="17.25" customHeight="1" x14ac:dyDescent="0.25">
      <c r="A30" s="40">
        <f t="shared" si="11"/>
        <v>21</v>
      </c>
      <c r="B30" s="58" t="s">
        <v>75</v>
      </c>
      <c r="C30" s="59" t="s">
        <v>13</v>
      </c>
      <c r="D30" s="67"/>
      <c r="E30" s="67"/>
      <c r="F30" s="67"/>
      <c r="G30" s="67"/>
      <c r="H30" s="66">
        <f t="shared" si="0"/>
        <v>0</v>
      </c>
      <c r="I30" s="67"/>
      <c r="J30" s="67"/>
      <c r="K30" s="67"/>
      <c r="L30" s="67"/>
      <c r="M30" s="67"/>
      <c r="N30" s="67"/>
      <c r="O30" s="66">
        <f t="shared" si="12"/>
        <v>0</v>
      </c>
      <c r="P30" s="67"/>
      <c r="Q30" s="67"/>
      <c r="R30" s="67"/>
      <c r="S30" s="67"/>
      <c r="T30" s="67"/>
      <c r="U30" s="67"/>
      <c r="V30" s="66">
        <f t="shared" si="13"/>
        <v>0</v>
      </c>
      <c r="W30" s="67"/>
      <c r="X30" s="67"/>
      <c r="Y30" s="67"/>
      <c r="Z30" s="67"/>
      <c r="AA30" s="67"/>
      <c r="AB30" s="67"/>
      <c r="AC30" s="66">
        <f t="shared" si="1"/>
        <v>0</v>
      </c>
      <c r="AD30" s="67"/>
      <c r="AE30" s="67"/>
      <c r="AF30" s="67"/>
      <c r="AG30" s="67"/>
      <c r="AH30" s="66">
        <f t="shared" si="2"/>
        <v>0</v>
      </c>
      <c r="AI30" s="68">
        <f t="shared" si="14"/>
        <v>0</v>
      </c>
    </row>
    <row r="31" spans="1:35" ht="17.25" customHeight="1" x14ac:dyDescent="0.25">
      <c r="A31" s="40">
        <f t="shared" si="11"/>
        <v>22</v>
      </c>
      <c r="B31" s="43" t="s">
        <v>85</v>
      </c>
      <c r="C31" s="38" t="s">
        <v>86</v>
      </c>
      <c r="D31" s="67"/>
      <c r="E31" s="67"/>
      <c r="F31" s="67"/>
      <c r="G31" s="67"/>
      <c r="H31" s="66">
        <f t="shared" si="0"/>
        <v>0</v>
      </c>
      <c r="I31" s="67"/>
      <c r="J31" s="67"/>
      <c r="K31" s="67"/>
      <c r="L31" s="12"/>
      <c r="M31" s="11"/>
      <c r="N31" s="67"/>
      <c r="O31" s="66">
        <f t="shared" si="12"/>
        <v>0</v>
      </c>
      <c r="P31" s="67"/>
      <c r="Q31" s="67"/>
      <c r="R31" s="67"/>
      <c r="S31" s="67"/>
      <c r="T31" s="67"/>
      <c r="U31" s="67"/>
      <c r="V31" s="66">
        <f t="shared" si="13"/>
        <v>0</v>
      </c>
      <c r="W31" s="67"/>
      <c r="X31" s="67"/>
      <c r="Y31" s="67"/>
      <c r="Z31" s="67"/>
      <c r="AA31" s="67"/>
      <c r="AB31" s="67"/>
      <c r="AC31" s="66">
        <f t="shared" si="1"/>
        <v>0</v>
      </c>
      <c r="AD31" s="67"/>
      <c r="AE31" s="67"/>
      <c r="AF31" s="67"/>
      <c r="AG31" s="67"/>
      <c r="AH31" s="66">
        <f t="shared" si="2"/>
        <v>0</v>
      </c>
      <c r="AI31" s="68">
        <f t="shared" si="14"/>
        <v>0</v>
      </c>
    </row>
    <row r="32" spans="1:35" ht="17.25" customHeight="1" x14ac:dyDescent="0.25">
      <c r="A32" s="40">
        <f t="shared" si="11"/>
        <v>23</v>
      </c>
      <c r="B32" s="58" t="s">
        <v>87</v>
      </c>
      <c r="C32" s="59" t="s">
        <v>6</v>
      </c>
      <c r="D32" s="67"/>
      <c r="E32" s="67"/>
      <c r="F32" s="67"/>
      <c r="G32" s="67"/>
      <c r="H32" s="66">
        <f t="shared" si="0"/>
        <v>0</v>
      </c>
      <c r="I32" s="67"/>
      <c r="J32" s="67"/>
      <c r="K32" s="67"/>
      <c r="L32" s="12"/>
      <c r="M32" s="11"/>
      <c r="N32" s="67"/>
      <c r="O32" s="66">
        <f t="shared" si="12"/>
        <v>0</v>
      </c>
      <c r="P32" s="67"/>
      <c r="Q32" s="67"/>
      <c r="R32" s="67"/>
      <c r="S32" s="67"/>
      <c r="T32" s="67"/>
      <c r="U32" s="67"/>
      <c r="V32" s="66">
        <f t="shared" si="13"/>
        <v>0</v>
      </c>
      <c r="W32" s="67"/>
      <c r="X32" s="67"/>
      <c r="Y32" s="12"/>
      <c r="Z32" s="67"/>
      <c r="AA32" s="67"/>
      <c r="AB32" s="67"/>
      <c r="AC32" s="66">
        <f t="shared" si="1"/>
        <v>0</v>
      </c>
      <c r="AD32" s="67"/>
      <c r="AE32" s="67"/>
      <c r="AF32" s="67"/>
      <c r="AG32" s="67"/>
      <c r="AH32" s="66">
        <f t="shared" si="2"/>
        <v>0</v>
      </c>
      <c r="AI32" s="68">
        <f t="shared" si="14"/>
        <v>0</v>
      </c>
    </row>
    <row r="33" spans="1:37" ht="17.25" customHeight="1" x14ac:dyDescent="0.25">
      <c r="A33" s="40">
        <f t="shared" si="11"/>
        <v>24</v>
      </c>
      <c r="B33" s="43" t="s">
        <v>89</v>
      </c>
      <c r="C33" s="38" t="s">
        <v>26</v>
      </c>
      <c r="D33" s="67"/>
      <c r="E33" s="67"/>
      <c r="F33" s="67"/>
      <c r="G33" s="67"/>
      <c r="H33" s="66">
        <f t="shared" si="0"/>
        <v>0</v>
      </c>
      <c r="I33" s="67"/>
      <c r="J33" s="67"/>
      <c r="K33" s="67"/>
      <c r="L33" s="12"/>
      <c r="M33" s="11"/>
      <c r="N33" s="67"/>
      <c r="O33" s="66">
        <f t="shared" si="12"/>
        <v>0</v>
      </c>
      <c r="P33" s="12"/>
      <c r="Q33" s="11"/>
      <c r="R33" s="67"/>
      <c r="S33" s="67"/>
      <c r="T33" s="67"/>
      <c r="U33" s="67"/>
      <c r="V33" s="66">
        <f t="shared" si="13"/>
        <v>0</v>
      </c>
      <c r="W33" s="67"/>
      <c r="X33" s="67"/>
      <c r="Y33" s="67"/>
      <c r="Z33" s="67"/>
      <c r="AA33" s="67"/>
      <c r="AB33" s="67"/>
      <c r="AC33" s="66">
        <f t="shared" si="1"/>
        <v>0</v>
      </c>
      <c r="AD33" s="67"/>
      <c r="AE33" s="67"/>
      <c r="AF33" s="67"/>
      <c r="AG33" s="67"/>
      <c r="AH33" s="66">
        <f t="shared" si="2"/>
        <v>0</v>
      </c>
      <c r="AI33" s="68">
        <f t="shared" si="14"/>
        <v>0</v>
      </c>
    </row>
    <row r="34" spans="1:37" ht="17.25" customHeight="1" x14ac:dyDescent="0.25">
      <c r="A34" s="40">
        <f t="shared" si="11"/>
        <v>25</v>
      </c>
      <c r="B34" s="58" t="s">
        <v>93</v>
      </c>
      <c r="C34" s="59" t="s">
        <v>26</v>
      </c>
      <c r="D34" s="67"/>
      <c r="E34" s="67"/>
      <c r="F34" s="67"/>
      <c r="G34" s="67"/>
      <c r="H34" s="66">
        <f t="shared" si="0"/>
        <v>0</v>
      </c>
      <c r="I34" s="67"/>
      <c r="J34" s="67"/>
      <c r="K34" s="67"/>
      <c r="L34" s="12"/>
      <c r="M34" s="11"/>
      <c r="N34" s="67"/>
      <c r="O34" s="66">
        <f t="shared" si="12"/>
        <v>0</v>
      </c>
      <c r="P34" s="12"/>
      <c r="Q34" s="11"/>
      <c r="R34" s="67"/>
      <c r="S34" s="67"/>
      <c r="T34" s="67"/>
      <c r="U34" s="67"/>
      <c r="V34" s="66">
        <f t="shared" si="13"/>
        <v>0</v>
      </c>
      <c r="W34" s="67"/>
      <c r="X34" s="67"/>
      <c r="Y34" s="67"/>
      <c r="Z34" s="67"/>
      <c r="AA34" s="67"/>
      <c r="AB34" s="67"/>
      <c r="AC34" s="66">
        <f t="shared" si="1"/>
        <v>0</v>
      </c>
      <c r="AD34" s="67"/>
      <c r="AE34" s="67"/>
      <c r="AF34" s="67"/>
      <c r="AG34" s="67"/>
      <c r="AH34" s="66">
        <f t="shared" si="2"/>
        <v>0</v>
      </c>
      <c r="AI34" s="68">
        <f t="shared" si="14"/>
        <v>0</v>
      </c>
    </row>
    <row r="35" spans="1:37" ht="17.25" customHeight="1" x14ac:dyDescent="0.25">
      <c r="A35" s="40">
        <f>1+A34</f>
        <v>26</v>
      </c>
      <c r="B35" s="58" t="s">
        <v>112</v>
      </c>
      <c r="C35" s="59" t="s">
        <v>32</v>
      </c>
      <c r="D35" s="67"/>
      <c r="E35" s="67"/>
      <c r="F35" s="67"/>
      <c r="G35" s="67"/>
      <c r="H35" s="66">
        <f t="shared" si="0"/>
        <v>0</v>
      </c>
      <c r="I35" s="67"/>
      <c r="J35" s="67"/>
      <c r="K35" s="67"/>
      <c r="L35" s="12"/>
      <c r="M35" s="11"/>
      <c r="N35" s="67"/>
      <c r="O35" s="66">
        <f t="shared" si="12"/>
        <v>0</v>
      </c>
      <c r="P35" s="12"/>
      <c r="Q35" s="19"/>
      <c r="R35" s="67"/>
      <c r="S35" s="67"/>
      <c r="T35" s="67"/>
      <c r="U35" s="67"/>
      <c r="V35" s="66">
        <f t="shared" si="13"/>
        <v>0</v>
      </c>
      <c r="W35" s="67"/>
      <c r="X35" s="67"/>
      <c r="Y35" s="67"/>
      <c r="Z35" s="67"/>
      <c r="AA35" s="67"/>
      <c r="AB35" s="67"/>
      <c r="AC35" s="66">
        <f t="shared" si="1"/>
        <v>0</v>
      </c>
      <c r="AD35" s="67"/>
      <c r="AE35" s="67"/>
      <c r="AF35" s="67"/>
      <c r="AG35" s="67"/>
      <c r="AH35" s="66">
        <f t="shared" si="2"/>
        <v>0</v>
      </c>
      <c r="AI35" s="68">
        <f t="shared" si="14"/>
        <v>0</v>
      </c>
    </row>
    <row r="36" spans="1:37" ht="17.25" customHeight="1" x14ac:dyDescent="0.25">
      <c r="A36" s="40">
        <f t="shared" ref="A36:A37" si="15">1+A35</f>
        <v>27</v>
      </c>
      <c r="B36" s="58" t="s">
        <v>113</v>
      </c>
      <c r="C36" s="59" t="s">
        <v>32</v>
      </c>
      <c r="D36" s="67"/>
      <c r="E36" s="67"/>
      <c r="F36" s="67"/>
      <c r="G36" s="67"/>
      <c r="H36" s="66">
        <f t="shared" si="0"/>
        <v>0</v>
      </c>
      <c r="I36" s="67"/>
      <c r="J36" s="67"/>
      <c r="K36" s="67"/>
      <c r="L36" s="12"/>
      <c r="M36" s="11"/>
      <c r="N36" s="67"/>
      <c r="O36" s="66">
        <f t="shared" si="12"/>
        <v>0</v>
      </c>
      <c r="P36" s="12"/>
      <c r="Q36" s="19"/>
      <c r="R36" s="67"/>
      <c r="S36" s="67"/>
      <c r="T36" s="67"/>
      <c r="U36" s="67"/>
      <c r="V36" s="66">
        <f t="shared" si="13"/>
        <v>0</v>
      </c>
      <c r="W36" s="67"/>
      <c r="X36" s="67"/>
      <c r="Y36" s="67"/>
      <c r="Z36" s="67"/>
      <c r="AA36" s="67"/>
      <c r="AB36" s="67"/>
      <c r="AC36" s="66">
        <f t="shared" si="1"/>
        <v>0</v>
      </c>
      <c r="AD36" s="67"/>
      <c r="AE36" s="67"/>
      <c r="AF36" s="67"/>
      <c r="AG36" s="67"/>
      <c r="AH36" s="66">
        <f t="shared" si="2"/>
        <v>0</v>
      </c>
      <c r="AI36" s="68">
        <f t="shared" si="14"/>
        <v>0</v>
      </c>
    </row>
    <row r="37" spans="1:37" ht="17.25" customHeight="1" x14ac:dyDescent="0.25">
      <c r="A37" s="40">
        <f t="shared" si="15"/>
        <v>28</v>
      </c>
      <c r="B37" s="58" t="s">
        <v>94</v>
      </c>
      <c r="C37" s="59" t="s">
        <v>26</v>
      </c>
      <c r="D37" s="67"/>
      <c r="E37" s="67"/>
      <c r="F37" s="67"/>
      <c r="G37" s="67"/>
      <c r="H37" s="66">
        <f t="shared" si="0"/>
        <v>0</v>
      </c>
      <c r="I37" s="12"/>
      <c r="J37" s="12"/>
      <c r="K37" s="12"/>
      <c r="L37" s="12"/>
      <c r="M37" s="11"/>
      <c r="N37" s="67"/>
      <c r="O37" s="66">
        <f t="shared" si="12"/>
        <v>0</v>
      </c>
      <c r="P37" s="67"/>
      <c r="Q37" s="19"/>
      <c r="R37" s="67"/>
      <c r="S37" s="67"/>
      <c r="T37" s="67"/>
      <c r="U37" s="67"/>
      <c r="V37" s="66">
        <f t="shared" si="13"/>
        <v>0</v>
      </c>
      <c r="W37" s="67"/>
      <c r="X37" s="67"/>
      <c r="Y37" s="67"/>
      <c r="Z37" s="12"/>
      <c r="AA37" s="67"/>
      <c r="AB37" s="67"/>
      <c r="AC37" s="66">
        <f t="shared" si="1"/>
        <v>0</v>
      </c>
      <c r="AD37" s="12"/>
      <c r="AE37" s="12"/>
      <c r="AF37" s="12"/>
      <c r="AG37" s="12">
        <v>148090</v>
      </c>
      <c r="AH37" s="66">
        <f t="shared" si="2"/>
        <v>148090</v>
      </c>
      <c r="AI37" s="68">
        <f t="shared" si="14"/>
        <v>148090</v>
      </c>
    </row>
    <row r="38" spans="1:37" ht="17.25" customHeight="1" x14ac:dyDescent="0.25">
      <c r="A38" s="40">
        <f t="shared" si="11"/>
        <v>29</v>
      </c>
      <c r="B38" s="58" t="s">
        <v>100</v>
      </c>
      <c r="C38" s="59" t="s">
        <v>13</v>
      </c>
      <c r="D38" s="67"/>
      <c r="E38" s="67"/>
      <c r="F38" s="67"/>
      <c r="G38" s="67"/>
      <c r="H38" s="66">
        <f t="shared" si="0"/>
        <v>0</v>
      </c>
      <c r="I38" s="12"/>
      <c r="J38" s="12"/>
      <c r="K38" s="12"/>
      <c r="L38" s="67"/>
      <c r="M38" s="67"/>
      <c r="N38" s="67"/>
      <c r="O38" s="66">
        <f t="shared" si="12"/>
        <v>0</v>
      </c>
      <c r="P38" s="67"/>
      <c r="Q38" s="19"/>
      <c r="R38" s="67"/>
      <c r="S38" s="67"/>
      <c r="T38" s="67"/>
      <c r="U38" s="67"/>
      <c r="V38" s="66">
        <f t="shared" si="13"/>
        <v>0</v>
      </c>
      <c r="W38" s="67"/>
      <c r="X38" s="67"/>
      <c r="Y38" s="67"/>
      <c r="Z38" s="67"/>
      <c r="AA38" s="67"/>
      <c r="AB38" s="67"/>
      <c r="AC38" s="66">
        <f t="shared" si="1"/>
        <v>0</v>
      </c>
      <c r="AD38" s="67"/>
      <c r="AE38" s="67"/>
      <c r="AF38" s="67"/>
      <c r="AG38" s="67"/>
      <c r="AH38" s="66">
        <f t="shared" si="2"/>
        <v>0</v>
      </c>
      <c r="AI38" s="68">
        <f t="shared" si="14"/>
        <v>0</v>
      </c>
      <c r="AK38" s="49"/>
    </row>
    <row r="39" spans="1:37" ht="17.25" customHeight="1" x14ac:dyDescent="0.25">
      <c r="A39" s="40">
        <f>1+A38</f>
        <v>30</v>
      </c>
      <c r="B39" s="58" t="s">
        <v>101</v>
      </c>
      <c r="C39" s="59" t="s">
        <v>16</v>
      </c>
      <c r="D39" s="67"/>
      <c r="E39" s="67"/>
      <c r="F39" s="67"/>
      <c r="G39" s="67"/>
      <c r="H39" s="66">
        <f t="shared" si="0"/>
        <v>0</v>
      </c>
      <c r="I39" s="12"/>
      <c r="J39" s="12"/>
      <c r="K39" s="12"/>
      <c r="L39" s="67"/>
      <c r="M39" s="67"/>
      <c r="N39" s="67"/>
      <c r="O39" s="66">
        <f t="shared" si="12"/>
        <v>0</v>
      </c>
      <c r="P39" s="67"/>
      <c r="Q39" s="19"/>
      <c r="R39" s="67"/>
      <c r="S39" s="67"/>
      <c r="T39" s="67"/>
      <c r="U39" s="67"/>
      <c r="V39" s="66">
        <f t="shared" si="13"/>
        <v>0</v>
      </c>
      <c r="W39" s="67"/>
      <c r="X39" s="67"/>
      <c r="Y39" s="67"/>
      <c r="Z39" s="67"/>
      <c r="AA39" s="67"/>
      <c r="AB39" s="67"/>
      <c r="AC39" s="66">
        <f t="shared" si="1"/>
        <v>0</v>
      </c>
      <c r="AD39" s="67"/>
      <c r="AE39" s="67"/>
      <c r="AF39" s="67"/>
      <c r="AG39" s="67"/>
      <c r="AH39" s="66">
        <f t="shared" si="2"/>
        <v>0</v>
      </c>
      <c r="AI39" s="68">
        <f t="shared" si="14"/>
        <v>0</v>
      </c>
    </row>
    <row r="40" spans="1:37" ht="17.25" customHeight="1" x14ac:dyDescent="0.25">
      <c r="A40" s="40">
        <f t="shared" ref="A40:A65" si="16">1+A39</f>
        <v>31</v>
      </c>
      <c r="B40" s="58" t="s">
        <v>103</v>
      </c>
      <c r="C40" s="59" t="s">
        <v>104</v>
      </c>
      <c r="D40" s="67"/>
      <c r="E40" s="67"/>
      <c r="F40" s="67"/>
      <c r="G40" s="67"/>
      <c r="H40" s="66">
        <f t="shared" si="0"/>
        <v>0</v>
      </c>
      <c r="I40" s="12"/>
      <c r="J40" s="12"/>
      <c r="K40" s="12"/>
      <c r="L40" s="67"/>
      <c r="M40" s="67"/>
      <c r="N40" s="67"/>
      <c r="O40" s="66">
        <f t="shared" si="12"/>
        <v>0</v>
      </c>
      <c r="P40" s="67"/>
      <c r="Q40" s="19"/>
      <c r="R40" s="67"/>
      <c r="S40" s="67"/>
      <c r="T40" s="67"/>
      <c r="U40" s="67"/>
      <c r="V40" s="66">
        <f t="shared" si="13"/>
        <v>0</v>
      </c>
      <c r="W40" s="67"/>
      <c r="X40" s="67"/>
      <c r="Y40" s="67"/>
      <c r="Z40" s="67"/>
      <c r="AA40" s="67"/>
      <c r="AB40" s="67"/>
      <c r="AC40" s="66">
        <f t="shared" si="1"/>
        <v>0</v>
      </c>
      <c r="AD40" s="67"/>
      <c r="AE40" s="67"/>
      <c r="AF40" s="67"/>
      <c r="AG40" s="67"/>
      <c r="AH40" s="66">
        <f t="shared" si="2"/>
        <v>0</v>
      </c>
      <c r="AI40" s="68">
        <f t="shared" si="14"/>
        <v>0</v>
      </c>
    </row>
    <row r="41" spans="1:37" ht="17.25" customHeight="1" x14ac:dyDescent="0.25">
      <c r="A41" s="40">
        <f t="shared" si="16"/>
        <v>32</v>
      </c>
      <c r="B41" s="58" t="s">
        <v>98</v>
      </c>
      <c r="C41" s="59" t="s">
        <v>88</v>
      </c>
      <c r="D41" s="67"/>
      <c r="E41" s="67"/>
      <c r="F41" s="67"/>
      <c r="G41" s="67"/>
      <c r="H41" s="66">
        <f t="shared" si="0"/>
        <v>0</v>
      </c>
      <c r="I41" s="12"/>
      <c r="J41" s="12"/>
      <c r="K41" s="12"/>
      <c r="L41" s="67"/>
      <c r="M41" s="67"/>
      <c r="N41" s="67"/>
      <c r="O41" s="66">
        <f t="shared" si="12"/>
        <v>0</v>
      </c>
      <c r="P41" s="67"/>
      <c r="Q41" s="19"/>
      <c r="R41" s="67"/>
      <c r="S41" s="67"/>
      <c r="T41" s="67"/>
      <c r="U41" s="67"/>
      <c r="V41" s="66">
        <f t="shared" si="13"/>
        <v>0</v>
      </c>
      <c r="W41" s="67"/>
      <c r="X41" s="67"/>
      <c r="Y41" s="67"/>
      <c r="Z41" s="67"/>
      <c r="AA41" s="67"/>
      <c r="AB41" s="67"/>
      <c r="AC41" s="66">
        <f t="shared" si="1"/>
        <v>0</v>
      </c>
      <c r="AD41" s="67"/>
      <c r="AE41" s="67"/>
      <c r="AF41" s="67"/>
      <c r="AG41" s="181">
        <v>200633.60000000001</v>
      </c>
      <c r="AH41" s="66">
        <f t="shared" si="2"/>
        <v>200633.60000000001</v>
      </c>
      <c r="AI41" s="68">
        <f t="shared" si="14"/>
        <v>200633.60000000001</v>
      </c>
    </row>
    <row r="42" spans="1:37" ht="17.25" customHeight="1" x14ac:dyDescent="0.25">
      <c r="A42" s="40">
        <f t="shared" si="16"/>
        <v>33</v>
      </c>
      <c r="B42" s="58" t="s">
        <v>114</v>
      </c>
      <c r="C42" s="59" t="s">
        <v>88</v>
      </c>
      <c r="D42" s="67"/>
      <c r="E42" s="67"/>
      <c r="F42" s="67"/>
      <c r="G42" s="67"/>
      <c r="H42" s="66">
        <f t="shared" si="0"/>
        <v>0</v>
      </c>
      <c r="I42" s="12"/>
      <c r="J42" s="12"/>
      <c r="K42" s="12"/>
      <c r="L42" s="67"/>
      <c r="M42" s="67"/>
      <c r="N42" s="67"/>
      <c r="O42" s="66">
        <f t="shared" si="12"/>
        <v>0</v>
      </c>
      <c r="P42" s="67"/>
      <c r="Q42" s="19"/>
      <c r="R42" s="67"/>
      <c r="S42" s="67"/>
      <c r="T42" s="67"/>
      <c r="U42" s="67"/>
      <c r="V42" s="66">
        <f t="shared" si="13"/>
        <v>0</v>
      </c>
      <c r="W42" s="67"/>
      <c r="X42" s="67"/>
      <c r="Y42" s="67"/>
      <c r="Z42" s="67"/>
      <c r="AA42" s="67"/>
      <c r="AB42" s="67"/>
      <c r="AC42" s="66">
        <f t="shared" si="1"/>
        <v>0</v>
      </c>
      <c r="AD42" s="67"/>
      <c r="AE42" s="67"/>
      <c r="AF42" s="67"/>
      <c r="AG42" s="181">
        <v>436247</v>
      </c>
      <c r="AH42" s="66">
        <f t="shared" si="2"/>
        <v>436247</v>
      </c>
      <c r="AI42" s="68">
        <f t="shared" si="14"/>
        <v>436247</v>
      </c>
      <c r="AK42" s="49"/>
    </row>
    <row r="43" spans="1:37" ht="17.25" customHeight="1" x14ac:dyDescent="0.25">
      <c r="A43" s="40">
        <f t="shared" si="16"/>
        <v>34</v>
      </c>
      <c r="B43" s="58" t="s">
        <v>121</v>
      </c>
      <c r="C43" s="59" t="s">
        <v>86</v>
      </c>
      <c r="D43" s="67"/>
      <c r="E43" s="67"/>
      <c r="F43" s="67"/>
      <c r="G43" s="67"/>
      <c r="H43" s="66">
        <f t="shared" si="0"/>
        <v>0</v>
      </c>
      <c r="I43" s="12"/>
      <c r="J43" s="12"/>
      <c r="K43" s="12"/>
      <c r="L43" s="67"/>
      <c r="M43" s="67"/>
      <c r="N43" s="67"/>
      <c r="O43" s="66">
        <f t="shared" si="12"/>
        <v>0</v>
      </c>
      <c r="P43" s="67"/>
      <c r="Q43" s="19"/>
      <c r="R43" s="67"/>
      <c r="S43" s="67"/>
      <c r="T43" s="67"/>
      <c r="U43" s="67"/>
      <c r="V43" s="66">
        <f t="shared" si="13"/>
        <v>0</v>
      </c>
      <c r="W43" s="67"/>
      <c r="X43" s="67"/>
      <c r="Y43" s="67"/>
      <c r="Z43" s="67"/>
      <c r="AA43" s="67"/>
      <c r="AB43" s="67"/>
      <c r="AC43" s="66">
        <f t="shared" si="1"/>
        <v>0</v>
      </c>
      <c r="AD43" s="67"/>
      <c r="AE43" s="67"/>
      <c r="AF43" s="67"/>
      <c r="AG43" s="67"/>
      <c r="AH43" s="66">
        <f t="shared" si="2"/>
        <v>0</v>
      </c>
      <c r="AI43" s="68">
        <f t="shared" si="14"/>
        <v>0</v>
      </c>
    </row>
    <row r="44" spans="1:37" ht="17.25" customHeight="1" x14ac:dyDescent="0.25">
      <c r="A44" s="40">
        <f t="shared" si="16"/>
        <v>35</v>
      </c>
      <c r="B44" s="58" t="s">
        <v>118</v>
      </c>
      <c r="C44" s="59" t="s">
        <v>122</v>
      </c>
      <c r="D44" s="67"/>
      <c r="E44" s="67"/>
      <c r="F44" s="67"/>
      <c r="G44" s="67"/>
      <c r="H44" s="66">
        <f t="shared" si="0"/>
        <v>0</v>
      </c>
      <c r="I44" s="12"/>
      <c r="J44" s="12"/>
      <c r="K44" s="12"/>
      <c r="L44" s="67"/>
      <c r="M44" s="67"/>
      <c r="N44" s="67"/>
      <c r="O44" s="66">
        <f t="shared" si="12"/>
        <v>0</v>
      </c>
      <c r="P44" s="67"/>
      <c r="Q44" s="19"/>
      <c r="R44" s="67"/>
      <c r="S44" s="67"/>
      <c r="T44" s="67"/>
      <c r="U44" s="67"/>
      <c r="V44" s="66">
        <f t="shared" si="13"/>
        <v>0</v>
      </c>
      <c r="W44" s="67"/>
      <c r="X44" s="67"/>
      <c r="Y44" s="67"/>
      <c r="Z44" s="67"/>
      <c r="AA44" s="67"/>
      <c r="AB44" s="67"/>
      <c r="AC44" s="66">
        <f t="shared" si="1"/>
        <v>0</v>
      </c>
      <c r="AD44" s="67"/>
      <c r="AE44" s="67"/>
      <c r="AF44" s="67"/>
      <c r="AG44" s="67"/>
      <c r="AH44" s="66">
        <f t="shared" si="2"/>
        <v>0</v>
      </c>
      <c r="AI44" s="68">
        <f t="shared" si="14"/>
        <v>0</v>
      </c>
    </row>
    <row r="45" spans="1:37" ht="17.25" customHeight="1" x14ac:dyDescent="0.25">
      <c r="A45" s="40">
        <f t="shared" si="16"/>
        <v>36</v>
      </c>
      <c r="B45" s="58" t="s">
        <v>115</v>
      </c>
      <c r="C45" s="59" t="s">
        <v>116</v>
      </c>
      <c r="D45" s="67"/>
      <c r="E45" s="67"/>
      <c r="F45" s="67"/>
      <c r="G45" s="67"/>
      <c r="H45" s="66">
        <f t="shared" si="0"/>
        <v>0</v>
      </c>
      <c r="I45" s="12"/>
      <c r="J45" s="12"/>
      <c r="K45" s="12"/>
      <c r="L45" s="12"/>
      <c r="M45" s="12"/>
      <c r="N45" s="12"/>
      <c r="O45" s="66">
        <f t="shared" si="12"/>
        <v>0</v>
      </c>
      <c r="P45" s="67"/>
      <c r="Q45" s="19"/>
      <c r="R45" s="67"/>
      <c r="S45" s="67"/>
      <c r="T45" s="12"/>
      <c r="U45" s="12"/>
      <c r="V45" s="66">
        <f t="shared" si="13"/>
        <v>0</v>
      </c>
      <c r="W45" s="67"/>
      <c r="X45" s="12"/>
      <c r="Y45" s="12"/>
      <c r="Z45" s="67"/>
      <c r="AA45" s="67"/>
      <c r="AB45" s="67"/>
      <c r="AC45" s="66">
        <f t="shared" si="1"/>
        <v>0</v>
      </c>
      <c r="AD45" s="67"/>
      <c r="AE45" s="67"/>
      <c r="AF45" s="67"/>
      <c r="AG45" s="67"/>
      <c r="AH45" s="66">
        <f t="shared" si="2"/>
        <v>0</v>
      </c>
      <c r="AI45" s="68">
        <f t="shared" si="14"/>
        <v>0</v>
      </c>
    </row>
    <row r="46" spans="1:37" ht="17.25" customHeight="1" x14ac:dyDescent="0.25">
      <c r="A46" s="40">
        <f t="shared" si="16"/>
        <v>37</v>
      </c>
      <c r="B46" s="58" t="s">
        <v>123</v>
      </c>
      <c r="C46" s="59" t="s">
        <v>125</v>
      </c>
      <c r="D46" s="67"/>
      <c r="E46" s="67"/>
      <c r="F46" s="67"/>
      <c r="G46" s="67"/>
      <c r="H46" s="66">
        <f t="shared" si="0"/>
        <v>0</v>
      </c>
      <c r="I46" s="12"/>
      <c r="J46" s="12"/>
      <c r="K46" s="12"/>
      <c r="L46" s="12"/>
      <c r="M46" s="12"/>
      <c r="N46" s="12"/>
      <c r="O46" s="66">
        <f t="shared" si="12"/>
        <v>0</v>
      </c>
      <c r="P46" s="67"/>
      <c r="Q46" s="67"/>
      <c r="R46" s="67"/>
      <c r="S46" s="67"/>
      <c r="T46" s="12"/>
      <c r="U46" s="12"/>
      <c r="V46" s="66">
        <f t="shared" si="13"/>
        <v>0</v>
      </c>
      <c r="W46" s="67"/>
      <c r="X46" s="12"/>
      <c r="Y46" s="12"/>
      <c r="Z46" s="67"/>
      <c r="AA46" s="67"/>
      <c r="AB46" s="67"/>
      <c r="AC46" s="66">
        <f t="shared" si="1"/>
        <v>0</v>
      </c>
      <c r="AD46" s="67"/>
      <c r="AE46" s="67"/>
      <c r="AF46" s="67"/>
      <c r="AG46" s="67"/>
      <c r="AH46" s="66">
        <f t="shared" si="2"/>
        <v>0</v>
      </c>
      <c r="AI46" s="68">
        <f t="shared" si="14"/>
        <v>0</v>
      </c>
    </row>
    <row r="47" spans="1:37" ht="17.25" customHeight="1" x14ac:dyDescent="0.25">
      <c r="A47" s="40">
        <f t="shared" si="16"/>
        <v>38</v>
      </c>
      <c r="B47" s="58" t="s">
        <v>128</v>
      </c>
      <c r="C47" s="59" t="s">
        <v>129</v>
      </c>
      <c r="D47" s="67"/>
      <c r="E47" s="67"/>
      <c r="F47" s="67"/>
      <c r="G47" s="67"/>
      <c r="H47" s="66">
        <f t="shared" si="0"/>
        <v>0</v>
      </c>
      <c r="I47" s="12"/>
      <c r="J47" s="12"/>
      <c r="K47" s="12"/>
      <c r="L47" s="12"/>
      <c r="M47" s="12"/>
      <c r="N47" s="12"/>
      <c r="O47" s="66">
        <f t="shared" si="12"/>
        <v>0</v>
      </c>
      <c r="P47" s="67"/>
      <c r="Q47" s="67"/>
      <c r="R47" s="67"/>
      <c r="S47" s="67"/>
      <c r="T47" s="12"/>
      <c r="U47" s="12"/>
      <c r="V47" s="66">
        <f t="shared" si="13"/>
        <v>0</v>
      </c>
      <c r="W47" s="12"/>
      <c r="X47" s="11"/>
      <c r="Y47" s="12"/>
      <c r="Z47" s="67"/>
      <c r="AA47" s="67"/>
      <c r="AB47" s="67"/>
      <c r="AC47" s="66">
        <f t="shared" si="1"/>
        <v>0</v>
      </c>
      <c r="AD47" s="67"/>
      <c r="AE47" s="67"/>
      <c r="AF47" s="67"/>
      <c r="AG47" s="67"/>
      <c r="AH47" s="66">
        <f t="shared" si="2"/>
        <v>0</v>
      </c>
      <c r="AI47" s="68">
        <f t="shared" si="14"/>
        <v>0</v>
      </c>
    </row>
    <row r="48" spans="1:37" ht="17.25" customHeight="1" x14ac:dyDescent="0.25">
      <c r="A48" s="40">
        <f t="shared" si="16"/>
        <v>39</v>
      </c>
      <c r="B48" s="58" t="s">
        <v>126</v>
      </c>
      <c r="C48" s="59" t="s">
        <v>29</v>
      </c>
      <c r="D48" s="67"/>
      <c r="E48" s="67"/>
      <c r="F48" s="67"/>
      <c r="G48" s="67"/>
      <c r="H48" s="66">
        <f t="shared" si="0"/>
        <v>0</v>
      </c>
      <c r="I48" s="12"/>
      <c r="J48" s="12"/>
      <c r="K48" s="12"/>
      <c r="L48" s="12"/>
      <c r="M48" s="12"/>
      <c r="N48" s="12"/>
      <c r="O48" s="66">
        <f t="shared" si="12"/>
        <v>0</v>
      </c>
      <c r="P48" s="67"/>
      <c r="Q48" s="67"/>
      <c r="R48" s="67"/>
      <c r="S48" s="67"/>
      <c r="T48" s="12"/>
      <c r="U48" s="12"/>
      <c r="V48" s="66">
        <f t="shared" si="13"/>
        <v>0</v>
      </c>
      <c r="W48" s="12"/>
      <c r="X48" s="11"/>
      <c r="Y48" s="12"/>
      <c r="Z48" s="67"/>
      <c r="AA48" s="67"/>
      <c r="AB48" s="67"/>
      <c r="AC48" s="66">
        <f t="shared" si="1"/>
        <v>0</v>
      </c>
      <c r="AD48" s="67"/>
      <c r="AE48" s="67"/>
      <c r="AF48" s="67"/>
      <c r="AG48" s="67"/>
      <c r="AH48" s="66">
        <f t="shared" si="2"/>
        <v>0</v>
      </c>
      <c r="AI48" s="68">
        <f t="shared" si="14"/>
        <v>0</v>
      </c>
    </row>
    <row r="49" spans="1:35" ht="17.25" customHeight="1" x14ac:dyDescent="0.25">
      <c r="A49" s="40">
        <f t="shared" si="16"/>
        <v>40</v>
      </c>
      <c r="B49" s="58" t="s">
        <v>132</v>
      </c>
      <c r="C49" s="59" t="s">
        <v>16</v>
      </c>
      <c r="D49" s="67"/>
      <c r="E49" s="67"/>
      <c r="F49" s="67"/>
      <c r="G49" s="67"/>
      <c r="H49" s="66">
        <f t="shared" si="0"/>
        <v>0</v>
      </c>
      <c r="I49" s="12"/>
      <c r="J49" s="12"/>
      <c r="K49" s="12"/>
      <c r="L49" s="12"/>
      <c r="M49" s="12"/>
      <c r="N49" s="12"/>
      <c r="O49" s="66"/>
      <c r="P49" s="67"/>
      <c r="Q49" s="67"/>
      <c r="R49" s="67"/>
      <c r="S49" s="67"/>
      <c r="T49" s="12"/>
      <c r="U49" s="12"/>
      <c r="V49" s="66"/>
      <c r="W49" s="12"/>
      <c r="X49" s="11"/>
      <c r="Y49" s="12"/>
      <c r="Z49" s="67"/>
      <c r="AA49" s="67"/>
      <c r="AB49" s="67"/>
      <c r="AC49" s="66"/>
      <c r="AD49" s="67"/>
      <c r="AE49" s="67"/>
      <c r="AF49" s="67"/>
      <c r="AG49" s="67"/>
      <c r="AH49" s="66">
        <f t="shared" si="2"/>
        <v>0</v>
      </c>
      <c r="AI49" s="68">
        <f t="shared" si="14"/>
        <v>0</v>
      </c>
    </row>
    <row r="50" spans="1:35" ht="29.25" customHeight="1" x14ac:dyDescent="0.25">
      <c r="A50" s="40">
        <f t="shared" si="16"/>
        <v>41</v>
      </c>
      <c r="B50" s="58" t="s">
        <v>133</v>
      </c>
      <c r="C50" s="59" t="s">
        <v>140</v>
      </c>
      <c r="D50" s="67"/>
      <c r="E50" s="67"/>
      <c r="F50" s="67"/>
      <c r="G50" s="67"/>
      <c r="H50" s="66">
        <f t="shared" si="0"/>
        <v>0</v>
      </c>
      <c r="I50" s="12"/>
      <c r="J50" s="12"/>
      <c r="K50" s="12"/>
      <c r="L50" s="12"/>
      <c r="M50" s="12"/>
      <c r="N50" s="12"/>
      <c r="O50" s="66"/>
      <c r="P50" s="67"/>
      <c r="Q50" s="67"/>
      <c r="R50" s="67"/>
      <c r="S50" s="67"/>
      <c r="T50" s="12"/>
      <c r="U50" s="12"/>
      <c r="V50" s="66"/>
      <c r="W50" s="12"/>
      <c r="X50" s="11"/>
      <c r="Y50" s="12"/>
      <c r="Z50" s="67"/>
      <c r="AA50" s="67"/>
      <c r="AB50" s="67"/>
      <c r="AC50" s="66"/>
      <c r="AD50" s="67"/>
      <c r="AE50" s="67"/>
      <c r="AF50" s="67"/>
      <c r="AG50" s="67">
        <v>26000</v>
      </c>
      <c r="AH50" s="66">
        <f t="shared" si="2"/>
        <v>26000</v>
      </c>
      <c r="AI50" s="68">
        <f t="shared" si="14"/>
        <v>26000</v>
      </c>
    </row>
    <row r="51" spans="1:35" ht="29.25" customHeight="1" x14ac:dyDescent="0.25">
      <c r="A51" s="40">
        <f t="shared" si="16"/>
        <v>42</v>
      </c>
      <c r="B51" s="43" t="s">
        <v>141</v>
      </c>
      <c r="C51" s="59" t="s">
        <v>142</v>
      </c>
      <c r="D51" s="67"/>
      <c r="E51" s="67"/>
      <c r="F51" s="67"/>
      <c r="G51" s="67"/>
      <c r="H51" s="66">
        <f t="shared" si="0"/>
        <v>0</v>
      </c>
      <c r="I51" s="12"/>
      <c r="J51" s="12"/>
      <c r="K51" s="12"/>
      <c r="L51" s="12"/>
      <c r="M51" s="12"/>
      <c r="N51" s="12"/>
      <c r="O51" s="66"/>
      <c r="P51" s="67"/>
      <c r="Q51" s="67"/>
      <c r="R51" s="67"/>
      <c r="S51" s="67"/>
      <c r="T51" s="12"/>
      <c r="U51" s="12"/>
      <c r="V51" s="66"/>
      <c r="W51" s="12"/>
      <c r="X51" s="11"/>
      <c r="Y51" s="12"/>
      <c r="Z51" s="67"/>
      <c r="AA51" s="67"/>
      <c r="AB51" s="67"/>
      <c r="AC51" s="66"/>
      <c r="AD51" s="67"/>
      <c r="AE51" s="67"/>
      <c r="AF51" s="67"/>
      <c r="AG51" s="67"/>
      <c r="AH51" s="66">
        <f t="shared" si="2"/>
        <v>0</v>
      </c>
      <c r="AI51" s="68">
        <f t="shared" si="14"/>
        <v>0</v>
      </c>
    </row>
    <row r="52" spans="1:35" ht="19.5" customHeight="1" x14ac:dyDescent="0.25">
      <c r="A52" s="40">
        <f t="shared" si="16"/>
        <v>43</v>
      </c>
      <c r="B52" s="64" t="s">
        <v>143</v>
      </c>
      <c r="C52" s="59" t="s">
        <v>16</v>
      </c>
      <c r="D52" s="67"/>
      <c r="E52" s="67"/>
      <c r="F52" s="67"/>
      <c r="G52" s="67"/>
      <c r="H52" s="66"/>
      <c r="I52" s="12"/>
      <c r="J52" s="12"/>
      <c r="K52" s="12"/>
      <c r="L52" s="12"/>
      <c r="M52" s="12"/>
      <c r="N52" s="12"/>
      <c r="O52" s="66"/>
      <c r="P52" s="67"/>
      <c r="Q52" s="67"/>
      <c r="R52" s="67"/>
      <c r="S52" s="67"/>
      <c r="T52" s="12"/>
      <c r="U52" s="12"/>
      <c r="V52" s="66"/>
      <c r="W52" s="12"/>
      <c r="X52" s="11"/>
      <c r="Y52" s="12"/>
      <c r="Z52" s="67"/>
      <c r="AA52" s="67"/>
      <c r="AB52" s="67"/>
      <c r="AC52" s="66"/>
      <c r="AD52" s="67"/>
      <c r="AE52" s="67"/>
      <c r="AF52" s="67"/>
      <c r="AG52" s="67"/>
      <c r="AH52" s="66">
        <f t="shared" si="2"/>
        <v>0</v>
      </c>
      <c r="AI52" s="68">
        <f t="shared" si="14"/>
        <v>0</v>
      </c>
    </row>
    <row r="53" spans="1:35" ht="19.5" customHeight="1" x14ac:dyDescent="0.25">
      <c r="A53" s="40">
        <f t="shared" si="16"/>
        <v>44</v>
      </c>
      <c r="B53" s="64" t="s">
        <v>144</v>
      </c>
      <c r="C53" s="59" t="s">
        <v>145</v>
      </c>
      <c r="D53" s="67"/>
      <c r="E53" s="67"/>
      <c r="F53" s="67"/>
      <c r="G53" s="67"/>
      <c r="H53" s="66"/>
      <c r="I53" s="12"/>
      <c r="J53" s="12"/>
      <c r="K53" s="12"/>
      <c r="L53" s="12"/>
      <c r="M53" s="12"/>
      <c r="N53" s="12"/>
      <c r="O53" s="66"/>
      <c r="P53" s="67"/>
      <c r="Q53" s="67"/>
      <c r="R53" s="67"/>
      <c r="S53" s="67"/>
      <c r="T53" s="12"/>
      <c r="U53" s="12"/>
      <c r="V53" s="66"/>
      <c r="W53" s="12"/>
      <c r="X53" s="11"/>
      <c r="Y53" s="12"/>
      <c r="Z53" s="67"/>
      <c r="AA53" s="67"/>
      <c r="AB53" s="67"/>
      <c r="AC53" s="66"/>
      <c r="AD53" s="67"/>
      <c r="AE53" s="67"/>
      <c r="AF53" s="67"/>
      <c r="AG53" s="67"/>
      <c r="AH53" s="66">
        <f t="shared" si="2"/>
        <v>0</v>
      </c>
      <c r="AI53" s="68">
        <f t="shared" si="14"/>
        <v>0</v>
      </c>
    </row>
    <row r="54" spans="1:35" ht="19.5" customHeight="1" x14ac:dyDescent="0.25">
      <c r="A54" s="40">
        <f t="shared" si="16"/>
        <v>45</v>
      </c>
      <c r="B54" s="64" t="s">
        <v>146</v>
      </c>
      <c r="C54" s="59" t="s">
        <v>32</v>
      </c>
      <c r="D54" s="67"/>
      <c r="E54" s="67"/>
      <c r="F54" s="67"/>
      <c r="G54" s="67"/>
      <c r="H54" s="66"/>
      <c r="I54" s="12"/>
      <c r="J54" s="12"/>
      <c r="K54" s="12"/>
      <c r="L54" s="12"/>
      <c r="M54" s="12"/>
      <c r="N54" s="12"/>
      <c r="O54" s="66"/>
      <c r="P54" s="67"/>
      <c r="Q54" s="67"/>
      <c r="R54" s="67"/>
      <c r="S54" s="67"/>
      <c r="T54" s="12"/>
      <c r="U54" s="12"/>
      <c r="V54" s="66"/>
      <c r="W54" s="12"/>
      <c r="X54" s="11"/>
      <c r="Y54" s="12"/>
      <c r="Z54" s="67"/>
      <c r="AA54" s="67"/>
      <c r="AB54" s="67"/>
      <c r="AC54" s="66"/>
      <c r="AD54" s="67"/>
      <c r="AE54" s="67"/>
      <c r="AF54" s="67"/>
      <c r="AG54" s="67"/>
      <c r="AH54" s="66">
        <f t="shared" si="2"/>
        <v>0</v>
      </c>
      <c r="AI54" s="68">
        <f t="shared" si="14"/>
        <v>0</v>
      </c>
    </row>
    <row r="55" spans="1:35" ht="19.5" customHeight="1" x14ac:dyDescent="0.25">
      <c r="A55" s="40">
        <f t="shared" si="16"/>
        <v>46</v>
      </c>
      <c r="B55" s="58" t="s">
        <v>150</v>
      </c>
      <c r="C55" s="59" t="s">
        <v>88</v>
      </c>
      <c r="D55" s="67"/>
      <c r="E55" s="67"/>
      <c r="F55" s="67"/>
      <c r="G55" s="67"/>
      <c r="H55" s="66">
        <f t="shared" si="0"/>
        <v>0</v>
      </c>
      <c r="I55" s="12"/>
      <c r="J55" s="12"/>
      <c r="K55" s="12"/>
      <c r="L55" s="12"/>
      <c r="M55" s="12"/>
      <c r="N55" s="12"/>
      <c r="O55" s="66">
        <f t="shared" si="12"/>
        <v>0</v>
      </c>
      <c r="P55" s="67"/>
      <c r="Q55" s="67"/>
      <c r="R55" s="67"/>
      <c r="S55" s="67"/>
      <c r="T55" s="12"/>
      <c r="U55" s="12"/>
      <c r="V55" s="66">
        <f t="shared" si="13"/>
        <v>0</v>
      </c>
      <c r="W55" s="12"/>
      <c r="X55" s="11"/>
      <c r="Y55" s="12"/>
      <c r="Z55" s="67"/>
      <c r="AA55" s="67"/>
      <c r="AB55" s="67"/>
      <c r="AC55" s="66">
        <f t="shared" si="1"/>
        <v>0</v>
      </c>
      <c r="AD55" s="67"/>
      <c r="AE55" s="67"/>
      <c r="AF55" s="67"/>
      <c r="AG55" s="67"/>
      <c r="AH55" s="66">
        <f t="shared" si="2"/>
        <v>0</v>
      </c>
      <c r="AI55" s="68">
        <f t="shared" si="14"/>
        <v>0</v>
      </c>
    </row>
    <row r="56" spans="1:35" ht="17.25" customHeight="1" x14ac:dyDescent="0.25">
      <c r="A56" s="40">
        <f t="shared" si="16"/>
        <v>47</v>
      </c>
      <c r="B56" s="58" t="s">
        <v>152</v>
      </c>
      <c r="C56" s="59" t="s">
        <v>6</v>
      </c>
      <c r="D56" s="67"/>
      <c r="E56" s="67"/>
      <c r="F56" s="67"/>
      <c r="G56" s="67"/>
      <c r="H56" s="66"/>
      <c r="I56" s="12"/>
      <c r="J56" s="12"/>
      <c r="K56" s="12"/>
      <c r="L56" s="12"/>
      <c r="M56" s="12"/>
      <c r="N56" s="12"/>
      <c r="O56" s="66"/>
      <c r="P56" s="67"/>
      <c r="Q56" s="67"/>
      <c r="R56" s="67"/>
      <c r="S56" s="67"/>
      <c r="T56" s="12"/>
      <c r="U56" s="12"/>
      <c r="V56" s="66"/>
      <c r="W56" s="12"/>
      <c r="X56" s="11"/>
      <c r="Y56" s="12"/>
      <c r="Z56" s="67"/>
      <c r="AA56" s="67"/>
      <c r="AB56" s="67"/>
      <c r="AC56" s="66"/>
      <c r="AD56" s="67"/>
      <c r="AE56" s="67"/>
      <c r="AF56" s="67"/>
      <c r="AG56" s="67"/>
      <c r="AH56" s="66">
        <f t="shared" si="2"/>
        <v>0</v>
      </c>
      <c r="AI56" s="68">
        <f t="shared" si="14"/>
        <v>0</v>
      </c>
    </row>
    <row r="57" spans="1:35" ht="17.25" customHeight="1" x14ac:dyDescent="0.25">
      <c r="A57" s="40">
        <f t="shared" si="16"/>
        <v>48</v>
      </c>
      <c r="B57" s="58" t="s">
        <v>156</v>
      </c>
      <c r="C57" s="59" t="s">
        <v>16</v>
      </c>
      <c r="D57" s="67"/>
      <c r="E57" s="67"/>
      <c r="F57" s="67"/>
      <c r="G57" s="67"/>
      <c r="H57" s="66"/>
      <c r="I57" s="12"/>
      <c r="J57" s="12"/>
      <c r="K57" s="12"/>
      <c r="L57" s="12"/>
      <c r="M57" s="12"/>
      <c r="N57" s="12"/>
      <c r="O57" s="66"/>
      <c r="P57" s="67"/>
      <c r="Q57" s="67"/>
      <c r="R57" s="67"/>
      <c r="S57" s="67"/>
      <c r="T57" s="12"/>
      <c r="U57" s="12"/>
      <c r="V57" s="66"/>
      <c r="W57" s="12"/>
      <c r="X57" s="11"/>
      <c r="Y57" s="12"/>
      <c r="Z57" s="67"/>
      <c r="AA57" s="67"/>
      <c r="AB57" s="67"/>
      <c r="AC57" s="66"/>
      <c r="AD57" s="67"/>
      <c r="AE57" s="67"/>
      <c r="AF57" s="67"/>
      <c r="AG57" s="67"/>
      <c r="AH57" s="66">
        <f>SUM(AD57:AG57)</f>
        <v>0</v>
      </c>
      <c r="AI57" s="68">
        <f t="shared" si="14"/>
        <v>0</v>
      </c>
    </row>
    <row r="58" spans="1:35" ht="17.25" customHeight="1" x14ac:dyDescent="0.25">
      <c r="A58" s="40">
        <f t="shared" si="16"/>
        <v>49</v>
      </c>
      <c r="B58" s="58" t="s">
        <v>160</v>
      </c>
      <c r="C58" s="59" t="s">
        <v>16</v>
      </c>
      <c r="D58" s="67"/>
      <c r="E58" s="67"/>
      <c r="F58" s="67"/>
      <c r="G58" s="67"/>
      <c r="H58" s="66"/>
      <c r="I58" s="12"/>
      <c r="J58" s="12"/>
      <c r="K58" s="12"/>
      <c r="L58" s="12"/>
      <c r="M58" s="12"/>
      <c r="N58" s="12"/>
      <c r="O58" s="66"/>
      <c r="P58" s="67"/>
      <c r="Q58" s="67"/>
      <c r="R58" s="67"/>
      <c r="S58" s="67"/>
      <c r="T58" s="12"/>
      <c r="U58" s="12"/>
      <c r="V58" s="66"/>
      <c r="W58" s="12"/>
      <c r="X58" s="11"/>
      <c r="Y58" s="12"/>
      <c r="Z58" s="67"/>
      <c r="AA58" s="67"/>
      <c r="AB58" s="67"/>
      <c r="AC58" s="66"/>
      <c r="AD58" s="67"/>
      <c r="AE58" s="67"/>
      <c r="AF58" s="67"/>
      <c r="AG58" s="67"/>
      <c r="AH58" s="66">
        <f t="shared" ref="AH58:AH65" si="17">SUM(AD58:AG58)</f>
        <v>0</v>
      </c>
      <c r="AI58" s="68">
        <f t="shared" si="14"/>
        <v>0</v>
      </c>
    </row>
    <row r="59" spans="1:35" ht="17.25" customHeight="1" x14ac:dyDescent="0.25">
      <c r="A59" s="40">
        <f t="shared" si="16"/>
        <v>50</v>
      </c>
      <c r="B59" s="58" t="s">
        <v>159</v>
      </c>
      <c r="C59" s="59" t="s">
        <v>158</v>
      </c>
      <c r="D59" s="67"/>
      <c r="E59" s="67"/>
      <c r="F59" s="67"/>
      <c r="G59" s="67"/>
      <c r="H59" s="66"/>
      <c r="I59" s="12"/>
      <c r="J59" s="12"/>
      <c r="K59" s="12"/>
      <c r="L59" s="12"/>
      <c r="M59" s="12"/>
      <c r="N59" s="12"/>
      <c r="O59" s="66"/>
      <c r="P59" s="67"/>
      <c r="Q59" s="67"/>
      <c r="R59" s="67"/>
      <c r="S59" s="67"/>
      <c r="T59" s="12"/>
      <c r="U59" s="12"/>
      <c r="V59" s="66"/>
      <c r="W59" s="12"/>
      <c r="X59" s="11"/>
      <c r="Y59" s="12"/>
      <c r="Z59" s="67"/>
      <c r="AA59" s="67"/>
      <c r="AB59" s="67"/>
      <c r="AC59" s="66"/>
      <c r="AD59" s="67"/>
      <c r="AE59" s="67"/>
      <c r="AF59" s="67"/>
      <c r="AG59" s="67"/>
      <c r="AH59" s="66">
        <f t="shared" si="17"/>
        <v>0</v>
      </c>
      <c r="AI59" s="68">
        <f t="shared" si="14"/>
        <v>0</v>
      </c>
    </row>
    <row r="60" spans="1:35" ht="17.25" customHeight="1" x14ac:dyDescent="0.25">
      <c r="A60" s="40">
        <f t="shared" si="16"/>
        <v>51</v>
      </c>
      <c r="B60" s="58" t="s">
        <v>168</v>
      </c>
      <c r="C60" s="59" t="s">
        <v>13</v>
      </c>
      <c r="D60" s="67"/>
      <c r="E60" s="67"/>
      <c r="F60" s="67"/>
      <c r="G60" s="67"/>
      <c r="H60" s="66"/>
      <c r="I60" s="12"/>
      <c r="J60" s="12"/>
      <c r="K60" s="12"/>
      <c r="L60" s="12"/>
      <c r="M60" s="12"/>
      <c r="N60" s="12"/>
      <c r="O60" s="66"/>
      <c r="P60" s="67"/>
      <c r="Q60" s="67"/>
      <c r="R60" s="67"/>
      <c r="S60" s="67"/>
      <c r="T60" s="12"/>
      <c r="U60" s="12"/>
      <c r="V60" s="66"/>
      <c r="W60" s="12"/>
      <c r="X60" s="11"/>
      <c r="Y60" s="12"/>
      <c r="Z60" s="67"/>
      <c r="AA60" s="67"/>
      <c r="AB60" s="67"/>
      <c r="AC60" s="66"/>
      <c r="AD60" s="67"/>
      <c r="AE60" s="67"/>
      <c r="AF60" s="67"/>
      <c r="AG60" s="67"/>
      <c r="AH60" s="66">
        <f t="shared" si="17"/>
        <v>0</v>
      </c>
      <c r="AI60" s="68">
        <f t="shared" si="14"/>
        <v>0</v>
      </c>
    </row>
    <row r="61" spans="1:35" ht="17.25" customHeight="1" x14ac:dyDescent="0.25">
      <c r="A61" s="40">
        <f t="shared" si="16"/>
        <v>52</v>
      </c>
      <c r="B61" s="58" t="s">
        <v>162</v>
      </c>
      <c r="C61" s="59" t="s">
        <v>163</v>
      </c>
      <c r="D61" s="67"/>
      <c r="E61" s="67"/>
      <c r="F61" s="67"/>
      <c r="G61" s="67"/>
      <c r="H61" s="66">
        <f t="shared" ref="H61" si="18">SUM(D61:G61)</f>
        <v>0</v>
      </c>
      <c r="I61" s="12"/>
      <c r="J61" s="12"/>
      <c r="K61" s="12"/>
      <c r="L61" s="12"/>
      <c r="M61" s="12"/>
      <c r="N61" s="12"/>
      <c r="O61" s="66">
        <f t="shared" ref="O61" si="19">SUM(I61:N61)</f>
        <v>0</v>
      </c>
      <c r="P61" s="67"/>
      <c r="Q61" s="67"/>
      <c r="R61" s="67"/>
      <c r="S61" s="67"/>
      <c r="T61" s="12"/>
      <c r="U61" s="12"/>
      <c r="V61" s="66">
        <f t="shared" ref="V61" si="20">SUM(P61:U61)</f>
        <v>0</v>
      </c>
      <c r="W61" s="67"/>
      <c r="X61" s="12"/>
      <c r="Y61" s="11"/>
      <c r="Z61" s="67"/>
      <c r="AA61" s="67"/>
      <c r="AB61" s="67"/>
      <c r="AC61" s="66">
        <f t="shared" ref="AC61" si="21">SUM(W61:AB61)</f>
        <v>0</v>
      </c>
      <c r="AD61" s="67"/>
      <c r="AE61" s="67"/>
      <c r="AF61" s="67"/>
      <c r="AG61" s="67"/>
      <c r="AH61" s="66">
        <f t="shared" si="17"/>
        <v>0</v>
      </c>
      <c r="AI61" s="68">
        <f t="shared" si="14"/>
        <v>0</v>
      </c>
    </row>
    <row r="62" spans="1:35" ht="17.25" customHeight="1" x14ac:dyDescent="0.25">
      <c r="A62" s="40">
        <f t="shared" si="16"/>
        <v>53</v>
      </c>
      <c r="B62" s="58" t="s">
        <v>188</v>
      </c>
      <c r="C62" s="59" t="s">
        <v>88</v>
      </c>
      <c r="D62" s="67"/>
      <c r="E62" s="67"/>
      <c r="F62" s="67"/>
      <c r="G62" s="67"/>
      <c r="H62" s="66"/>
      <c r="I62" s="12"/>
      <c r="J62" s="12"/>
      <c r="K62" s="12"/>
      <c r="L62" s="12"/>
      <c r="M62" s="12"/>
      <c r="N62" s="12"/>
      <c r="O62" s="66"/>
      <c r="P62" s="67"/>
      <c r="Q62" s="67"/>
      <c r="R62" s="67"/>
      <c r="S62" s="67"/>
      <c r="T62" s="12"/>
      <c r="U62" s="12"/>
      <c r="V62" s="66"/>
      <c r="W62" s="67"/>
      <c r="X62" s="12"/>
      <c r="Y62" s="11"/>
      <c r="Z62" s="67"/>
      <c r="AA62" s="67"/>
      <c r="AB62" s="67"/>
      <c r="AC62" s="66"/>
      <c r="AD62" s="67"/>
      <c r="AE62" s="67"/>
      <c r="AF62" s="67"/>
      <c r="AG62" s="67"/>
      <c r="AH62" s="66">
        <f t="shared" si="17"/>
        <v>0</v>
      </c>
      <c r="AI62" s="68">
        <f t="shared" si="14"/>
        <v>0</v>
      </c>
    </row>
    <row r="63" spans="1:35" ht="17.25" customHeight="1" x14ac:dyDescent="0.25">
      <c r="A63" s="40">
        <f t="shared" si="16"/>
        <v>54</v>
      </c>
      <c r="B63" s="58" t="s">
        <v>190</v>
      </c>
      <c r="C63" s="59" t="s">
        <v>88</v>
      </c>
      <c r="D63" s="67"/>
      <c r="E63" s="67"/>
      <c r="F63" s="67"/>
      <c r="G63" s="67"/>
      <c r="H63" s="66"/>
      <c r="I63" s="12"/>
      <c r="J63" s="12"/>
      <c r="K63" s="12"/>
      <c r="L63" s="12"/>
      <c r="M63" s="12"/>
      <c r="N63" s="12"/>
      <c r="O63" s="66"/>
      <c r="P63" s="67"/>
      <c r="Q63" s="67"/>
      <c r="R63" s="67"/>
      <c r="S63" s="67"/>
      <c r="T63" s="12"/>
      <c r="U63" s="12"/>
      <c r="V63" s="66"/>
      <c r="W63" s="67"/>
      <c r="X63" s="12"/>
      <c r="Y63" s="11"/>
      <c r="Z63" s="67"/>
      <c r="AA63" s="67"/>
      <c r="AB63" s="67"/>
      <c r="AC63" s="66"/>
      <c r="AD63" s="67"/>
      <c r="AE63" s="67"/>
      <c r="AF63" s="67"/>
      <c r="AG63" s="67"/>
      <c r="AH63" s="66">
        <f t="shared" si="17"/>
        <v>0</v>
      </c>
      <c r="AI63" s="68">
        <f t="shared" si="14"/>
        <v>0</v>
      </c>
    </row>
    <row r="64" spans="1:35" ht="17.25" customHeight="1" x14ac:dyDescent="0.25">
      <c r="A64" s="40">
        <f t="shared" si="16"/>
        <v>55</v>
      </c>
      <c r="B64" s="58" t="s">
        <v>199</v>
      </c>
      <c r="C64" s="59" t="s">
        <v>32</v>
      </c>
      <c r="D64" s="67"/>
      <c r="E64" s="67"/>
      <c r="F64" s="67"/>
      <c r="G64" s="67"/>
      <c r="H64" s="66">
        <f t="shared" si="0"/>
        <v>0</v>
      </c>
      <c r="I64" s="12"/>
      <c r="J64" s="12"/>
      <c r="K64" s="12"/>
      <c r="L64" s="12"/>
      <c r="M64" s="12"/>
      <c r="N64" s="12"/>
      <c r="O64" s="66">
        <f t="shared" si="12"/>
        <v>0</v>
      </c>
      <c r="P64" s="67"/>
      <c r="Q64" s="67"/>
      <c r="R64" s="67"/>
      <c r="S64" s="67"/>
      <c r="T64" s="12"/>
      <c r="U64" s="12"/>
      <c r="V64" s="66">
        <f t="shared" si="13"/>
        <v>0</v>
      </c>
      <c r="W64" s="67"/>
      <c r="X64" s="12"/>
      <c r="Y64" s="11"/>
      <c r="Z64" s="67"/>
      <c r="AA64" s="67"/>
      <c r="AB64" s="67"/>
      <c r="AC64" s="66">
        <f t="shared" si="1"/>
        <v>0</v>
      </c>
      <c r="AD64" s="67"/>
      <c r="AE64" s="67"/>
      <c r="AF64" s="67"/>
      <c r="AG64" s="67">
        <v>1552.1</v>
      </c>
      <c r="AH64" s="66">
        <f t="shared" si="17"/>
        <v>1552.1</v>
      </c>
      <c r="AI64" s="68">
        <f t="shared" si="14"/>
        <v>1552.1</v>
      </c>
    </row>
    <row r="65" spans="1:37" ht="17.25" customHeight="1" x14ac:dyDescent="0.25">
      <c r="A65" s="40">
        <f t="shared" si="16"/>
        <v>56</v>
      </c>
      <c r="B65" s="58" t="s">
        <v>194</v>
      </c>
      <c r="C65" s="59" t="s">
        <v>32</v>
      </c>
      <c r="D65" s="67"/>
      <c r="E65" s="67"/>
      <c r="F65" s="67"/>
      <c r="G65" s="67"/>
      <c r="H65" s="66"/>
      <c r="I65" s="12"/>
      <c r="J65" s="12"/>
      <c r="K65" s="12"/>
      <c r="L65" s="12"/>
      <c r="M65" s="12"/>
      <c r="N65" s="12"/>
      <c r="O65" s="66"/>
      <c r="P65" s="67"/>
      <c r="Q65" s="67"/>
      <c r="R65" s="67"/>
      <c r="S65" s="67"/>
      <c r="T65" s="12"/>
      <c r="U65" s="12"/>
      <c r="V65" s="66"/>
      <c r="W65" s="67"/>
      <c r="X65" s="12"/>
      <c r="Y65" s="11"/>
      <c r="Z65" s="67"/>
      <c r="AA65" s="67"/>
      <c r="AB65" s="67"/>
      <c r="AC65" s="66"/>
      <c r="AD65" s="67"/>
      <c r="AE65" s="67"/>
      <c r="AF65" s="67"/>
      <c r="AG65" s="67"/>
      <c r="AH65" s="66">
        <f t="shared" si="17"/>
        <v>0</v>
      </c>
      <c r="AI65" s="68">
        <f t="shared" si="14"/>
        <v>0</v>
      </c>
    </row>
    <row r="66" spans="1:37" ht="17.25" customHeight="1" x14ac:dyDescent="0.25">
      <c r="A66" s="40">
        <f>1+A64</f>
        <v>56</v>
      </c>
      <c r="B66" s="58" t="s">
        <v>184</v>
      </c>
      <c r="C66" s="59" t="s">
        <v>32</v>
      </c>
      <c r="D66" s="67"/>
      <c r="E66" s="67"/>
      <c r="F66" s="67"/>
      <c r="G66" s="67"/>
      <c r="H66" s="66">
        <f t="shared" si="0"/>
        <v>0</v>
      </c>
      <c r="I66" s="12"/>
      <c r="J66" s="12"/>
      <c r="K66" s="12"/>
      <c r="L66" s="12"/>
      <c r="M66" s="12"/>
      <c r="N66" s="12"/>
      <c r="O66" s="66">
        <f t="shared" si="12"/>
        <v>0</v>
      </c>
      <c r="P66" s="67"/>
      <c r="Q66" s="67"/>
      <c r="R66" s="67"/>
      <c r="S66" s="67"/>
      <c r="T66" s="67"/>
      <c r="U66" s="67"/>
      <c r="V66" s="66">
        <f t="shared" si="13"/>
        <v>0</v>
      </c>
      <c r="W66" s="67"/>
      <c r="X66" s="67"/>
      <c r="Y66" s="67"/>
      <c r="Z66" s="67"/>
      <c r="AA66" s="67"/>
      <c r="AB66" s="67"/>
      <c r="AC66" s="66">
        <f t="shared" si="1"/>
        <v>0</v>
      </c>
      <c r="AD66" s="67"/>
      <c r="AE66" s="67"/>
      <c r="AF66" s="67"/>
      <c r="AG66" s="67">
        <v>25530</v>
      </c>
      <c r="AH66" s="66">
        <f t="shared" si="2"/>
        <v>25530</v>
      </c>
      <c r="AI66" s="68">
        <f t="shared" si="14"/>
        <v>25530</v>
      </c>
    </row>
    <row r="67" spans="1:37" ht="16.5" thickBot="1" x14ac:dyDescent="0.3">
      <c r="A67" s="274" t="s">
        <v>79</v>
      </c>
      <c r="B67" s="274"/>
      <c r="C67" s="274"/>
      <c r="D67" s="92"/>
      <c r="E67" s="92"/>
      <c r="F67" s="92"/>
      <c r="G67" s="92">
        <f>SUM(G24:G66)</f>
        <v>0</v>
      </c>
      <c r="H67" s="91">
        <f t="shared" si="0"/>
        <v>0</v>
      </c>
      <c r="I67" s="92">
        <f t="shared" ref="I67:N67" si="22">SUM(I24:I66)</f>
        <v>0</v>
      </c>
      <c r="J67" s="92">
        <f t="shared" si="22"/>
        <v>0</v>
      </c>
      <c r="K67" s="92">
        <f t="shared" si="22"/>
        <v>0</v>
      </c>
      <c r="L67" s="92">
        <f t="shared" si="22"/>
        <v>0</v>
      </c>
      <c r="M67" s="92">
        <f t="shared" si="22"/>
        <v>0</v>
      </c>
      <c r="N67" s="92">
        <f t="shared" si="22"/>
        <v>0</v>
      </c>
      <c r="O67" s="91">
        <f>SUM(I67:N67)</f>
        <v>0</v>
      </c>
      <c r="P67" s="92">
        <f t="shared" ref="P67:U67" si="23">SUM(P24:P66)</f>
        <v>0</v>
      </c>
      <c r="Q67" s="92">
        <f t="shared" si="23"/>
        <v>0</v>
      </c>
      <c r="R67" s="92">
        <f t="shared" si="23"/>
        <v>0</v>
      </c>
      <c r="S67" s="92">
        <f t="shared" si="23"/>
        <v>0</v>
      </c>
      <c r="T67" s="92">
        <f t="shared" si="23"/>
        <v>0</v>
      </c>
      <c r="U67" s="92">
        <f t="shared" si="23"/>
        <v>0</v>
      </c>
      <c r="V67" s="91">
        <f>SUM(P67:U67)</f>
        <v>0</v>
      </c>
      <c r="W67" s="92">
        <f t="shared" ref="W67:AB67" si="24">SUM(W24:W66)</f>
        <v>0</v>
      </c>
      <c r="X67" s="92">
        <f t="shared" si="24"/>
        <v>0</v>
      </c>
      <c r="Y67" s="92">
        <f t="shared" si="24"/>
        <v>0</v>
      </c>
      <c r="Z67" s="92">
        <f t="shared" si="24"/>
        <v>0</v>
      </c>
      <c r="AA67" s="92">
        <f t="shared" si="24"/>
        <v>0</v>
      </c>
      <c r="AB67" s="92">
        <f t="shared" si="24"/>
        <v>0</v>
      </c>
      <c r="AC67" s="91">
        <f t="shared" si="1"/>
        <v>0</v>
      </c>
      <c r="AD67" s="92">
        <f>SUM(AD24:AD66)</f>
        <v>0</v>
      </c>
      <c r="AE67" s="92">
        <f t="shared" ref="AE67:AF67" si="25">SUM(AE24:AE66)</f>
        <v>0</v>
      </c>
      <c r="AF67" s="92">
        <f t="shared" si="25"/>
        <v>0</v>
      </c>
      <c r="AG67" s="92">
        <f>SUM(AG24:AG66)</f>
        <v>1024026.7</v>
      </c>
      <c r="AH67" s="66">
        <f>SUM(AD67:AG67)</f>
        <v>1024026.7</v>
      </c>
      <c r="AI67" s="70">
        <f>SUM(AI24:AI66)</f>
        <v>1024026.7</v>
      </c>
    </row>
    <row r="68" spans="1:37" ht="29.25" customHeight="1" thickTop="1" x14ac:dyDescent="0.25">
      <c r="A68" s="269" t="s">
        <v>78</v>
      </c>
      <c r="B68" s="269"/>
      <c r="C68" s="269"/>
      <c r="D68" s="71">
        <f>+D23+D67</f>
        <v>0</v>
      </c>
      <c r="E68" s="71">
        <f>+E23+E67</f>
        <v>0</v>
      </c>
      <c r="F68" s="71">
        <f>+F23+F67</f>
        <v>0</v>
      </c>
      <c r="G68" s="71">
        <f>+G23+G67</f>
        <v>0</v>
      </c>
      <c r="H68" s="66">
        <f t="shared" si="0"/>
        <v>0</v>
      </c>
      <c r="I68" s="71">
        <f t="shared" ref="I68:N68" si="26">+I23+I67</f>
        <v>0</v>
      </c>
      <c r="J68" s="71">
        <f t="shared" si="26"/>
        <v>0</v>
      </c>
      <c r="K68" s="71">
        <f t="shared" si="26"/>
        <v>0</v>
      </c>
      <c r="L68" s="71">
        <f t="shared" si="26"/>
        <v>0</v>
      </c>
      <c r="M68" s="71">
        <f t="shared" si="26"/>
        <v>0</v>
      </c>
      <c r="N68" s="71">
        <f t="shared" si="26"/>
        <v>0</v>
      </c>
      <c r="O68" s="66">
        <f t="shared" si="4"/>
        <v>0</v>
      </c>
      <c r="P68" s="71">
        <f t="shared" ref="P68:U68" si="27">+P23+P67</f>
        <v>0</v>
      </c>
      <c r="Q68" s="71">
        <f t="shared" si="27"/>
        <v>0</v>
      </c>
      <c r="R68" s="71">
        <f t="shared" si="27"/>
        <v>0</v>
      </c>
      <c r="S68" s="71">
        <f t="shared" si="27"/>
        <v>0</v>
      </c>
      <c r="T68" s="71">
        <f t="shared" si="27"/>
        <v>0</v>
      </c>
      <c r="U68" s="71">
        <f t="shared" si="27"/>
        <v>0</v>
      </c>
      <c r="V68" s="66">
        <f>SUM(P68:U68)</f>
        <v>0</v>
      </c>
      <c r="W68" s="71">
        <f t="shared" ref="W68:AB68" si="28">+W23+W67</f>
        <v>0</v>
      </c>
      <c r="X68" s="71">
        <f t="shared" si="28"/>
        <v>0</v>
      </c>
      <c r="Y68" s="71">
        <f t="shared" si="28"/>
        <v>0</v>
      </c>
      <c r="Z68" s="71">
        <f t="shared" si="28"/>
        <v>0</v>
      </c>
      <c r="AA68" s="71">
        <f t="shared" si="28"/>
        <v>0</v>
      </c>
      <c r="AB68" s="71">
        <f t="shared" si="28"/>
        <v>0</v>
      </c>
      <c r="AC68" s="66">
        <f t="shared" si="1"/>
        <v>0</v>
      </c>
      <c r="AD68" s="71">
        <f>+AD23+AD67</f>
        <v>0</v>
      </c>
      <c r="AE68" s="71"/>
      <c r="AF68" s="71"/>
      <c r="AG68" s="71"/>
      <c r="AH68" s="66">
        <f>SUM(AD68:AG68)</f>
        <v>0</v>
      </c>
      <c r="AI68" s="71">
        <f>SUM(AI67,AI23)</f>
        <v>1024026.7</v>
      </c>
    </row>
    <row r="69" spans="1:37" x14ac:dyDescent="0.25">
      <c r="A69" s="37"/>
      <c r="B69" s="33"/>
      <c r="C69" s="33"/>
      <c r="AK69" s="49"/>
    </row>
    <row r="70" spans="1:37" x14ac:dyDescent="0.25">
      <c r="A70" s="37"/>
      <c r="B70" s="34"/>
      <c r="C70" s="34"/>
      <c r="AI70" s="49"/>
    </row>
    <row r="71" spans="1:37" x14ac:dyDescent="0.25">
      <c r="A71" s="37"/>
      <c r="B71" s="34"/>
      <c r="C71" s="34"/>
      <c r="M71" s="49"/>
      <c r="N71" s="100"/>
    </row>
    <row r="72" spans="1:37" x14ac:dyDescent="0.25">
      <c r="M72" s="49"/>
      <c r="N72" s="100"/>
      <c r="AI72" s="49"/>
      <c r="AK72" s="49"/>
    </row>
    <row r="73" spans="1:37" x14ac:dyDescent="0.25">
      <c r="M73" s="49"/>
      <c r="N73" s="101"/>
    </row>
    <row r="74" spans="1:37" x14ac:dyDescent="0.25">
      <c r="M74" s="49"/>
      <c r="N74" s="101"/>
    </row>
    <row r="75" spans="1:37" x14ac:dyDescent="0.25">
      <c r="M75" s="49"/>
      <c r="N75" s="101"/>
    </row>
  </sheetData>
  <mergeCells count="7">
    <mergeCell ref="A68:C68"/>
    <mergeCell ref="A6:A7"/>
    <mergeCell ref="B6:B7"/>
    <mergeCell ref="C6:C7"/>
    <mergeCell ref="AI6:AI7"/>
    <mergeCell ref="A23:C23"/>
    <mergeCell ref="A67:C67"/>
  </mergeCells>
  <pageMargins left="0.7" right="0.7" top="0.75" bottom="0.75" header="0.3" footer="0.3"/>
  <pageSetup paperSize="9" scale="24" orientation="landscape" horizontalDpi="0" verticalDpi="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0"/>
  <dimension ref="A1:N142"/>
  <sheetViews>
    <sheetView zoomScale="80" zoomScaleNormal="80" workbookViewId="0">
      <selection activeCell="F139" sqref="F139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5.85546875" style="1" customWidth="1"/>
    <col min="6" max="6" width="42.85546875" style="1" customWidth="1"/>
    <col min="7" max="7" width="15.85546875" style="1" customWidth="1"/>
    <col min="8" max="8" width="14.85546875" style="1" customWidth="1"/>
    <col min="9" max="9" width="15.42578125" style="1" customWidth="1"/>
    <col min="10" max="10" width="14" style="1" customWidth="1"/>
    <col min="11" max="11" width="16.5703125" style="1" customWidth="1"/>
    <col min="12" max="12" width="5" style="1" customWidth="1"/>
    <col min="13" max="13" width="13.85546875" style="1" bestFit="1" customWidth="1"/>
    <col min="14" max="14" width="12.42578125" style="1" bestFit="1" customWidth="1"/>
    <col min="15" max="16384" width="11.42578125" style="1"/>
  </cols>
  <sheetData>
    <row r="1" spans="1:12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267"/>
      <c r="L2" s="5"/>
    </row>
    <row r="3" spans="1:12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267"/>
      <c r="L3" s="5"/>
    </row>
    <row r="4" spans="1:12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5"/>
    </row>
    <row r="5" spans="1:12" x14ac:dyDescent="0.25">
      <c r="A5" s="5"/>
      <c r="B5" s="7"/>
      <c r="C5" s="8" t="s">
        <v>49</v>
      </c>
      <c r="D5" s="5" t="s">
        <v>56</v>
      </c>
      <c r="E5" s="9"/>
      <c r="F5" s="9"/>
      <c r="G5" s="9"/>
      <c r="H5" s="9"/>
      <c r="I5" s="9"/>
      <c r="J5" s="9"/>
      <c r="K5" s="9"/>
      <c r="L5" s="5"/>
    </row>
    <row r="6" spans="1:12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9"/>
      <c r="L6" s="5"/>
    </row>
    <row r="7" spans="1:12" x14ac:dyDescent="0.25">
      <c r="A7" s="5"/>
      <c r="B7" s="7"/>
      <c r="C7" s="8" t="s">
        <v>48</v>
      </c>
      <c r="D7" s="5" t="s">
        <v>57</v>
      </c>
      <c r="E7" s="9"/>
      <c r="F7" s="9"/>
      <c r="G7" s="9"/>
      <c r="H7" s="9"/>
      <c r="I7" s="9"/>
      <c r="J7" s="9"/>
      <c r="K7" s="9"/>
      <c r="L7" s="5"/>
    </row>
    <row r="8" spans="1:12" x14ac:dyDescent="0.25">
      <c r="A8" s="5"/>
      <c r="B8" s="7"/>
      <c r="C8" s="8" t="s">
        <v>47</v>
      </c>
      <c r="D8" s="16"/>
      <c r="E8" s="9"/>
      <c r="F8" s="9"/>
      <c r="G8" s="9"/>
      <c r="H8" s="9"/>
      <c r="I8" s="9"/>
      <c r="J8" s="9"/>
      <c r="K8" s="9"/>
      <c r="L8" s="5"/>
    </row>
    <row r="9" spans="1:12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9"/>
      <c r="L9" s="5"/>
    </row>
    <row r="10" spans="1:12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3" t="s">
        <v>42</v>
      </c>
      <c r="G10" s="4" t="s">
        <v>36</v>
      </c>
      <c r="H10" s="4" t="s">
        <v>37</v>
      </c>
      <c r="I10" s="3" t="s">
        <v>46</v>
      </c>
      <c r="J10" s="3" t="s">
        <v>155</v>
      </c>
      <c r="K10" s="3" t="s">
        <v>4</v>
      </c>
      <c r="L10" s="6"/>
    </row>
    <row r="11" spans="1:12" x14ac:dyDescent="0.25">
      <c r="A11" s="5"/>
      <c r="B11" s="123"/>
      <c r="C11" s="123"/>
      <c r="D11" s="124"/>
      <c r="E11" s="75"/>
      <c r="F11" s="75"/>
      <c r="G11" s="75"/>
      <c r="H11" s="76"/>
      <c r="I11" s="75">
        <f>+E11-G11</f>
        <v>0</v>
      </c>
      <c r="J11" s="64"/>
      <c r="K11" s="154"/>
      <c r="L11" s="5"/>
    </row>
    <row r="12" spans="1:12" x14ac:dyDescent="0.25">
      <c r="A12" s="5"/>
      <c r="B12" s="123"/>
      <c r="C12" s="123"/>
      <c r="D12" s="124"/>
      <c r="E12" s="75"/>
      <c r="F12" s="75"/>
      <c r="G12" s="75"/>
      <c r="H12" s="76"/>
      <c r="I12" s="75">
        <f t="shared" ref="I12:I24" si="0">+I11+E12-G12</f>
        <v>0</v>
      </c>
      <c r="J12" s="64"/>
      <c r="K12" s="155"/>
      <c r="L12" s="5"/>
    </row>
    <row r="13" spans="1:12" x14ac:dyDescent="0.25">
      <c r="A13" s="5"/>
      <c r="B13" s="123"/>
      <c r="C13" s="123"/>
      <c r="D13" s="124"/>
      <c r="E13" s="75"/>
      <c r="F13" s="75"/>
      <c r="G13" s="75"/>
      <c r="H13" s="76"/>
      <c r="I13" s="75">
        <f t="shared" si="0"/>
        <v>0</v>
      </c>
      <c r="J13" s="64"/>
      <c r="K13" s="155"/>
      <c r="L13" s="5"/>
    </row>
    <row r="14" spans="1:12" x14ac:dyDescent="0.25">
      <c r="A14" s="5"/>
      <c r="B14" s="123"/>
      <c r="C14" s="123"/>
      <c r="D14" s="124"/>
      <c r="E14" s="75"/>
      <c r="F14" s="75"/>
      <c r="G14" s="75"/>
      <c r="H14" s="76"/>
      <c r="I14" s="75">
        <f t="shared" si="0"/>
        <v>0</v>
      </c>
      <c r="J14" s="64"/>
      <c r="K14" s="64"/>
      <c r="L14" s="5"/>
    </row>
    <row r="15" spans="1:12" x14ac:dyDescent="0.25">
      <c r="A15" s="5"/>
      <c r="B15" s="123"/>
      <c r="C15" s="123"/>
      <c r="D15" s="124"/>
      <c r="E15" s="75"/>
      <c r="F15" s="75"/>
      <c r="G15" s="75"/>
      <c r="H15" s="76"/>
      <c r="I15" s="75">
        <f t="shared" si="0"/>
        <v>0</v>
      </c>
      <c r="J15" s="64"/>
      <c r="K15" s="64"/>
      <c r="L15" s="5"/>
    </row>
    <row r="16" spans="1:12" x14ac:dyDescent="0.25">
      <c r="A16" s="5"/>
      <c r="B16" s="123"/>
      <c r="C16" s="123"/>
      <c r="D16" s="124"/>
      <c r="E16" s="75"/>
      <c r="F16" s="75"/>
      <c r="G16" s="75"/>
      <c r="H16" s="76"/>
      <c r="I16" s="75">
        <f t="shared" si="0"/>
        <v>0</v>
      </c>
      <c r="J16" s="64"/>
      <c r="K16" s="64"/>
      <c r="L16" s="5"/>
    </row>
    <row r="17" spans="1:13" x14ac:dyDescent="0.25">
      <c r="A17" s="5"/>
      <c r="B17" s="123"/>
      <c r="C17" s="123"/>
      <c r="D17" s="124"/>
      <c r="E17" s="75"/>
      <c r="F17" s="75"/>
      <c r="G17" s="75"/>
      <c r="H17" s="76"/>
      <c r="I17" s="75">
        <f t="shared" si="0"/>
        <v>0</v>
      </c>
      <c r="J17" s="64"/>
      <c r="K17" s="64"/>
      <c r="L17" s="5"/>
    </row>
    <row r="18" spans="1:13" x14ac:dyDescent="0.25">
      <c r="A18" s="5"/>
      <c r="B18" s="123"/>
      <c r="C18" s="123"/>
      <c r="D18" s="124"/>
      <c r="E18" s="75"/>
      <c r="F18" s="75"/>
      <c r="G18" s="75"/>
      <c r="H18" s="76"/>
      <c r="I18" s="75">
        <f t="shared" si="0"/>
        <v>0</v>
      </c>
      <c r="J18" s="64"/>
      <c r="K18" s="64"/>
      <c r="L18" s="5"/>
    </row>
    <row r="19" spans="1:13" x14ac:dyDescent="0.25">
      <c r="A19" s="5"/>
      <c r="B19" s="123"/>
      <c r="C19" s="123"/>
      <c r="D19" s="124"/>
      <c r="E19" s="75"/>
      <c r="F19" s="75"/>
      <c r="G19" s="75"/>
      <c r="H19" s="76"/>
      <c r="I19" s="75">
        <f t="shared" si="0"/>
        <v>0</v>
      </c>
      <c r="J19" s="64"/>
      <c r="K19" s="64"/>
      <c r="L19" s="5"/>
    </row>
    <row r="20" spans="1:13" hidden="1" x14ac:dyDescent="0.25">
      <c r="A20" s="5"/>
      <c r="B20" s="123"/>
      <c r="C20" s="123"/>
      <c r="D20" s="124"/>
      <c r="E20" s="75"/>
      <c r="F20" s="75"/>
      <c r="G20" s="75"/>
      <c r="H20" s="76"/>
      <c r="I20" s="75">
        <f t="shared" si="0"/>
        <v>0</v>
      </c>
      <c r="J20" s="64"/>
      <c r="K20" s="64"/>
      <c r="L20" s="5"/>
    </row>
    <row r="21" spans="1:13" hidden="1" x14ac:dyDescent="0.25">
      <c r="A21" s="5"/>
      <c r="B21" s="123"/>
      <c r="C21" s="123"/>
      <c r="D21" s="124"/>
      <c r="E21" s="75"/>
      <c r="F21" s="75"/>
      <c r="G21" s="75"/>
      <c r="H21" s="76"/>
      <c r="I21" s="75">
        <f t="shared" si="0"/>
        <v>0</v>
      </c>
      <c r="J21" s="64"/>
      <c r="K21" s="64"/>
      <c r="L21" s="5"/>
    </row>
    <row r="22" spans="1:13" hidden="1" x14ac:dyDescent="0.25">
      <c r="A22" s="5"/>
      <c r="B22" s="123"/>
      <c r="C22" s="123"/>
      <c r="D22" s="124"/>
      <c r="E22" s="75"/>
      <c r="F22" s="75"/>
      <c r="G22" s="75"/>
      <c r="H22" s="76"/>
      <c r="I22" s="75">
        <f t="shared" si="0"/>
        <v>0</v>
      </c>
      <c r="J22" s="64"/>
      <c r="K22" s="64"/>
      <c r="L22" s="5"/>
    </row>
    <row r="23" spans="1:13" hidden="1" x14ac:dyDescent="0.25">
      <c r="A23" s="5"/>
      <c r="B23" s="123"/>
      <c r="C23" s="123"/>
      <c r="D23" s="124"/>
      <c r="E23" s="75"/>
      <c r="F23" s="75"/>
      <c r="G23" s="75"/>
      <c r="H23" s="76"/>
      <c r="I23" s="75">
        <f t="shared" si="0"/>
        <v>0</v>
      </c>
      <c r="J23" s="64"/>
      <c r="K23" s="64"/>
      <c r="L23" s="5"/>
      <c r="M23" s="156"/>
    </row>
    <row r="24" spans="1:13" hidden="1" x14ac:dyDescent="0.25">
      <c r="A24" s="5"/>
      <c r="B24" s="123"/>
      <c r="C24" s="123"/>
      <c r="D24" s="124"/>
      <c r="E24" s="158"/>
      <c r="F24" s="75"/>
      <c r="G24" s="75"/>
      <c r="H24" s="76"/>
      <c r="I24" s="75">
        <f t="shared" si="0"/>
        <v>0</v>
      </c>
      <c r="J24" s="64"/>
      <c r="K24" s="64"/>
      <c r="L24" s="5"/>
      <c r="M24" s="157"/>
    </row>
    <row r="25" spans="1:13" hidden="1" x14ac:dyDescent="0.25">
      <c r="A25" s="5"/>
      <c r="B25" s="123"/>
      <c r="C25" s="123"/>
      <c r="D25" s="124"/>
      <c r="E25" s="158"/>
      <c r="F25" s="75"/>
      <c r="G25" s="75"/>
      <c r="H25" s="76"/>
      <c r="I25" s="75">
        <f>+I24+E25-G25</f>
        <v>0</v>
      </c>
      <c r="J25" s="64"/>
      <c r="K25" s="64"/>
      <c r="L25" s="5"/>
      <c r="M25" s="157"/>
    </row>
    <row r="26" spans="1:13" hidden="1" x14ac:dyDescent="0.25">
      <c r="A26" s="5"/>
      <c r="B26" s="123"/>
      <c r="C26" s="123"/>
      <c r="D26" s="124"/>
      <c r="E26" s="158"/>
      <c r="F26" s="75"/>
      <c r="G26" s="75"/>
      <c r="H26" s="76"/>
      <c r="I26" s="75">
        <f t="shared" ref="I26:I43" si="1">+I25+E26-G26</f>
        <v>0</v>
      </c>
      <c r="J26" s="64"/>
      <c r="K26" s="64"/>
      <c r="L26" s="5"/>
      <c r="M26" s="157"/>
    </row>
    <row r="27" spans="1:13" hidden="1" x14ac:dyDescent="0.25">
      <c r="A27" s="5"/>
      <c r="B27" s="123"/>
      <c r="C27" s="123"/>
      <c r="D27" s="124"/>
      <c r="E27" s="158"/>
      <c r="F27" s="75"/>
      <c r="G27" s="75"/>
      <c r="H27" s="76"/>
      <c r="I27" s="75">
        <f t="shared" si="1"/>
        <v>0</v>
      </c>
      <c r="J27" s="64"/>
      <c r="K27" s="64"/>
      <c r="L27" s="5"/>
      <c r="M27" s="157"/>
    </row>
    <row r="28" spans="1:13" hidden="1" x14ac:dyDescent="0.25">
      <c r="A28" s="5"/>
      <c r="B28" s="123"/>
      <c r="C28" s="123"/>
      <c r="D28" s="124"/>
      <c r="E28" s="75"/>
      <c r="F28" s="75"/>
      <c r="G28" s="75"/>
      <c r="H28" s="76"/>
      <c r="I28" s="75">
        <f t="shared" si="1"/>
        <v>0</v>
      </c>
      <c r="J28" s="64"/>
      <c r="K28" s="64"/>
      <c r="L28" s="5"/>
      <c r="M28" s="157"/>
    </row>
    <row r="29" spans="1:13" hidden="1" x14ac:dyDescent="0.25">
      <c r="A29" s="5"/>
      <c r="B29" s="123"/>
      <c r="C29" s="123"/>
      <c r="D29" s="124"/>
      <c r="E29" s="158"/>
      <c r="F29" s="75"/>
      <c r="G29" s="75"/>
      <c r="H29" s="76"/>
      <c r="I29" s="75">
        <f t="shared" si="1"/>
        <v>0</v>
      </c>
      <c r="J29" s="64"/>
      <c r="K29" s="64"/>
      <c r="L29" s="5"/>
    </row>
    <row r="30" spans="1:13" hidden="1" x14ac:dyDescent="0.25">
      <c r="A30" s="5"/>
      <c r="B30" s="123"/>
      <c r="C30" s="123"/>
      <c r="D30" s="124"/>
      <c r="E30" s="158"/>
      <c r="F30" s="75"/>
      <c r="G30" s="75"/>
      <c r="H30" s="76"/>
      <c r="I30" s="75">
        <f t="shared" si="1"/>
        <v>0</v>
      </c>
      <c r="J30" s="64"/>
      <c r="K30" s="64"/>
      <c r="L30" s="5"/>
    </row>
    <row r="31" spans="1:13" hidden="1" x14ac:dyDescent="0.25">
      <c r="A31" s="5"/>
      <c r="B31" s="123"/>
      <c r="C31" s="123"/>
      <c r="D31" s="124"/>
      <c r="E31" s="75"/>
      <c r="F31" s="75"/>
      <c r="G31" s="75"/>
      <c r="H31" s="76"/>
      <c r="I31" s="75">
        <f t="shared" si="1"/>
        <v>0</v>
      </c>
      <c r="J31" s="64"/>
      <c r="K31" s="64"/>
      <c r="L31" s="5"/>
    </row>
    <row r="32" spans="1:13" hidden="1" x14ac:dyDescent="0.25">
      <c r="A32" s="5"/>
      <c r="B32" s="123"/>
      <c r="C32" s="123"/>
      <c r="D32" s="124"/>
      <c r="E32" s="75"/>
      <c r="F32" s="75"/>
      <c r="G32" s="75"/>
      <c r="H32" s="76"/>
      <c r="I32" s="75">
        <f t="shared" si="1"/>
        <v>0</v>
      </c>
      <c r="J32" s="64"/>
      <c r="K32" s="64"/>
      <c r="L32" s="5"/>
    </row>
    <row r="33" spans="1:14" hidden="1" x14ac:dyDescent="0.25">
      <c r="A33" s="5"/>
      <c r="B33" s="123"/>
      <c r="C33" s="123"/>
      <c r="D33" s="124"/>
      <c r="E33" s="75"/>
      <c r="F33" s="75"/>
      <c r="G33" s="75"/>
      <c r="H33" s="76"/>
      <c r="I33" s="75">
        <f t="shared" si="1"/>
        <v>0</v>
      </c>
      <c r="J33" s="64"/>
      <c r="K33" s="64"/>
      <c r="L33" s="5"/>
    </row>
    <row r="34" spans="1:14" hidden="1" x14ac:dyDescent="0.25">
      <c r="A34" s="5"/>
      <c r="B34" s="123"/>
      <c r="C34" s="123"/>
      <c r="D34" s="124"/>
      <c r="E34" s="75"/>
      <c r="F34" s="75"/>
      <c r="G34" s="75"/>
      <c r="H34" s="76"/>
      <c r="I34" s="75">
        <f t="shared" si="1"/>
        <v>0</v>
      </c>
      <c r="J34" s="64"/>
      <c r="K34" s="64"/>
      <c r="L34" s="5"/>
      <c r="M34" s="101"/>
      <c r="N34" s="49"/>
    </row>
    <row r="35" spans="1:14" hidden="1" x14ac:dyDescent="0.25">
      <c r="A35" s="5"/>
      <c r="B35" s="123"/>
      <c r="C35" s="123"/>
      <c r="D35" s="124"/>
      <c r="E35" s="75"/>
      <c r="F35" s="75"/>
      <c r="G35" s="75"/>
      <c r="H35" s="76"/>
      <c r="I35" s="75">
        <f t="shared" si="1"/>
        <v>0</v>
      </c>
      <c r="J35" s="64"/>
      <c r="K35" s="64"/>
      <c r="L35" s="5"/>
      <c r="M35" s="101"/>
      <c r="N35" s="49"/>
    </row>
    <row r="36" spans="1:14" hidden="1" x14ac:dyDescent="0.25">
      <c r="A36" s="5"/>
      <c r="B36" s="123"/>
      <c r="C36" s="123"/>
      <c r="D36" s="124"/>
      <c r="E36" s="75"/>
      <c r="F36" s="75"/>
      <c r="G36" s="75"/>
      <c r="H36" s="76"/>
      <c r="I36" s="75">
        <f t="shared" si="1"/>
        <v>0</v>
      </c>
      <c r="J36" s="64"/>
      <c r="K36" s="64"/>
      <c r="L36" s="5"/>
      <c r="M36" s="101"/>
      <c r="N36" s="49"/>
    </row>
    <row r="37" spans="1:14" hidden="1" x14ac:dyDescent="0.25">
      <c r="A37" s="5"/>
      <c r="B37" s="123"/>
      <c r="C37" s="123"/>
      <c r="D37" s="124"/>
      <c r="E37" s="75"/>
      <c r="F37" s="75"/>
      <c r="G37" s="75"/>
      <c r="H37" s="76"/>
      <c r="I37" s="75">
        <f t="shared" si="1"/>
        <v>0</v>
      </c>
      <c r="J37" s="64"/>
      <c r="K37" s="64"/>
      <c r="L37" s="5"/>
    </row>
    <row r="38" spans="1:14" hidden="1" x14ac:dyDescent="0.25">
      <c r="A38" s="5"/>
      <c r="B38" s="123"/>
      <c r="C38" s="123"/>
      <c r="D38" s="124"/>
      <c r="E38" s="75"/>
      <c r="F38" s="75"/>
      <c r="G38" s="75"/>
      <c r="H38" s="76"/>
      <c r="I38" s="75">
        <f t="shared" si="1"/>
        <v>0</v>
      </c>
      <c r="J38" s="64"/>
      <c r="K38" s="64"/>
      <c r="L38" s="5"/>
    </row>
    <row r="39" spans="1:14" hidden="1" x14ac:dyDescent="0.25">
      <c r="A39" s="5"/>
      <c r="B39" s="123"/>
      <c r="C39" s="123"/>
      <c r="D39" s="124"/>
      <c r="E39" s="75"/>
      <c r="F39" s="75"/>
      <c r="G39" s="75"/>
      <c r="H39" s="76"/>
      <c r="I39" s="75">
        <f t="shared" si="1"/>
        <v>0</v>
      </c>
      <c r="J39" s="64"/>
      <c r="K39" s="64"/>
      <c r="L39" s="5"/>
    </row>
    <row r="40" spans="1:14" hidden="1" x14ac:dyDescent="0.25">
      <c r="A40" s="5"/>
      <c r="B40" s="123"/>
      <c r="C40" s="123"/>
      <c r="D40" s="124"/>
      <c r="E40" s="159"/>
      <c r="F40" s="75"/>
      <c r="G40" s="75"/>
      <c r="H40" s="76"/>
      <c r="I40" s="75">
        <f t="shared" si="1"/>
        <v>0</v>
      </c>
      <c r="J40" s="64"/>
      <c r="K40" s="64"/>
      <c r="L40" s="5"/>
    </row>
    <row r="41" spans="1:14" hidden="1" x14ac:dyDescent="0.25">
      <c r="A41" s="5"/>
      <c r="B41" s="123"/>
      <c r="C41" s="123"/>
      <c r="D41" s="124"/>
      <c r="E41" s="75"/>
      <c r="F41" s="75"/>
      <c r="G41" s="75"/>
      <c r="H41" s="76"/>
      <c r="I41" s="75">
        <f t="shared" si="1"/>
        <v>0</v>
      </c>
      <c r="J41" s="64"/>
      <c r="K41" s="64"/>
      <c r="L41" s="5"/>
    </row>
    <row r="42" spans="1:14" hidden="1" x14ac:dyDescent="0.25">
      <c r="A42" s="5"/>
      <c r="B42" s="123"/>
      <c r="C42" s="123"/>
      <c r="D42" s="124"/>
      <c r="E42" s="75"/>
      <c r="F42" s="75"/>
      <c r="G42" s="75"/>
      <c r="H42" s="76"/>
      <c r="I42" s="75">
        <f t="shared" si="1"/>
        <v>0</v>
      </c>
      <c r="J42" s="64"/>
      <c r="K42" s="64"/>
      <c r="L42" s="5"/>
    </row>
    <row r="43" spans="1:14" hidden="1" x14ac:dyDescent="0.25">
      <c r="A43" s="5"/>
      <c r="B43" s="123"/>
      <c r="C43" s="123"/>
      <c r="D43" s="124"/>
      <c r="E43" s="75"/>
      <c r="F43" s="75"/>
      <c r="G43" s="75"/>
      <c r="H43" s="76"/>
      <c r="I43" s="75">
        <f t="shared" si="1"/>
        <v>0</v>
      </c>
      <c r="J43" s="64"/>
      <c r="K43" s="64"/>
      <c r="L43" s="5"/>
    </row>
    <row r="44" spans="1:14" hidden="1" x14ac:dyDescent="0.25">
      <c r="A44" s="5"/>
      <c r="B44" s="123"/>
      <c r="C44" s="123"/>
      <c r="D44" s="124"/>
      <c r="E44" s="75"/>
      <c r="F44" s="75"/>
      <c r="G44" s="75"/>
      <c r="H44" s="76"/>
      <c r="I44" s="75">
        <f>+I43+E44-G44</f>
        <v>0</v>
      </c>
      <c r="J44" s="64"/>
      <c r="K44" s="64"/>
      <c r="L44" s="5"/>
    </row>
    <row r="45" spans="1:14" hidden="1" x14ac:dyDescent="0.25">
      <c r="A45" s="5"/>
      <c r="B45" s="123"/>
      <c r="C45" s="123"/>
      <c r="D45" s="124"/>
      <c r="E45" s="75"/>
      <c r="F45" s="75"/>
      <c r="G45" s="75"/>
      <c r="H45" s="76"/>
      <c r="I45" s="75">
        <f>+I44+E45-G45</f>
        <v>0</v>
      </c>
      <c r="J45" s="64"/>
      <c r="K45" s="64"/>
      <c r="L45" s="5"/>
    </row>
    <row r="46" spans="1:14" hidden="1" x14ac:dyDescent="0.25">
      <c r="A46" s="5"/>
      <c r="B46" s="123"/>
      <c r="C46" s="123"/>
      <c r="D46" s="124"/>
      <c r="E46" s="75"/>
      <c r="F46" s="75"/>
      <c r="G46" s="75"/>
      <c r="H46" s="76"/>
      <c r="I46" s="75">
        <f t="shared" ref="I46:I77" si="2">+I45+E46-G46</f>
        <v>0</v>
      </c>
      <c r="J46" s="64"/>
      <c r="K46" s="64"/>
      <c r="L46" s="5"/>
    </row>
    <row r="47" spans="1:14" hidden="1" x14ac:dyDescent="0.25">
      <c r="A47" s="5"/>
      <c r="B47" s="123"/>
      <c r="C47" s="123"/>
      <c r="D47" s="124"/>
      <c r="E47" s="75"/>
      <c r="F47" s="75"/>
      <c r="G47" s="75"/>
      <c r="H47" s="76"/>
      <c r="I47" s="75">
        <f t="shared" si="2"/>
        <v>0</v>
      </c>
      <c r="J47" s="64"/>
      <c r="K47" s="64"/>
      <c r="L47" s="5"/>
    </row>
    <row r="48" spans="1:14" hidden="1" x14ac:dyDescent="0.25">
      <c r="A48" s="5"/>
      <c r="B48" s="123"/>
      <c r="C48" s="123"/>
      <c r="D48" s="124"/>
      <c r="E48" s="75"/>
      <c r="F48" s="75"/>
      <c r="G48" s="75"/>
      <c r="H48" s="76"/>
      <c r="I48" s="75">
        <f t="shared" si="2"/>
        <v>0</v>
      </c>
      <c r="J48" s="64"/>
      <c r="K48" s="64"/>
      <c r="L48" s="5"/>
    </row>
    <row r="49" spans="1:12" hidden="1" x14ac:dyDescent="0.25">
      <c r="A49" s="5"/>
      <c r="B49" s="123"/>
      <c r="C49" s="123"/>
      <c r="D49" s="124"/>
      <c r="E49" s="75"/>
      <c r="F49" s="75"/>
      <c r="G49" s="75"/>
      <c r="H49" s="76"/>
      <c r="I49" s="75">
        <f t="shared" si="2"/>
        <v>0</v>
      </c>
      <c r="J49" s="64"/>
      <c r="K49" s="64"/>
      <c r="L49" s="5"/>
    </row>
    <row r="50" spans="1:12" hidden="1" x14ac:dyDescent="0.25">
      <c r="A50" s="5"/>
      <c r="B50" s="123"/>
      <c r="C50" s="123"/>
      <c r="D50" s="124"/>
      <c r="E50" s="75"/>
      <c r="F50" s="75"/>
      <c r="G50" s="75"/>
      <c r="H50" s="76"/>
      <c r="I50" s="75">
        <f t="shared" si="2"/>
        <v>0</v>
      </c>
      <c r="J50" s="64"/>
      <c r="K50" s="64"/>
      <c r="L50" s="5"/>
    </row>
    <row r="51" spans="1:12" hidden="1" x14ac:dyDescent="0.25">
      <c r="A51" s="5"/>
      <c r="B51" s="123"/>
      <c r="C51" s="123"/>
      <c r="D51" s="124"/>
      <c r="E51" s="75"/>
      <c r="F51" s="75"/>
      <c r="G51" s="75"/>
      <c r="H51" s="76"/>
      <c r="I51" s="75">
        <f t="shared" si="2"/>
        <v>0</v>
      </c>
      <c r="J51" s="64"/>
      <c r="K51" s="64"/>
      <c r="L51" s="5"/>
    </row>
    <row r="52" spans="1:12" hidden="1" x14ac:dyDescent="0.25">
      <c r="A52" s="5"/>
      <c r="B52" s="123"/>
      <c r="C52" s="123"/>
      <c r="D52" s="124"/>
      <c r="E52" s="75"/>
      <c r="F52" s="75"/>
      <c r="G52" s="75"/>
      <c r="H52" s="76"/>
      <c r="I52" s="75">
        <f t="shared" si="2"/>
        <v>0</v>
      </c>
      <c r="J52" s="64"/>
      <c r="K52" s="64"/>
      <c r="L52" s="5"/>
    </row>
    <row r="53" spans="1:12" hidden="1" x14ac:dyDescent="0.25">
      <c r="A53" s="5"/>
      <c r="B53" s="123"/>
      <c r="C53" s="123"/>
      <c r="D53" s="124"/>
      <c r="E53" s="75"/>
      <c r="F53" s="75"/>
      <c r="G53" s="75"/>
      <c r="H53" s="76"/>
      <c r="I53" s="75">
        <f t="shared" si="2"/>
        <v>0</v>
      </c>
      <c r="J53" s="64"/>
      <c r="K53" s="64"/>
      <c r="L53" s="5"/>
    </row>
    <row r="54" spans="1:12" hidden="1" x14ac:dyDescent="0.25">
      <c r="A54" s="5"/>
      <c r="B54" s="123"/>
      <c r="C54" s="123"/>
      <c r="D54" s="124"/>
      <c r="E54" s="75"/>
      <c r="F54" s="75"/>
      <c r="G54" s="75"/>
      <c r="H54" s="76"/>
      <c r="I54" s="75">
        <f t="shared" si="2"/>
        <v>0</v>
      </c>
      <c r="J54" s="64"/>
      <c r="K54" s="64"/>
      <c r="L54" s="5"/>
    </row>
    <row r="55" spans="1:12" hidden="1" x14ac:dyDescent="0.25">
      <c r="A55" s="5"/>
      <c r="B55" s="123"/>
      <c r="C55" s="123"/>
      <c r="D55" s="124"/>
      <c r="E55" s="75"/>
      <c r="F55" s="75"/>
      <c r="G55" s="75"/>
      <c r="H55" s="76"/>
      <c r="I55" s="75">
        <f t="shared" si="2"/>
        <v>0</v>
      </c>
      <c r="J55" s="64"/>
      <c r="K55" s="64"/>
      <c r="L55" s="5"/>
    </row>
    <row r="56" spans="1:12" hidden="1" x14ac:dyDescent="0.25">
      <c r="B56" s="123"/>
      <c r="C56" s="123"/>
      <c r="D56" s="124"/>
      <c r="E56" s="75"/>
      <c r="F56" s="75"/>
      <c r="G56" s="75"/>
      <c r="H56" s="76"/>
      <c r="I56" s="75">
        <f t="shared" si="2"/>
        <v>0</v>
      </c>
      <c r="J56" s="64"/>
      <c r="K56" s="64"/>
    </row>
    <row r="57" spans="1:12" hidden="1" x14ac:dyDescent="0.25">
      <c r="B57" s="123"/>
      <c r="C57" s="123"/>
      <c r="D57" s="124"/>
      <c r="E57" s="75"/>
      <c r="F57" s="75"/>
      <c r="G57" s="75"/>
      <c r="H57" s="76"/>
      <c r="I57" s="75">
        <f t="shared" si="2"/>
        <v>0</v>
      </c>
      <c r="J57" s="64"/>
      <c r="K57" s="64"/>
    </row>
    <row r="58" spans="1:12" hidden="1" x14ac:dyDescent="0.25">
      <c r="B58" s="123"/>
      <c r="C58" s="123"/>
      <c r="D58" s="124"/>
      <c r="E58" s="75"/>
      <c r="F58" s="75"/>
      <c r="G58" s="75"/>
      <c r="H58" s="76"/>
      <c r="I58" s="75">
        <f t="shared" si="2"/>
        <v>0</v>
      </c>
      <c r="J58" s="64"/>
      <c r="K58" s="64"/>
    </row>
    <row r="59" spans="1:12" hidden="1" x14ac:dyDescent="0.25">
      <c r="A59" s="5"/>
      <c r="B59" s="123"/>
      <c r="C59" s="123"/>
      <c r="D59" s="124"/>
      <c r="E59" s="75"/>
      <c r="F59" s="75"/>
      <c r="G59" s="75"/>
      <c r="H59" s="76"/>
      <c r="I59" s="75">
        <f t="shared" si="2"/>
        <v>0</v>
      </c>
      <c r="J59" s="64"/>
      <c r="K59" s="64"/>
      <c r="L59" s="5"/>
    </row>
    <row r="60" spans="1:12" hidden="1" x14ac:dyDescent="0.25">
      <c r="A60" s="5"/>
      <c r="B60" s="123"/>
      <c r="C60" s="123"/>
      <c r="D60" s="124"/>
      <c r="E60" s="75"/>
      <c r="F60" s="75"/>
      <c r="G60" s="75"/>
      <c r="H60" s="76"/>
      <c r="I60" s="75">
        <f t="shared" si="2"/>
        <v>0</v>
      </c>
      <c r="J60" s="64"/>
      <c r="K60" s="64"/>
      <c r="L60" s="5"/>
    </row>
    <row r="61" spans="1:12" hidden="1" x14ac:dyDescent="0.25">
      <c r="A61" s="5"/>
      <c r="B61" s="123"/>
      <c r="C61" s="123"/>
      <c r="D61" s="124"/>
      <c r="E61" s="75"/>
      <c r="F61" s="75"/>
      <c r="G61" s="75"/>
      <c r="H61" s="76"/>
      <c r="I61" s="75">
        <f t="shared" si="2"/>
        <v>0</v>
      </c>
      <c r="J61" s="64"/>
      <c r="K61" s="64"/>
      <c r="L61" s="5"/>
    </row>
    <row r="62" spans="1:12" hidden="1" x14ac:dyDescent="0.25">
      <c r="A62" s="5"/>
      <c r="B62" s="123"/>
      <c r="C62" s="123"/>
      <c r="D62" s="124"/>
      <c r="E62" s="75"/>
      <c r="F62" s="75"/>
      <c r="G62" s="75"/>
      <c r="H62" s="76"/>
      <c r="I62" s="75">
        <f t="shared" si="2"/>
        <v>0</v>
      </c>
      <c r="J62" s="64"/>
      <c r="K62" s="64"/>
      <c r="L62" s="5"/>
    </row>
    <row r="63" spans="1:12" hidden="1" x14ac:dyDescent="0.25">
      <c r="A63" s="5"/>
      <c r="B63" s="123"/>
      <c r="C63" s="123"/>
      <c r="D63" s="124"/>
      <c r="E63" s="75"/>
      <c r="F63" s="75"/>
      <c r="G63" s="75"/>
      <c r="H63" s="76"/>
      <c r="I63" s="75">
        <f t="shared" si="2"/>
        <v>0</v>
      </c>
      <c r="J63" s="64"/>
      <c r="K63" s="64"/>
      <c r="L63" s="5"/>
    </row>
    <row r="64" spans="1:12" hidden="1" x14ac:dyDescent="0.25">
      <c r="A64" s="5"/>
      <c r="B64" s="123"/>
      <c r="C64" s="123"/>
      <c r="D64" s="124"/>
      <c r="E64" s="75"/>
      <c r="F64" s="75"/>
      <c r="G64" s="75"/>
      <c r="H64" s="76"/>
      <c r="I64" s="75">
        <f t="shared" si="2"/>
        <v>0</v>
      </c>
      <c r="J64" s="64"/>
      <c r="K64" s="64"/>
      <c r="L64" s="5"/>
    </row>
    <row r="65" spans="1:12" hidden="1" x14ac:dyDescent="0.25">
      <c r="A65" s="5"/>
      <c r="B65" s="123"/>
      <c r="C65" s="123"/>
      <c r="D65" s="124"/>
      <c r="E65" s="75"/>
      <c r="F65" s="75"/>
      <c r="G65" s="75"/>
      <c r="H65" s="76"/>
      <c r="I65" s="75">
        <f t="shared" si="2"/>
        <v>0</v>
      </c>
      <c r="J65" s="64"/>
      <c r="K65" s="64"/>
      <c r="L65" s="5"/>
    </row>
    <row r="66" spans="1:12" hidden="1" x14ac:dyDescent="0.25">
      <c r="A66" s="5"/>
      <c r="B66" s="123"/>
      <c r="C66" s="123"/>
      <c r="D66" s="124"/>
      <c r="E66" s="75"/>
      <c r="F66" s="75"/>
      <c r="G66" s="75"/>
      <c r="H66" s="76"/>
      <c r="I66" s="75">
        <f t="shared" si="2"/>
        <v>0</v>
      </c>
      <c r="J66" s="64"/>
      <c r="K66" s="64"/>
      <c r="L66" s="5"/>
    </row>
    <row r="67" spans="1:12" hidden="1" x14ac:dyDescent="0.25">
      <c r="A67" s="5"/>
      <c r="B67" s="123"/>
      <c r="C67" s="123"/>
      <c r="D67" s="124"/>
      <c r="E67" s="75"/>
      <c r="F67" s="75"/>
      <c r="G67" s="75"/>
      <c r="H67" s="76"/>
      <c r="I67" s="75">
        <f t="shared" si="2"/>
        <v>0</v>
      </c>
      <c r="J67" s="64"/>
      <c r="K67" s="64"/>
      <c r="L67" s="5"/>
    </row>
    <row r="68" spans="1:12" hidden="1" x14ac:dyDescent="0.25">
      <c r="A68" s="5"/>
      <c r="B68" s="123"/>
      <c r="C68" s="123"/>
      <c r="D68" s="124"/>
      <c r="E68" s="75"/>
      <c r="F68" s="75"/>
      <c r="G68" s="75"/>
      <c r="H68" s="76"/>
      <c r="I68" s="75">
        <f t="shared" si="2"/>
        <v>0</v>
      </c>
      <c r="J68" s="64"/>
      <c r="K68" s="64"/>
      <c r="L68" s="5"/>
    </row>
    <row r="69" spans="1:12" hidden="1" x14ac:dyDescent="0.25">
      <c r="A69" s="5"/>
      <c r="B69" s="123"/>
      <c r="C69" s="123"/>
      <c r="D69" s="124"/>
      <c r="E69" s="75"/>
      <c r="F69" s="75"/>
      <c r="G69" s="75"/>
      <c r="H69" s="76"/>
      <c r="I69" s="75">
        <f t="shared" si="2"/>
        <v>0</v>
      </c>
      <c r="J69" s="64"/>
      <c r="K69" s="64"/>
      <c r="L69" s="5"/>
    </row>
    <row r="70" spans="1:12" hidden="1" x14ac:dyDescent="0.25">
      <c r="A70" s="5"/>
      <c r="B70" s="123"/>
      <c r="C70" s="123"/>
      <c r="D70" s="124"/>
      <c r="E70" s="75"/>
      <c r="F70" s="75"/>
      <c r="G70" s="75"/>
      <c r="H70" s="76"/>
      <c r="I70" s="75">
        <f t="shared" si="2"/>
        <v>0</v>
      </c>
      <c r="J70" s="64"/>
      <c r="K70" s="64"/>
      <c r="L70" s="5"/>
    </row>
    <row r="71" spans="1:12" hidden="1" x14ac:dyDescent="0.25">
      <c r="A71" s="5"/>
      <c r="B71" s="123"/>
      <c r="C71" s="123"/>
      <c r="D71" s="124"/>
      <c r="E71" s="75"/>
      <c r="F71" s="75"/>
      <c r="G71" s="75"/>
      <c r="H71" s="144"/>
      <c r="I71" s="75">
        <f t="shared" si="2"/>
        <v>0</v>
      </c>
      <c r="J71" s="64"/>
      <c r="K71" s="64"/>
      <c r="L71" s="5"/>
    </row>
    <row r="72" spans="1:12" hidden="1" x14ac:dyDescent="0.25">
      <c r="A72" s="5"/>
      <c r="B72" s="123"/>
      <c r="C72" s="123"/>
      <c r="D72" s="124"/>
      <c r="E72" s="75"/>
      <c r="F72" s="75"/>
      <c r="G72" s="75"/>
      <c r="H72" s="144"/>
      <c r="I72" s="75">
        <f t="shared" si="2"/>
        <v>0</v>
      </c>
      <c r="J72" s="64"/>
      <c r="K72" s="64"/>
      <c r="L72" s="5"/>
    </row>
    <row r="73" spans="1:12" hidden="1" x14ac:dyDescent="0.25">
      <c r="A73" s="5"/>
      <c r="B73" s="123"/>
      <c r="C73" s="123"/>
      <c r="D73" s="124"/>
      <c r="E73" s="75"/>
      <c r="F73" s="75"/>
      <c r="G73" s="75"/>
      <c r="H73" s="144"/>
      <c r="I73" s="75">
        <f t="shared" si="2"/>
        <v>0</v>
      </c>
      <c r="J73" s="64"/>
      <c r="K73" s="64"/>
      <c r="L73" s="5"/>
    </row>
    <row r="74" spans="1:12" hidden="1" x14ac:dyDescent="0.25">
      <c r="A74" s="5"/>
      <c r="B74" s="123"/>
      <c r="C74" s="123"/>
      <c r="D74" s="124"/>
      <c r="E74" s="75"/>
      <c r="F74" s="75"/>
      <c r="G74" s="75"/>
      <c r="H74" s="76"/>
      <c r="I74" s="75">
        <f t="shared" si="2"/>
        <v>0</v>
      </c>
      <c r="J74" s="64"/>
      <c r="K74" s="64"/>
      <c r="L74" s="5"/>
    </row>
    <row r="75" spans="1:12" hidden="1" x14ac:dyDescent="0.25">
      <c r="A75" s="5"/>
      <c r="B75" s="123"/>
      <c r="C75" s="123"/>
      <c r="D75" s="124"/>
      <c r="E75" s="75"/>
      <c r="F75" s="75"/>
      <c r="G75" s="75"/>
      <c r="H75" s="76"/>
      <c r="I75" s="75">
        <f t="shared" si="2"/>
        <v>0</v>
      </c>
      <c r="J75" s="64"/>
      <c r="K75" s="64"/>
      <c r="L75" s="5"/>
    </row>
    <row r="76" spans="1:12" hidden="1" x14ac:dyDescent="0.25">
      <c r="A76" s="5"/>
      <c r="B76" s="123"/>
      <c r="C76" s="123"/>
      <c r="D76" s="124"/>
      <c r="E76" s="75"/>
      <c r="F76" s="75"/>
      <c r="G76" s="75"/>
      <c r="H76" s="76"/>
      <c r="I76" s="75">
        <f t="shared" si="2"/>
        <v>0</v>
      </c>
      <c r="J76" s="64"/>
      <c r="K76" s="64"/>
      <c r="L76" s="5"/>
    </row>
    <row r="77" spans="1:12" hidden="1" x14ac:dyDescent="0.25">
      <c r="A77" s="5"/>
      <c r="B77" s="123"/>
      <c r="C77" s="123"/>
      <c r="D77" s="124"/>
      <c r="E77" s="75"/>
      <c r="F77" s="75"/>
      <c r="G77" s="75"/>
      <c r="H77" s="144"/>
      <c r="I77" s="75">
        <f t="shared" si="2"/>
        <v>0</v>
      </c>
      <c r="J77" s="64"/>
      <c r="K77" s="64"/>
      <c r="L77" s="5"/>
    </row>
    <row r="78" spans="1:12" hidden="1" x14ac:dyDescent="0.25">
      <c r="A78" s="5"/>
      <c r="B78" s="123"/>
      <c r="C78" s="123"/>
      <c r="D78" s="124"/>
      <c r="E78" s="75"/>
      <c r="F78" s="75"/>
      <c r="G78" s="75"/>
      <c r="H78" s="144"/>
      <c r="I78" s="75">
        <f>+I77+E78-G78</f>
        <v>0</v>
      </c>
      <c r="J78" s="64"/>
      <c r="K78" s="75"/>
      <c r="L78" s="5"/>
    </row>
    <row r="79" spans="1:12" hidden="1" x14ac:dyDescent="0.25">
      <c r="A79" s="5"/>
      <c r="B79" s="123"/>
      <c r="C79" s="123"/>
      <c r="D79" s="124"/>
      <c r="E79" s="75"/>
      <c r="F79" s="75"/>
      <c r="G79" s="75"/>
      <c r="H79" s="76"/>
      <c r="I79" s="75">
        <f t="shared" ref="I79:I86" si="3">+I78+E79-G79</f>
        <v>0</v>
      </c>
      <c r="J79" s="64"/>
      <c r="K79" s="64"/>
      <c r="L79" s="5"/>
    </row>
    <row r="80" spans="1:12" hidden="1" x14ac:dyDescent="0.25">
      <c r="A80" s="5"/>
      <c r="B80" s="123"/>
      <c r="C80" s="123"/>
      <c r="D80" s="124"/>
      <c r="E80" s="75"/>
      <c r="F80" s="75"/>
      <c r="G80" s="75"/>
      <c r="H80" s="76"/>
      <c r="I80" s="75">
        <f t="shared" si="3"/>
        <v>0</v>
      </c>
      <c r="J80" s="64"/>
      <c r="K80" s="64"/>
      <c r="L80" s="5"/>
    </row>
    <row r="81" spans="1:14" hidden="1" x14ac:dyDescent="0.25">
      <c r="A81" s="5"/>
      <c r="B81" s="123"/>
      <c r="C81" s="123"/>
      <c r="D81" s="124"/>
      <c r="E81" s="75"/>
      <c r="F81" s="75"/>
      <c r="G81" s="75"/>
      <c r="H81" s="76"/>
      <c r="I81" s="75">
        <f t="shared" si="3"/>
        <v>0</v>
      </c>
      <c r="J81" s="64"/>
      <c r="K81" s="64"/>
      <c r="L81" s="5"/>
    </row>
    <row r="82" spans="1:14" hidden="1" x14ac:dyDescent="0.25">
      <c r="A82" s="5"/>
      <c r="B82" s="123"/>
      <c r="C82" s="123"/>
      <c r="D82" s="124"/>
      <c r="E82" s="75"/>
      <c r="F82" s="75"/>
      <c r="G82" s="75"/>
      <c r="H82" s="144"/>
      <c r="I82" s="75">
        <f t="shared" si="3"/>
        <v>0</v>
      </c>
      <c r="J82" s="64"/>
      <c r="K82" s="64"/>
      <c r="L82" s="5"/>
    </row>
    <row r="83" spans="1:14" hidden="1" x14ac:dyDescent="0.25">
      <c r="A83" s="5"/>
      <c r="B83" s="123"/>
      <c r="C83" s="123"/>
      <c r="D83" s="124"/>
      <c r="E83" s="75"/>
      <c r="F83" s="75"/>
      <c r="G83" s="75"/>
      <c r="H83" s="144"/>
      <c r="I83" s="75">
        <f>+I82+E83-G83</f>
        <v>0</v>
      </c>
      <c r="J83" s="64"/>
      <c r="K83" s="64"/>
      <c r="L83" s="5"/>
    </row>
    <row r="84" spans="1:14" hidden="1" x14ac:dyDescent="0.25">
      <c r="A84" s="5"/>
      <c r="B84" s="123"/>
      <c r="C84" s="123"/>
      <c r="D84" s="124"/>
      <c r="E84" s="75"/>
      <c r="F84" s="75"/>
      <c r="G84" s="75"/>
      <c r="H84" s="144"/>
      <c r="I84" s="75">
        <f t="shared" si="3"/>
        <v>0</v>
      </c>
      <c r="J84" s="64"/>
      <c r="K84" s="64"/>
      <c r="L84" s="5"/>
    </row>
    <row r="85" spans="1:14" hidden="1" x14ac:dyDescent="0.25">
      <c r="A85" s="5"/>
      <c r="B85" s="123"/>
      <c r="C85" s="123"/>
      <c r="D85" s="124"/>
      <c r="E85" s="75"/>
      <c r="F85" s="75"/>
      <c r="G85" s="75"/>
      <c r="H85" s="76"/>
      <c r="I85" s="75">
        <f t="shared" si="3"/>
        <v>0</v>
      </c>
      <c r="J85" s="64"/>
      <c r="K85" s="64"/>
      <c r="L85" s="5"/>
      <c r="N85" s="49"/>
    </row>
    <row r="86" spans="1:14" hidden="1" x14ac:dyDescent="0.25">
      <c r="A86" s="5"/>
      <c r="B86" s="123"/>
      <c r="C86" s="123"/>
      <c r="D86" s="124"/>
      <c r="E86" s="75"/>
      <c r="F86" s="75"/>
      <c r="G86" s="75"/>
      <c r="H86" s="144"/>
      <c r="I86" s="75">
        <f t="shared" si="3"/>
        <v>0</v>
      </c>
      <c r="J86" s="64"/>
      <c r="K86" s="64"/>
      <c r="L86" s="5"/>
      <c r="N86" s="49"/>
    </row>
    <row r="87" spans="1:14" hidden="1" x14ac:dyDescent="0.25">
      <c r="A87" s="5"/>
      <c r="B87" s="123"/>
      <c r="C87" s="123"/>
      <c r="D87" s="124"/>
      <c r="E87" s="75"/>
      <c r="F87" s="75"/>
      <c r="G87" s="75"/>
      <c r="H87" s="144"/>
      <c r="I87" s="75">
        <f>+I86+E87-G87</f>
        <v>0</v>
      </c>
      <c r="J87" s="64"/>
      <c r="K87" s="64"/>
      <c r="L87" s="5"/>
    </row>
    <row r="88" spans="1:14" hidden="1" x14ac:dyDescent="0.25">
      <c r="A88" s="5"/>
      <c r="B88" s="123"/>
      <c r="C88" s="123"/>
      <c r="D88" s="124"/>
      <c r="E88" s="75"/>
      <c r="F88" s="75"/>
      <c r="G88" s="75"/>
      <c r="H88" s="144"/>
      <c r="I88" s="75">
        <f t="shared" ref="I88:I103" si="4">+I87+E88-G88</f>
        <v>0</v>
      </c>
      <c r="J88" s="64"/>
      <c r="K88" s="64"/>
      <c r="L88" s="5"/>
    </row>
    <row r="89" spans="1:14" hidden="1" x14ac:dyDescent="0.25">
      <c r="A89" s="5"/>
      <c r="B89" s="123"/>
      <c r="C89" s="123"/>
      <c r="D89" s="124"/>
      <c r="E89" s="75"/>
      <c r="F89" s="75"/>
      <c r="G89" s="75"/>
      <c r="H89" s="144"/>
      <c r="I89" s="75">
        <f t="shared" si="4"/>
        <v>0</v>
      </c>
      <c r="J89" s="64"/>
      <c r="K89" s="75"/>
      <c r="L89" s="5"/>
    </row>
    <row r="90" spans="1:14" hidden="1" x14ac:dyDescent="0.25">
      <c r="A90" s="5"/>
      <c r="B90" s="123"/>
      <c r="C90" s="123"/>
      <c r="D90" s="124"/>
      <c r="E90" s="75"/>
      <c r="F90" s="75"/>
      <c r="G90" s="75"/>
      <c r="H90" s="144"/>
      <c r="I90" s="75">
        <f t="shared" si="4"/>
        <v>0</v>
      </c>
      <c r="J90" s="64"/>
      <c r="K90" s="64"/>
      <c r="L90" s="5"/>
    </row>
    <row r="91" spans="1:14" hidden="1" x14ac:dyDescent="0.25">
      <c r="A91" s="5"/>
      <c r="B91" s="123"/>
      <c r="C91" s="123"/>
      <c r="D91" s="124"/>
      <c r="E91" s="75"/>
      <c r="F91" s="75"/>
      <c r="G91" s="75"/>
      <c r="H91" s="160"/>
      <c r="I91" s="75">
        <f t="shared" si="4"/>
        <v>0</v>
      </c>
      <c r="J91" s="64"/>
      <c r="K91" s="64"/>
      <c r="L91" s="5"/>
    </row>
    <row r="92" spans="1:14" hidden="1" x14ac:dyDescent="0.25">
      <c r="A92" s="5"/>
      <c r="B92" s="123"/>
      <c r="C92" s="123"/>
      <c r="D92" s="124"/>
      <c r="E92" s="75"/>
      <c r="F92" s="75"/>
      <c r="G92" s="75"/>
      <c r="H92" s="144"/>
      <c r="I92" s="75">
        <f t="shared" si="4"/>
        <v>0</v>
      </c>
      <c r="J92" s="64"/>
      <c r="K92" s="75"/>
      <c r="L92" s="5"/>
    </row>
    <row r="93" spans="1:14" hidden="1" x14ac:dyDescent="0.25">
      <c r="A93" s="5"/>
      <c r="B93" s="123"/>
      <c r="C93" s="123"/>
      <c r="D93" s="124"/>
      <c r="E93" s="75"/>
      <c r="F93" s="75"/>
      <c r="G93" s="75"/>
      <c r="H93" s="160"/>
      <c r="I93" s="75">
        <f t="shared" si="4"/>
        <v>0</v>
      </c>
      <c r="J93" s="64"/>
      <c r="K93" s="64"/>
      <c r="L93" s="5"/>
    </row>
    <row r="94" spans="1:14" hidden="1" x14ac:dyDescent="0.25">
      <c r="A94" s="5"/>
      <c r="B94" s="123"/>
      <c r="C94" s="123"/>
      <c r="D94" s="124"/>
      <c r="E94" s="75"/>
      <c r="F94" s="75"/>
      <c r="G94" s="75"/>
      <c r="H94" s="160"/>
      <c r="I94" s="75">
        <f t="shared" si="4"/>
        <v>0</v>
      </c>
      <c r="J94" s="64"/>
      <c r="K94" s="64"/>
      <c r="L94" s="5"/>
    </row>
    <row r="95" spans="1:14" hidden="1" x14ac:dyDescent="0.25">
      <c r="A95" s="5"/>
      <c r="B95" s="123"/>
      <c r="C95" s="123"/>
      <c r="D95" s="124"/>
      <c r="E95" s="75"/>
      <c r="F95" s="75"/>
      <c r="G95" s="75"/>
      <c r="H95" s="145"/>
      <c r="I95" s="75">
        <f t="shared" si="4"/>
        <v>0</v>
      </c>
      <c r="J95" s="64"/>
      <c r="K95" s="64"/>
      <c r="L95" s="5"/>
    </row>
    <row r="96" spans="1:14" hidden="1" x14ac:dyDescent="0.25">
      <c r="A96" s="5"/>
      <c r="B96" s="123"/>
      <c r="C96" s="123"/>
      <c r="D96" s="124"/>
      <c r="E96" s="75"/>
      <c r="F96" s="75"/>
      <c r="G96" s="75"/>
      <c r="H96" s="145"/>
      <c r="I96" s="75">
        <f t="shared" si="4"/>
        <v>0</v>
      </c>
      <c r="J96" s="64"/>
      <c r="K96" s="64"/>
      <c r="L96" s="5"/>
    </row>
    <row r="97" spans="1:14" hidden="1" x14ac:dyDescent="0.25">
      <c r="A97" s="5"/>
      <c r="B97" s="123"/>
      <c r="C97" s="123"/>
      <c r="D97" s="124"/>
      <c r="E97" s="75"/>
      <c r="F97" s="75"/>
      <c r="G97" s="75"/>
      <c r="H97" s="160"/>
      <c r="I97" s="75">
        <f t="shared" si="4"/>
        <v>0</v>
      </c>
      <c r="J97" s="64"/>
      <c r="K97" s="64"/>
      <c r="L97" s="5"/>
    </row>
    <row r="98" spans="1:14" hidden="1" x14ac:dyDescent="0.25">
      <c r="A98" s="5"/>
      <c r="B98" s="123"/>
      <c r="C98" s="123"/>
      <c r="D98" s="124"/>
      <c r="E98" s="75"/>
      <c r="F98" s="75"/>
      <c r="G98" s="75"/>
      <c r="H98" s="145"/>
      <c r="I98" s="75">
        <f t="shared" si="4"/>
        <v>0</v>
      </c>
      <c r="J98" s="64"/>
      <c r="K98" s="64"/>
      <c r="L98" s="5"/>
    </row>
    <row r="99" spans="1:14" hidden="1" x14ac:dyDescent="0.25">
      <c r="A99" s="5"/>
      <c r="B99" s="123"/>
      <c r="C99" s="123"/>
      <c r="D99" s="124"/>
      <c r="E99" s="75"/>
      <c r="F99" s="75"/>
      <c r="G99" s="75"/>
      <c r="H99" s="160"/>
      <c r="I99" s="75">
        <f t="shared" si="4"/>
        <v>0</v>
      </c>
      <c r="J99" s="64"/>
      <c r="K99" s="64"/>
      <c r="L99" s="5"/>
    </row>
    <row r="100" spans="1:14" hidden="1" x14ac:dyDescent="0.25">
      <c r="A100" s="5"/>
      <c r="B100" s="123"/>
      <c r="C100" s="123"/>
      <c r="D100" s="124"/>
      <c r="E100" s="75"/>
      <c r="F100" s="75"/>
      <c r="G100" s="75"/>
      <c r="H100" s="145"/>
      <c r="I100" s="75">
        <f t="shared" si="4"/>
        <v>0</v>
      </c>
      <c r="J100" s="64"/>
      <c r="K100" s="64"/>
      <c r="L100" s="5"/>
    </row>
    <row r="101" spans="1:14" hidden="1" x14ac:dyDescent="0.25">
      <c r="A101" s="5"/>
      <c r="B101" s="123"/>
      <c r="C101" s="123"/>
      <c r="D101" s="124"/>
      <c r="E101" s="75"/>
      <c r="F101" s="75"/>
      <c r="G101" s="75"/>
      <c r="H101" s="160"/>
      <c r="I101" s="75">
        <f t="shared" si="4"/>
        <v>0</v>
      </c>
      <c r="J101" s="64"/>
      <c r="K101" s="64"/>
      <c r="L101" s="5"/>
    </row>
    <row r="102" spans="1:14" hidden="1" x14ac:dyDescent="0.25">
      <c r="A102" s="5"/>
      <c r="B102" s="123"/>
      <c r="C102" s="123"/>
      <c r="D102" s="124"/>
      <c r="E102" s="75"/>
      <c r="F102" s="75"/>
      <c r="G102" s="75"/>
      <c r="H102" s="145"/>
      <c r="I102" s="75">
        <f t="shared" si="4"/>
        <v>0</v>
      </c>
      <c r="J102" s="64"/>
      <c r="K102" s="75"/>
      <c r="L102" s="5"/>
      <c r="N102" s="49"/>
    </row>
    <row r="103" spans="1:14" hidden="1" x14ac:dyDescent="0.25">
      <c r="A103" s="5"/>
      <c r="B103" s="123"/>
      <c r="C103" s="123"/>
      <c r="D103" s="124"/>
      <c r="E103" s="75"/>
      <c r="F103" s="75"/>
      <c r="G103" s="75"/>
      <c r="H103" s="145"/>
      <c r="I103" s="75">
        <f t="shared" si="4"/>
        <v>0</v>
      </c>
      <c r="J103" s="64"/>
      <c r="K103" s="64"/>
      <c r="L103" s="5"/>
    </row>
    <row r="104" spans="1:14" hidden="1" x14ac:dyDescent="0.25">
      <c r="A104" s="5"/>
      <c r="B104" s="123"/>
      <c r="C104" s="123"/>
      <c r="D104" s="124"/>
      <c r="E104" s="75"/>
      <c r="F104" s="75"/>
      <c r="G104" s="75"/>
      <c r="H104" s="145"/>
      <c r="I104" s="75">
        <f>+I103+E104-G104</f>
        <v>0</v>
      </c>
      <c r="J104" s="64"/>
      <c r="K104" s="64"/>
      <c r="L104" s="5"/>
    </row>
    <row r="105" spans="1:14" hidden="1" x14ac:dyDescent="0.25">
      <c r="A105" s="5"/>
      <c r="B105" s="123"/>
      <c r="C105" s="123"/>
      <c r="D105" s="124"/>
      <c r="E105" s="75"/>
      <c r="F105" s="75"/>
      <c r="G105" s="75"/>
      <c r="H105" s="145"/>
      <c r="I105" s="75">
        <f t="shared" ref="I105:I137" si="5">+I104+E105-G105</f>
        <v>0</v>
      </c>
      <c r="J105" s="64"/>
      <c r="K105" s="64"/>
      <c r="L105" s="5"/>
    </row>
    <row r="106" spans="1:14" hidden="1" x14ac:dyDescent="0.25">
      <c r="A106" s="5"/>
      <c r="B106" s="123"/>
      <c r="C106" s="123"/>
      <c r="D106" s="124"/>
      <c r="E106" s="75"/>
      <c r="F106" s="75"/>
      <c r="G106" s="75"/>
      <c r="H106" s="145"/>
      <c r="I106" s="75">
        <f t="shared" si="5"/>
        <v>0</v>
      </c>
      <c r="J106" s="64"/>
      <c r="K106" s="64"/>
      <c r="L106" s="5"/>
    </row>
    <row r="107" spans="1:14" hidden="1" x14ac:dyDescent="0.25">
      <c r="A107" s="5"/>
      <c r="B107" s="123"/>
      <c r="C107" s="123"/>
      <c r="D107" s="124"/>
      <c r="E107" s="75"/>
      <c r="F107" s="75"/>
      <c r="G107" s="75"/>
      <c r="H107" s="145"/>
      <c r="I107" s="75">
        <f t="shared" si="5"/>
        <v>0</v>
      </c>
      <c r="J107" s="64"/>
      <c r="K107" s="64"/>
      <c r="L107" s="5"/>
    </row>
    <row r="108" spans="1:14" hidden="1" x14ac:dyDescent="0.25">
      <c r="A108" s="5"/>
      <c r="B108" s="123"/>
      <c r="C108" s="123"/>
      <c r="D108" s="124"/>
      <c r="E108" s="75"/>
      <c r="F108" s="75"/>
      <c r="G108" s="75"/>
      <c r="H108" s="145"/>
      <c r="I108" s="75">
        <f t="shared" si="5"/>
        <v>0</v>
      </c>
      <c r="J108" s="64"/>
      <c r="K108" s="64"/>
      <c r="L108" s="5"/>
    </row>
    <row r="109" spans="1:14" hidden="1" x14ac:dyDescent="0.25">
      <c r="A109" s="5"/>
      <c r="B109" s="123"/>
      <c r="C109" s="123"/>
      <c r="D109" s="124"/>
      <c r="E109" s="75"/>
      <c r="F109" s="75"/>
      <c r="G109" s="75"/>
      <c r="H109" s="145"/>
      <c r="I109" s="75">
        <f t="shared" si="5"/>
        <v>0</v>
      </c>
      <c r="J109" s="64"/>
      <c r="K109" s="64"/>
      <c r="L109" s="5"/>
    </row>
    <row r="110" spans="1:14" hidden="1" x14ac:dyDescent="0.25">
      <c r="A110" s="5"/>
      <c r="B110" s="123"/>
      <c r="C110" s="123"/>
      <c r="D110" s="124"/>
      <c r="E110" s="75"/>
      <c r="F110" s="75"/>
      <c r="G110" s="75"/>
      <c r="H110" s="145"/>
      <c r="I110" s="75">
        <f t="shared" si="5"/>
        <v>0</v>
      </c>
      <c r="J110" s="64"/>
      <c r="K110" s="64"/>
      <c r="L110" s="5"/>
    </row>
    <row r="111" spans="1:14" hidden="1" x14ac:dyDescent="0.25">
      <c r="A111" s="5"/>
      <c r="B111" s="123"/>
      <c r="C111" s="123"/>
      <c r="D111" s="124"/>
      <c r="E111" s="75"/>
      <c r="F111" s="75"/>
      <c r="G111" s="75"/>
      <c r="H111" s="145"/>
      <c r="I111" s="75">
        <f t="shared" si="5"/>
        <v>0</v>
      </c>
      <c r="J111" s="64"/>
      <c r="K111" s="64"/>
      <c r="L111" s="5"/>
    </row>
    <row r="112" spans="1:14" hidden="1" x14ac:dyDescent="0.25">
      <c r="A112" s="5"/>
      <c r="B112" s="123"/>
      <c r="C112" s="123"/>
      <c r="D112" s="124"/>
      <c r="E112" s="75"/>
      <c r="F112" s="75"/>
      <c r="G112" s="75"/>
      <c r="H112" s="145"/>
      <c r="I112" s="75">
        <f t="shared" si="5"/>
        <v>0</v>
      </c>
      <c r="J112" s="64"/>
      <c r="K112" s="64"/>
      <c r="L112" s="5"/>
    </row>
    <row r="113" spans="1:14" hidden="1" x14ac:dyDescent="0.25">
      <c r="A113" s="5"/>
      <c r="B113" s="123"/>
      <c r="C113" s="123"/>
      <c r="D113" s="124"/>
      <c r="E113" s="75"/>
      <c r="F113" s="75"/>
      <c r="G113" s="75"/>
      <c r="H113" s="145"/>
      <c r="I113" s="75">
        <f t="shared" si="5"/>
        <v>0</v>
      </c>
      <c r="J113" s="64"/>
      <c r="K113" s="64"/>
      <c r="L113" s="5"/>
    </row>
    <row r="114" spans="1:14" hidden="1" x14ac:dyDescent="0.25">
      <c r="A114" s="5"/>
      <c r="B114" s="123"/>
      <c r="C114" s="123"/>
      <c r="D114" s="124"/>
      <c r="E114" s="75"/>
      <c r="F114" s="75"/>
      <c r="G114" s="75"/>
      <c r="H114" s="145"/>
      <c r="I114" s="75">
        <f t="shared" si="5"/>
        <v>0</v>
      </c>
      <c r="J114" s="64"/>
      <c r="K114" s="64"/>
      <c r="L114" s="5"/>
      <c r="N114" s="49"/>
    </row>
    <row r="115" spans="1:14" hidden="1" x14ac:dyDescent="0.25">
      <c r="A115" s="5"/>
      <c r="B115" s="123"/>
      <c r="C115" s="123"/>
      <c r="D115" s="124"/>
      <c r="E115" s="75"/>
      <c r="F115" s="75"/>
      <c r="G115" s="75"/>
      <c r="H115" s="76"/>
      <c r="I115" s="75">
        <f t="shared" si="5"/>
        <v>0</v>
      </c>
      <c r="J115" s="64"/>
      <c r="K115" s="64"/>
      <c r="L115" s="5"/>
    </row>
    <row r="116" spans="1:14" hidden="1" x14ac:dyDescent="0.25">
      <c r="A116" s="5"/>
      <c r="B116" s="123"/>
      <c r="C116" s="123"/>
      <c r="D116" s="124"/>
      <c r="E116" s="75"/>
      <c r="F116" s="75"/>
      <c r="G116" s="75"/>
      <c r="H116" s="146"/>
      <c r="I116" s="75">
        <f t="shared" si="5"/>
        <v>0</v>
      </c>
      <c r="J116" s="64"/>
      <c r="K116" s="64"/>
      <c r="L116" s="5"/>
    </row>
    <row r="117" spans="1:14" hidden="1" x14ac:dyDescent="0.25">
      <c r="A117" s="5"/>
      <c r="B117" s="123"/>
      <c r="C117" s="123"/>
      <c r="D117" s="124"/>
      <c r="E117" s="75"/>
      <c r="F117" s="75"/>
      <c r="G117" s="75"/>
      <c r="H117" s="146"/>
      <c r="I117" s="75">
        <f t="shared" si="5"/>
        <v>0</v>
      </c>
      <c r="J117" s="64"/>
      <c r="K117" s="64"/>
      <c r="L117" s="5"/>
    </row>
    <row r="118" spans="1:14" hidden="1" x14ac:dyDescent="0.25">
      <c r="A118" s="5"/>
      <c r="B118" s="123"/>
      <c r="C118" s="63"/>
      <c r="D118" s="124"/>
      <c r="E118" s="75"/>
      <c r="F118" s="75"/>
      <c r="G118" s="75"/>
      <c r="H118" s="146"/>
      <c r="I118" s="75">
        <f t="shared" si="5"/>
        <v>0</v>
      </c>
      <c r="J118" s="64"/>
      <c r="K118" s="64"/>
      <c r="L118" s="5"/>
    </row>
    <row r="119" spans="1:14" hidden="1" x14ac:dyDescent="0.25">
      <c r="A119" s="5"/>
      <c r="B119" s="123"/>
      <c r="C119" s="63"/>
      <c r="D119" s="124"/>
      <c r="E119" s="75"/>
      <c r="F119" s="75"/>
      <c r="G119" s="75"/>
      <c r="H119" s="76"/>
      <c r="I119" s="75">
        <f t="shared" si="5"/>
        <v>0</v>
      </c>
      <c r="J119" s="64"/>
      <c r="K119" s="75"/>
      <c r="L119" s="5"/>
    </row>
    <row r="120" spans="1:14" hidden="1" x14ac:dyDescent="0.25">
      <c r="A120" s="5"/>
      <c r="B120" s="123"/>
      <c r="C120" s="63"/>
      <c r="D120" s="124"/>
      <c r="E120" s="75"/>
      <c r="F120" s="75"/>
      <c r="G120" s="75"/>
      <c r="H120" s="146"/>
      <c r="I120" s="75">
        <f t="shared" si="5"/>
        <v>0</v>
      </c>
      <c r="J120" s="64"/>
      <c r="K120" s="75"/>
      <c r="L120" s="5"/>
    </row>
    <row r="121" spans="1:14" hidden="1" x14ac:dyDescent="0.25">
      <c r="A121" s="5"/>
      <c r="B121" s="123"/>
      <c r="C121" s="63"/>
      <c r="D121" s="124"/>
      <c r="E121" s="75"/>
      <c r="F121" s="75"/>
      <c r="G121" s="75"/>
      <c r="H121" s="76"/>
      <c r="I121" s="75">
        <f t="shared" si="5"/>
        <v>0</v>
      </c>
      <c r="J121" s="64"/>
      <c r="K121" s="64"/>
      <c r="L121" s="5"/>
    </row>
    <row r="122" spans="1:14" hidden="1" x14ac:dyDescent="0.25">
      <c r="A122" s="5"/>
      <c r="B122" s="123"/>
      <c r="C122" s="63"/>
      <c r="D122" s="124"/>
      <c r="E122" s="75"/>
      <c r="F122" s="75"/>
      <c r="G122" s="75"/>
      <c r="H122" s="76"/>
      <c r="I122" s="75">
        <f t="shared" si="5"/>
        <v>0</v>
      </c>
      <c r="J122" s="64"/>
      <c r="K122" s="64"/>
      <c r="L122" s="5"/>
    </row>
    <row r="123" spans="1:14" hidden="1" x14ac:dyDescent="0.25">
      <c r="A123" s="5"/>
      <c r="B123" s="123"/>
      <c r="C123" s="63"/>
      <c r="D123" s="124"/>
      <c r="E123" s="75"/>
      <c r="F123" s="75"/>
      <c r="G123" s="75"/>
      <c r="H123" s="76"/>
      <c r="I123" s="75">
        <f t="shared" si="5"/>
        <v>0</v>
      </c>
      <c r="J123" s="64"/>
      <c r="K123" s="64"/>
      <c r="L123" s="5"/>
      <c r="N123" s="49"/>
    </row>
    <row r="124" spans="1:14" hidden="1" x14ac:dyDescent="0.25">
      <c r="A124" s="5"/>
      <c r="B124" s="123"/>
      <c r="C124" s="63"/>
      <c r="D124" s="124"/>
      <c r="E124" s="75"/>
      <c r="F124" s="75"/>
      <c r="G124" s="75"/>
      <c r="H124" s="76"/>
      <c r="I124" s="75">
        <f t="shared" si="5"/>
        <v>0</v>
      </c>
      <c r="J124" s="64"/>
      <c r="K124" s="64"/>
      <c r="L124" s="5"/>
    </row>
    <row r="125" spans="1:14" hidden="1" x14ac:dyDescent="0.25">
      <c r="A125" s="5"/>
      <c r="B125" s="123"/>
      <c r="C125" s="63"/>
      <c r="D125" s="124"/>
      <c r="E125" s="75"/>
      <c r="F125" s="75"/>
      <c r="G125" s="75"/>
      <c r="H125" s="76"/>
      <c r="I125" s="75">
        <f t="shared" si="5"/>
        <v>0</v>
      </c>
      <c r="J125" s="64"/>
      <c r="K125" s="75"/>
      <c r="L125" s="5"/>
      <c r="N125" s="49"/>
    </row>
    <row r="126" spans="1:14" hidden="1" x14ac:dyDescent="0.25">
      <c r="A126" s="5"/>
      <c r="B126" s="123"/>
      <c r="C126" s="63"/>
      <c r="D126" s="124"/>
      <c r="E126" s="75"/>
      <c r="F126" s="75"/>
      <c r="G126" s="75"/>
      <c r="H126" s="76"/>
      <c r="I126" s="75">
        <f t="shared" si="5"/>
        <v>0</v>
      </c>
      <c r="J126" s="64"/>
      <c r="K126" s="64"/>
      <c r="L126" s="5"/>
    </row>
    <row r="127" spans="1:14" hidden="1" x14ac:dyDescent="0.25">
      <c r="A127" s="5"/>
      <c r="B127" s="123"/>
      <c r="C127" s="63"/>
      <c r="D127" s="124"/>
      <c r="E127" s="75"/>
      <c r="F127" s="75"/>
      <c r="G127" s="75"/>
      <c r="H127" s="76"/>
      <c r="I127" s="75">
        <f t="shared" si="5"/>
        <v>0</v>
      </c>
      <c r="J127" s="64"/>
      <c r="K127" s="64"/>
      <c r="L127" s="5"/>
    </row>
    <row r="128" spans="1:14" hidden="1" x14ac:dyDescent="0.25">
      <c r="A128" s="5"/>
      <c r="B128" s="123"/>
      <c r="C128" s="63"/>
      <c r="D128" s="124"/>
      <c r="E128" s="75"/>
      <c r="F128" s="75"/>
      <c r="G128" s="75"/>
      <c r="H128" s="76"/>
      <c r="I128" s="75">
        <f t="shared" si="5"/>
        <v>0</v>
      </c>
      <c r="J128" s="64"/>
      <c r="K128" s="64"/>
      <c r="L128" s="5"/>
    </row>
    <row r="129" spans="1:14" hidden="1" x14ac:dyDescent="0.25">
      <c r="A129" s="5"/>
      <c r="B129" s="123"/>
      <c r="C129" s="63"/>
      <c r="D129" s="124"/>
      <c r="E129" s="75"/>
      <c r="F129" s="75"/>
      <c r="G129" s="75"/>
      <c r="H129" s="76"/>
      <c r="I129" s="75">
        <f t="shared" si="5"/>
        <v>0</v>
      </c>
      <c r="J129" s="64"/>
      <c r="K129" s="64"/>
      <c r="L129" s="5"/>
    </row>
    <row r="130" spans="1:14" hidden="1" x14ac:dyDescent="0.25">
      <c r="A130" s="5"/>
      <c r="B130" s="123"/>
      <c r="C130" s="63"/>
      <c r="D130" s="124"/>
      <c r="E130" s="75"/>
      <c r="F130" s="75"/>
      <c r="G130" s="75"/>
      <c r="H130" s="76"/>
      <c r="I130" s="75">
        <f t="shared" si="5"/>
        <v>0</v>
      </c>
      <c r="J130" s="64"/>
      <c r="K130" s="64"/>
      <c r="L130" s="5"/>
    </row>
    <row r="131" spans="1:14" hidden="1" x14ac:dyDescent="0.25">
      <c r="A131" s="5"/>
      <c r="B131" s="123"/>
      <c r="C131" s="63"/>
      <c r="D131" s="124"/>
      <c r="E131" s="75"/>
      <c r="F131" s="75"/>
      <c r="G131" s="75"/>
      <c r="H131" s="76"/>
      <c r="I131" s="75">
        <f t="shared" si="5"/>
        <v>0</v>
      </c>
      <c r="J131" s="64"/>
      <c r="K131" s="64"/>
      <c r="L131" s="5"/>
    </row>
    <row r="132" spans="1:14" hidden="1" x14ac:dyDescent="0.25">
      <c r="A132" s="5"/>
      <c r="B132" s="123"/>
      <c r="C132" s="63"/>
      <c r="D132" s="124"/>
      <c r="E132" s="75"/>
      <c r="F132" s="75"/>
      <c r="G132" s="75"/>
      <c r="H132" s="76"/>
      <c r="I132" s="75">
        <f t="shared" si="5"/>
        <v>0</v>
      </c>
      <c r="J132" s="64"/>
      <c r="K132" s="64"/>
      <c r="L132" s="5"/>
    </row>
    <row r="133" spans="1:14" hidden="1" x14ac:dyDescent="0.25">
      <c r="A133" s="5"/>
      <c r="B133" s="123"/>
      <c r="C133" s="63"/>
      <c r="D133" s="124"/>
      <c r="E133" s="75"/>
      <c r="F133" s="75"/>
      <c r="G133" s="75"/>
      <c r="H133" s="76"/>
      <c r="I133" s="75">
        <f t="shared" si="5"/>
        <v>0</v>
      </c>
      <c r="J133" s="64"/>
      <c r="K133" s="64"/>
      <c r="L133" s="5"/>
      <c r="N133" s="49"/>
    </row>
    <row r="134" spans="1:14" hidden="1" x14ac:dyDescent="0.25">
      <c r="A134" s="5"/>
      <c r="B134" s="123"/>
      <c r="C134" s="63"/>
      <c r="D134" s="124"/>
      <c r="E134" s="75"/>
      <c r="F134" s="75"/>
      <c r="G134" s="75"/>
      <c r="H134" s="76"/>
      <c r="I134" s="75">
        <f t="shared" si="5"/>
        <v>0</v>
      </c>
      <c r="J134" s="64"/>
      <c r="K134" s="64"/>
      <c r="L134" s="5"/>
    </row>
    <row r="135" spans="1:14" hidden="1" x14ac:dyDescent="0.25">
      <c r="A135" s="5"/>
      <c r="B135" s="123"/>
      <c r="C135" s="63"/>
      <c r="D135" s="124"/>
      <c r="E135" s="75"/>
      <c r="F135" s="75"/>
      <c r="G135" s="75"/>
      <c r="H135" s="76"/>
      <c r="I135" s="75">
        <f t="shared" si="5"/>
        <v>0</v>
      </c>
      <c r="J135" s="64"/>
      <c r="K135" s="64"/>
      <c r="L135" s="5"/>
    </row>
    <row r="136" spans="1:14" hidden="1" x14ac:dyDescent="0.25">
      <c r="A136" s="5"/>
      <c r="B136" s="123"/>
      <c r="C136" s="63"/>
      <c r="D136" s="124"/>
      <c r="E136" s="75"/>
      <c r="F136" s="75"/>
      <c r="G136" s="75"/>
      <c r="H136" s="76"/>
      <c r="I136" s="75">
        <f t="shared" si="5"/>
        <v>0</v>
      </c>
      <c r="J136" s="64"/>
      <c r="K136" s="64"/>
      <c r="L136" s="5"/>
    </row>
    <row r="137" spans="1:14" x14ac:dyDescent="0.25">
      <c r="A137" s="5"/>
      <c r="B137" s="106"/>
      <c r="C137" s="106"/>
      <c r="D137" s="112"/>
      <c r="E137" s="107"/>
      <c r="F137" s="107"/>
      <c r="G137" s="75"/>
      <c r="H137" s="76"/>
      <c r="I137" s="108">
        <f t="shared" si="5"/>
        <v>0</v>
      </c>
      <c r="J137" s="10"/>
      <c r="K137" s="10"/>
      <c r="L137" s="5"/>
    </row>
    <row r="138" spans="1:14" ht="16.5" thickBot="1" x14ac:dyDescent="0.3">
      <c r="A138" s="5"/>
      <c r="B138" s="23"/>
      <c r="C138" s="23"/>
      <c r="D138" s="24"/>
      <c r="E138" s="19"/>
      <c r="F138" s="19"/>
      <c r="G138" s="12"/>
      <c r="H138" s="11"/>
      <c r="I138" s="27">
        <f>+I137+E138-G138</f>
        <v>0</v>
      </c>
      <c r="J138" s="10"/>
      <c r="K138" s="10"/>
      <c r="L138" s="5"/>
    </row>
    <row r="139" spans="1:14" ht="16.5" thickTop="1" x14ac:dyDescent="0.25">
      <c r="A139" s="5"/>
      <c r="B139" s="268" t="s">
        <v>55</v>
      </c>
      <c r="C139" s="268"/>
      <c r="D139" s="268"/>
      <c r="E139" s="20">
        <f>SUM(E11:E138)</f>
        <v>0</v>
      </c>
      <c r="F139" s="25"/>
      <c r="G139" s="25">
        <f>SUM(G11:G138)</f>
        <v>0</v>
      </c>
      <c r="H139" s="5"/>
      <c r="I139" s="5"/>
      <c r="J139" s="5"/>
      <c r="K139" s="5"/>
      <c r="L139" s="5"/>
    </row>
    <row r="140" spans="1:14" x14ac:dyDescent="0.25">
      <c r="A140" s="5"/>
      <c r="B140" s="5"/>
      <c r="C140" s="276" t="s">
        <v>67</v>
      </c>
      <c r="D140" s="276"/>
      <c r="E140" s="276"/>
      <c r="F140" s="276"/>
      <c r="G140" s="51">
        <f>+E139-G139</f>
        <v>0</v>
      </c>
      <c r="H140" s="5"/>
      <c r="I140" s="5"/>
      <c r="J140" s="5"/>
      <c r="K140" s="5"/>
      <c r="L140" s="5"/>
    </row>
    <row r="141" spans="1:14" ht="16.5" thickBot="1" x14ac:dyDescent="0.3">
      <c r="A141" s="5"/>
      <c r="B141" s="5"/>
      <c r="C141" s="277" t="s">
        <v>71</v>
      </c>
      <c r="D141" s="277"/>
      <c r="E141" s="277"/>
      <c r="F141" s="277"/>
      <c r="G141" s="52">
        <v>0</v>
      </c>
      <c r="H141" s="5"/>
      <c r="I141" s="16"/>
      <c r="J141" s="16"/>
      <c r="K141" s="5"/>
      <c r="L141" s="5"/>
    </row>
    <row r="142" spans="1:14" ht="16.5" thickTop="1" x14ac:dyDescent="0.25">
      <c r="A142" s="5"/>
      <c r="B142" s="5"/>
      <c r="C142" s="275" t="s">
        <v>72</v>
      </c>
      <c r="D142" s="275"/>
      <c r="E142" s="275"/>
      <c r="F142" s="275"/>
      <c r="G142" s="53">
        <f>+G140-G141</f>
        <v>0</v>
      </c>
      <c r="H142" s="5"/>
      <c r="I142" s="16"/>
      <c r="J142" s="5"/>
      <c r="K142" s="5"/>
      <c r="L142" s="5"/>
    </row>
  </sheetData>
  <autoFilter ref="B10:K142" xr:uid="{00000000-0009-0000-0000-000018000000}"/>
  <mergeCells count="6">
    <mergeCell ref="C142:F142"/>
    <mergeCell ref="B2:K2"/>
    <mergeCell ref="B3:K3"/>
    <mergeCell ref="B139:D139"/>
    <mergeCell ref="C140:F140"/>
    <mergeCell ref="C141:F14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DC12-18C3-4B48-A587-C761838FD601}">
  <sheetPr codeName="Hoja21">
    <pageSetUpPr fitToPage="1"/>
  </sheetPr>
  <dimension ref="A1:AK75"/>
  <sheetViews>
    <sheetView topLeftCell="A4" zoomScale="90" zoomScaleNormal="90" workbookViewId="0">
      <pane xSplit="3" ySplit="4" topLeftCell="AG56" activePane="bottomRight" state="frozen"/>
      <selection activeCell="B57" sqref="B57"/>
      <selection pane="topRight" activeCell="B57" sqref="B57"/>
      <selection pane="bottomLeft" activeCell="B57" sqref="B57"/>
      <selection pane="bottomRight" activeCell="AG65" sqref="AG65"/>
    </sheetView>
  </sheetViews>
  <sheetFormatPr baseColWidth="10" defaultColWidth="11.42578125" defaultRowHeight="15.75" x14ac:dyDescent="0.25"/>
  <cols>
    <col min="1" max="1" width="3.5703125" style="2" customWidth="1"/>
    <col min="2" max="2" width="24.42578125" style="1" customWidth="1"/>
    <col min="3" max="3" width="13.140625" style="1" customWidth="1"/>
    <col min="4" max="29" width="15.140625" style="1" hidden="1" customWidth="1"/>
    <col min="30" max="32" width="15.28515625" style="1" hidden="1" customWidth="1"/>
    <col min="33" max="33" width="15.28515625" style="1" customWidth="1"/>
    <col min="34" max="34" width="15.140625" style="1" customWidth="1"/>
    <col min="35" max="35" width="18.140625" style="1" customWidth="1"/>
    <col min="36" max="36" width="11.42578125" style="1"/>
    <col min="37" max="37" width="12.42578125" style="1" bestFit="1" customWidth="1"/>
    <col min="38" max="16384" width="11.42578125" style="1"/>
  </cols>
  <sheetData>
    <row r="1" spans="1:35" ht="15" customHeight="1" x14ac:dyDescent="0.25">
      <c r="B1" s="30"/>
      <c r="C1" s="31"/>
    </row>
    <row r="2" spans="1:35" ht="15" customHeight="1" x14ac:dyDescent="0.25">
      <c r="B2" s="30"/>
      <c r="C2" s="31"/>
    </row>
    <row r="3" spans="1:35" ht="18" x14ac:dyDescent="0.25">
      <c r="A3" s="90" t="s">
        <v>68</v>
      </c>
      <c r="B3" s="90"/>
      <c r="C3" s="90"/>
    </row>
    <row r="4" spans="1:35" ht="18" x14ac:dyDescent="0.25">
      <c r="A4" s="90" t="s">
        <v>50</v>
      </c>
      <c r="B4" s="90"/>
      <c r="C4" s="90"/>
    </row>
    <row r="5" spans="1:35" ht="20.25" customHeight="1" x14ac:dyDescent="0.25">
      <c r="A5" s="111" t="s">
        <v>225</v>
      </c>
      <c r="B5" s="31"/>
      <c r="C5" s="31"/>
    </row>
    <row r="6" spans="1:35" ht="20.25" customHeight="1" x14ac:dyDescent="0.25">
      <c r="A6" s="270" t="s">
        <v>64</v>
      </c>
      <c r="B6" s="270" t="s">
        <v>1</v>
      </c>
      <c r="C6" s="270" t="s">
        <v>2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9"/>
      <c r="AD6" s="88"/>
      <c r="AE6" s="88"/>
      <c r="AF6" s="88"/>
      <c r="AG6" s="88"/>
      <c r="AH6" s="89"/>
      <c r="AI6" s="270" t="s">
        <v>80</v>
      </c>
    </row>
    <row r="7" spans="1:35" s="32" customFormat="1" ht="17.25" customHeight="1" x14ac:dyDescent="0.25">
      <c r="A7" s="270"/>
      <c r="B7" s="270"/>
      <c r="C7" s="270"/>
      <c r="D7" s="62">
        <v>1</v>
      </c>
      <c r="E7" s="62">
        <v>2</v>
      </c>
      <c r="F7" s="62">
        <v>3</v>
      </c>
      <c r="G7" s="62">
        <v>4</v>
      </c>
      <c r="H7" s="99" t="s">
        <v>81</v>
      </c>
      <c r="I7" s="62">
        <v>6</v>
      </c>
      <c r="J7" s="62">
        <v>7</v>
      </c>
      <c r="K7" s="62">
        <v>8</v>
      </c>
      <c r="L7" s="62">
        <v>9</v>
      </c>
      <c r="M7" s="62">
        <v>10</v>
      </c>
      <c r="N7" s="62">
        <v>11</v>
      </c>
      <c r="O7" s="99" t="s">
        <v>82</v>
      </c>
      <c r="P7" s="62">
        <v>13</v>
      </c>
      <c r="Q7" s="62">
        <v>14</v>
      </c>
      <c r="R7" s="62">
        <v>15</v>
      </c>
      <c r="S7" s="62">
        <v>16</v>
      </c>
      <c r="T7" s="62">
        <v>17</v>
      </c>
      <c r="U7" s="62">
        <v>18</v>
      </c>
      <c r="V7" s="99" t="s">
        <v>83</v>
      </c>
      <c r="W7" s="62">
        <v>20</v>
      </c>
      <c r="X7" s="62">
        <v>21</v>
      </c>
      <c r="Y7" s="62">
        <v>22</v>
      </c>
      <c r="Z7" s="62">
        <v>23</v>
      </c>
      <c r="AA7" s="62">
        <v>24</v>
      </c>
      <c r="AB7" s="62">
        <v>25</v>
      </c>
      <c r="AC7" s="99" t="s">
        <v>84</v>
      </c>
      <c r="AD7" s="62">
        <v>27</v>
      </c>
      <c r="AE7" s="62">
        <v>28</v>
      </c>
      <c r="AF7" s="62">
        <v>29</v>
      </c>
      <c r="AG7" s="62">
        <v>31</v>
      </c>
      <c r="AH7" s="99" t="s">
        <v>84</v>
      </c>
      <c r="AI7" s="270"/>
    </row>
    <row r="8" spans="1:35" s="32" customFormat="1" ht="16.5" customHeight="1" x14ac:dyDescent="0.25">
      <c r="A8" s="56">
        <v>1</v>
      </c>
      <c r="B8" s="57" t="s">
        <v>25</v>
      </c>
      <c r="C8" s="54" t="s">
        <v>13</v>
      </c>
      <c r="D8" s="63"/>
      <c r="E8" s="63"/>
      <c r="F8" s="63"/>
      <c r="G8" s="63"/>
      <c r="H8" s="66">
        <f t="shared" ref="H8:H68" si="0">SUM(D8:G8)</f>
        <v>0</v>
      </c>
      <c r="I8" s="63"/>
      <c r="J8" s="63"/>
      <c r="K8" s="63"/>
      <c r="L8" s="63"/>
      <c r="M8" s="63"/>
      <c r="N8" s="63"/>
      <c r="O8" s="66">
        <f>SUM(I8:N8)</f>
        <v>0</v>
      </c>
      <c r="P8" s="63"/>
      <c r="Q8" s="63"/>
      <c r="R8" s="63"/>
      <c r="S8" s="63"/>
      <c r="T8" s="63"/>
      <c r="U8" s="63"/>
      <c r="V8" s="66">
        <f>SUM(P8:U8)</f>
        <v>0</v>
      </c>
      <c r="W8" s="63"/>
      <c r="X8" s="63"/>
      <c r="Y8" s="63"/>
      <c r="Z8" s="63"/>
      <c r="AA8" s="63"/>
      <c r="AB8" s="63"/>
      <c r="AC8" s="66">
        <f t="shared" ref="AC8:AC68" si="1">SUM(W8:AB8)</f>
        <v>0</v>
      </c>
      <c r="AD8" s="63"/>
      <c r="AE8" s="63"/>
      <c r="AF8" s="63"/>
      <c r="AG8" s="63"/>
      <c r="AH8" s="66">
        <f t="shared" ref="AH8:AH66" si="2">SUM(AD8:AG8)</f>
        <v>0</v>
      </c>
      <c r="AI8" s="68">
        <f t="shared" ref="AI8:AI21" si="3">+H8+O8+V8+AH8</f>
        <v>0</v>
      </c>
    </row>
    <row r="9" spans="1:35" ht="16.5" customHeight="1" x14ac:dyDescent="0.25">
      <c r="A9" s="56">
        <f>1+A8</f>
        <v>2</v>
      </c>
      <c r="B9" s="57" t="s">
        <v>11</v>
      </c>
      <c r="C9" s="54" t="s">
        <v>6</v>
      </c>
      <c r="D9" s="64"/>
      <c r="E9" s="64"/>
      <c r="F9" s="64"/>
      <c r="G9" s="64"/>
      <c r="H9" s="66">
        <f t="shared" si="0"/>
        <v>0</v>
      </c>
      <c r="I9" s="64"/>
      <c r="J9" s="64"/>
      <c r="K9" s="64"/>
      <c r="L9" s="64"/>
      <c r="M9" s="64"/>
      <c r="N9" s="64"/>
      <c r="O9" s="66">
        <f t="shared" ref="O9:O68" si="4">SUM(I9:N9)</f>
        <v>0</v>
      </c>
      <c r="P9" s="64"/>
      <c r="Q9" s="64"/>
      <c r="R9" s="64"/>
      <c r="S9" s="64"/>
      <c r="T9" s="64"/>
      <c r="U9" s="64"/>
      <c r="V9" s="66">
        <f>SUM(P9:U9)</f>
        <v>0</v>
      </c>
      <c r="W9" s="64"/>
      <c r="X9" s="64"/>
      <c r="Y9" s="64"/>
      <c r="Z9" s="64"/>
      <c r="AA9" s="64"/>
      <c r="AB9" s="64"/>
      <c r="AC9" s="66">
        <f t="shared" si="1"/>
        <v>0</v>
      </c>
      <c r="AD9" s="64"/>
      <c r="AE9" s="64"/>
      <c r="AF9" s="64"/>
      <c r="AG9" s="64"/>
      <c r="AH9" s="66">
        <f t="shared" si="2"/>
        <v>0</v>
      </c>
      <c r="AI9" s="68">
        <f t="shared" si="3"/>
        <v>0</v>
      </c>
    </row>
    <row r="10" spans="1:35" ht="16.5" customHeight="1" x14ac:dyDescent="0.25">
      <c r="A10" s="56">
        <f t="shared" ref="A10:A21" si="5">1+A9</f>
        <v>3</v>
      </c>
      <c r="B10" s="57" t="s">
        <v>70</v>
      </c>
      <c r="C10" s="54" t="s">
        <v>13</v>
      </c>
      <c r="D10" s="67"/>
      <c r="E10" s="67"/>
      <c r="F10" s="67"/>
      <c r="G10" s="67"/>
      <c r="H10" s="66">
        <f t="shared" si="0"/>
        <v>0</v>
      </c>
      <c r="I10" s="67"/>
      <c r="J10" s="67"/>
      <c r="K10" s="67"/>
      <c r="L10" s="67"/>
      <c r="M10" s="67"/>
      <c r="N10" s="67"/>
      <c r="O10" s="66">
        <f t="shared" si="4"/>
        <v>0</v>
      </c>
      <c r="P10" s="67"/>
      <c r="Q10" s="67"/>
      <c r="R10" s="67"/>
      <c r="S10" s="67"/>
      <c r="T10" s="67"/>
      <c r="U10" s="67"/>
      <c r="V10" s="66">
        <f t="shared" ref="V10:V23" si="6">SUM(P10:U10)</f>
        <v>0</v>
      </c>
      <c r="W10" s="67"/>
      <c r="X10" s="67"/>
      <c r="Y10" s="67"/>
      <c r="Z10" s="67"/>
      <c r="AA10" s="67"/>
      <c r="AB10" s="67"/>
      <c r="AC10" s="66">
        <f t="shared" si="1"/>
        <v>0</v>
      </c>
      <c r="AD10" s="67"/>
      <c r="AE10" s="67"/>
      <c r="AF10" s="67"/>
      <c r="AG10" s="67"/>
      <c r="AH10" s="66">
        <f t="shared" si="2"/>
        <v>0</v>
      </c>
      <c r="AI10" s="68">
        <f t="shared" si="3"/>
        <v>0</v>
      </c>
    </row>
    <row r="11" spans="1:35" ht="16.5" customHeight="1" x14ac:dyDescent="0.25">
      <c r="A11" s="56">
        <f t="shared" si="5"/>
        <v>4</v>
      </c>
      <c r="B11" s="57" t="s">
        <v>23</v>
      </c>
      <c r="C11" s="54" t="s">
        <v>9</v>
      </c>
      <c r="D11" s="67"/>
      <c r="E11" s="67"/>
      <c r="F11" s="67"/>
      <c r="G11" s="67"/>
      <c r="H11" s="66">
        <f t="shared" si="0"/>
        <v>0</v>
      </c>
      <c r="I11" s="67"/>
      <c r="J11" s="67"/>
      <c r="K11" s="67"/>
      <c r="L11" s="67"/>
      <c r="M11" s="67"/>
      <c r="N11" s="67"/>
      <c r="O11" s="66">
        <f t="shared" si="4"/>
        <v>0</v>
      </c>
      <c r="P11" s="67"/>
      <c r="Q11" s="67"/>
      <c r="R11" s="67"/>
      <c r="S11" s="67"/>
      <c r="T11" s="67"/>
      <c r="U11" s="67"/>
      <c r="V11" s="66">
        <f t="shared" si="6"/>
        <v>0</v>
      </c>
      <c r="W11" s="67"/>
      <c r="X11" s="67"/>
      <c r="Y11" s="67"/>
      <c r="Z11" s="67"/>
      <c r="AA11" s="67"/>
      <c r="AB11" s="67"/>
      <c r="AC11" s="66">
        <f t="shared" si="1"/>
        <v>0</v>
      </c>
      <c r="AD11" s="67"/>
      <c r="AE11" s="67"/>
      <c r="AF11" s="67"/>
      <c r="AG11" s="67"/>
      <c r="AH11" s="66">
        <f t="shared" si="2"/>
        <v>0</v>
      </c>
      <c r="AI11" s="68">
        <f t="shared" si="3"/>
        <v>0</v>
      </c>
    </row>
    <row r="12" spans="1:35" ht="16.5" customHeight="1" x14ac:dyDescent="0.25">
      <c r="A12" s="56">
        <f t="shared" si="5"/>
        <v>5</v>
      </c>
      <c r="B12" s="57" t="s">
        <v>24</v>
      </c>
      <c r="C12" s="54" t="s">
        <v>9</v>
      </c>
      <c r="D12" s="67"/>
      <c r="E12" s="67"/>
      <c r="F12" s="67"/>
      <c r="G12" s="67"/>
      <c r="H12" s="66">
        <f t="shared" si="0"/>
        <v>0</v>
      </c>
      <c r="I12" s="67"/>
      <c r="J12" s="67"/>
      <c r="K12" s="67"/>
      <c r="L12" s="67"/>
      <c r="M12" s="67"/>
      <c r="N12" s="67"/>
      <c r="O12" s="66">
        <f t="shared" si="4"/>
        <v>0</v>
      </c>
      <c r="P12" s="67"/>
      <c r="Q12" s="67"/>
      <c r="R12" s="67"/>
      <c r="S12" s="67"/>
      <c r="T12" s="67"/>
      <c r="U12" s="67"/>
      <c r="V12" s="66">
        <f t="shared" si="6"/>
        <v>0</v>
      </c>
      <c r="W12" s="67"/>
      <c r="X12" s="67"/>
      <c r="Y12" s="67"/>
      <c r="Z12" s="67"/>
      <c r="AA12" s="67"/>
      <c r="AB12" s="67"/>
      <c r="AC12" s="66">
        <f t="shared" si="1"/>
        <v>0</v>
      </c>
      <c r="AD12" s="67"/>
      <c r="AE12" s="67"/>
      <c r="AF12" s="67"/>
      <c r="AG12" s="67"/>
      <c r="AH12" s="66">
        <f t="shared" si="2"/>
        <v>0</v>
      </c>
      <c r="AI12" s="68">
        <f t="shared" si="3"/>
        <v>0</v>
      </c>
    </row>
    <row r="13" spans="1:35" ht="16.5" customHeight="1" x14ac:dyDescent="0.25">
      <c r="A13" s="56">
        <f t="shared" si="5"/>
        <v>6</v>
      </c>
      <c r="B13" s="57" t="s">
        <v>12</v>
      </c>
      <c r="C13" s="54" t="s">
        <v>13</v>
      </c>
      <c r="D13" s="67"/>
      <c r="E13" s="67"/>
      <c r="F13" s="67"/>
      <c r="G13" s="67"/>
      <c r="H13" s="66">
        <f t="shared" si="0"/>
        <v>0</v>
      </c>
      <c r="I13" s="67"/>
      <c r="J13" s="67"/>
      <c r="K13" s="67"/>
      <c r="L13" s="67"/>
      <c r="M13" s="67"/>
      <c r="N13" s="67"/>
      <c r="O13" s="66">
        <f t="shared" si="4"/>
        <v>0</v>
      </c>
      <c r="P13" s="67"/>
      <c r="Q13" s="67"/>
      <c r="R13" s="67"/>
      <c r="S13" s="67"/>
      <c r="T13" s="67"/>
      <c r="U13" s="67"/>
      <c r="V13" s="66">
        <f t="shared" si="6"/>
        <v>0</v>
      </c>
      <c r="W13" s="67"/>
      <c r="X13" s="67"/>
      <c r="Y13" s="67"/>
      <c r="Z13" s="67"/>
      <c r="AA13" s="67"/>
      <c r="AB13" s="67"/>
      <c r="AC13" s="66">
        <f t="shared" si="1"/>
        <v>0</v>
      </c>
      <c r="AD13" s="67"/>
      <c r="AE13" s="67"/>
      <c r="AF13" s="67"/>
      <c r="AG13" s="67"/>
      <c r="AH13" s="66">
        <f t="shared" si="2"/>
        <v>0</v>
      </c>
      <c r="AI13" s="68">
        <f t="shared" si="3"/>
        <v>0</v>
      </c>
    </row>
    <row r="14" spans="1:35" ht="16.5" customHeight="1" x14ac:dyDescent="0.25">
      <c r="A14" s="56">
        <f t="shared" si="5"/>
        <v>7</v>
      </c>
      <c r="B14" s="55" t="s">
        <v>5</v>
      </c>
      <c r="C14" s="54" t="s">
        <v>6</v>
      </c>
      <c r="D14" s="67"/>
      <c r="E14" s="67"/>
      <c r="F14" s="67"/>
      <c r="G14" s="67"/>
      <c r="H14" s="66">
        <f t="shared" si="0"/>
        <v>0</v>
      </c>
      <c r="I14" s="67"/>
      <c r="J14" s="67"/>
      <c r="K14" s="67"/>
      <c r="L14" s="67"/>
      <c r="M14" s="67"/>
      <c r="N14" s="67"/>
      <c r="O14" s="66">
        <f t="shared" si="4"/>
        <v>0</v>
      </c>
      <c r="P14" s="67"/>
      <c r="Q14" s="67"/>
      <c r="R14" s="67"/>
      <c r="S14" s="67"/>
      <c r="T14" s="67"/>
      <c r="U14" s="67"/>
      <c r="V14" s="66">
        <f t="shared" si="6"/>
        <v>0</v>
      </c>
      <c r="W14" s="67"/>
      <c r="X14" s="67"/>
      <c r="Y14" s="67"/>
      <c r="Z14" s="67"/>
      <c r="AA14" s="67"/>
      <c r="AB14" s="67"/>
      <c r="AC14" s="66">
        <f t="shared" si="1"/>
        <v>0</v>
      </c>
      <c r="AD14" s="67"/>
      <c r="AE14" s="67"/>
      <c r="AF14" s="67"/>
      <c r="AG14" s="67"/>
      <c r="AH14" s="66">
        <f t="shared" si="2"/>
        <v>0</v>
      </c>
      <c r="AI14" s="68">
        <f t="shared" si="3"/>
        <v>0</v>
      </c>
    </row>
    <row r="15" spans="1:35" ht="16.5" customHeight="1" x14ac:dyDescent="0.25">
      <c r="A15" s="56">
        <f t="shared" si="5"/>
        <v>8</v>
      </c>
      <c r="B15" s="57" t="s">
        <v>21</v>
      </c>
      <c r="C15" s="54" t="s">
        <v>16</v>
      </c>
      <c r="D15" s="67"/>
      <c r="E15" s="67"/>
      <c r="F15" s="67"/>
      <c r="G15" s="67"/>
      <c r="H15" s="66">
        <f t="shared" si="0"/>
        <v>0</v>
      </c>
      <c r="I15" s="67"/>
      <c r="J15" s="67"/>
      <c r="K15" s="67"/>
      <c r="L15" s="67"/>
      <c r="M15" s="67"/>
      <c r="N15" s="67"/>
      <c r="O15" s="66">
        <f t="shared" si="4"/>
        <v>0</v>
      </c>
      <c r="P15" s="67"/>
      <c r="Q15" s="67"/>
      <c r="R15" s="67"/>
      <c r="S15" s="67"/>
      <c r="T15" s="67"/>
      <c r="U15" s="67"/>
      <c r="V15" s="66">
        <f t="shared" si="6"/>
        <v>0</v>
      </c>
      <c r="W15" s="67"/>
      <c r="X15" s="67"/>
      <c r="Y15" s="67"/>
      <c r="Z15" s="67"/>
      <c r="AA15" s="67"/>
      <c r="AB15" s="67"/>
      <c r="AC15" s="66">
        <f t="shared" si="1"/>
        <v>0</v>
      </c>
      <c r="AD15" s="67"/>
      <c r="AE15" s="67"/>
      <c r="AF15" s="67"/>
      <c r="AG15" s="67"/>
      <c r="AH15" s="66">
        <f t="shared" si="2"/>
        <v>0</v>
      </c>
      <c r="AI15" s="68">
        <f t="shared" si="3"/>
        <v>0</v>
      </c>
    </row>
    <row r="16" spans="1:35" ht="16.5" customHeight="1" x14ac:dyDescent="0.25">
      <c r="A16" s="56">
        <f t="shared" si="5"/>
        <v>9</v>
      </c>
      <c r="B16" s="57" t="s">
        <v>15</v>
      </c>
      <c r="C16" s="54" t="s">
        <v>16</v>
      </c>
      <c r="D16" s="67"/>
      <c r="E16" s="67"/>
      <c r="F16" s="67"/>
      <c r="G16" s="67"/>
      <c r="H16" s="66">
        <f t="shared" si="0"/>
        <v>0</v>
      </c>
      <c r="I16" s="67"/>
      <c r="J16" s="67"/>
      <c r="K16" s="67"/>
      <c r="L16" s="67"/>
      <c r="M16" s="67"/>
      <c r="N16" s="67"/>
      <c r="O16" s="66">
        <f t="shared" si="4"/>
        <v>0</v>
      </c>
      <c r="P16" s="67"/>
      <c r="Q16" s="67"/>
      <c r="R16" s="67"/>
      <c r="S16" s="67"/>
      <c r="T16" s="67"/>
      <c r="U16" s="67"/>
      <c r="V16" s="66">
        <f t="shared" si="6"/>
        <v>0</v>
      </c>
      <c r="W16" s="67"/>
      <c r="X16" s="67"/>
      <c r="Y16" s="67"/>
      <c r="Z16" s="67"/>
      <c r="AA16" s="67"/>
      <c r="AB16" s="67"/>
      <c r="AC16" s="66">
        <f t="shared" si="1"/>
        <v>0</v>
      </c>
      <c r="AD16" s="67"/>
      <c r="AE16" s="67"/>
      <c r="AF16" s="67"/>
      <c r="AG16" s="67"/>
      <c r="AH16" s="66">
        <f t="shared" si="2"/>
        <v>0</v>
      </c>
      <c r="AI16" s="68">
        <f t="shared" si="3"/>
        <v>0</v>
      </c>
    </row>
    <row r="17" spans="1:35" ht="16.5" customHeight="1" x14ac:dyDescent="0.25">
      <c r="A17" s="56">
        <f t="shared" si="5"/>
        <v>10</v>
      </c>
      <c r="B17" s="57" t="s">
        <v>27</v>
      </c>
      <c r="C17" s="54" t="s">
        <v>26</v>
      </c>
      <c r="D17" s="67"/>
      <c r="E17" s="67"/>
      <c r="F17" s="67"/>
      <c r="G17" s="67"/>
      <c r="H17" s="66">
        <f t="shared" si="0"/>
        <v>0</v>
      </c>
      <c r="I17" s="67"/>
      <c r="J17" s="67"/>
      <c r="K17" s="67"/>
      <c r="L17" s="67"/>
      <c r="M17" s="67"/>
      <c r="N17" s="67"/>
      <c r="O17" s="66">
        <f t="shared" si="4"/>
        <v>0</v>
      </c>
      <c r="P17" s="67"/>
      <c r="Q17" s="67"/>
      <c r="R17" s="67"/>
      <c r="S17" s="67"/>
      <c r="T17" s="67"/>
      <c r="U17" s="67"/>
      <c r="V17" s="66">
        <f t="shared" si="6"/>
        <v>0</v>
      </c>
      <c r="W17" s="67"/>
      <c r="X17" s="67"/>
      <c r="Y17" s="67"/>
      <c r="Z17" s="67"/>
      <c r="AA17" s="67"/>
      <c r="AB17" s="67"/>
      <c r="AC17" s="66">
        <f t="shared" si="1"/>
        <v>0</v>
      </c>
      <c r="AD17" s="67"/>
      <c r="AE17" s="67"/>
      <c r="AF17" s="67"/>
      <c r="AG17" s="67"/>
      <c r="AH17" s="66">
        <f t="shared" si="2"/>
        <v>0</v>
      </c>
      <c r="AI17" s="68">
        <f t="shared" si="3"/>
        <v>0</v>
      </c>
    </row>
    <row r="18" spans="1:35" ht="16.5" customHeight="1" x14ac:dyDescent="0.25">
      <c r="A18" s="56">
        <f t="shared" si="5"/>
        <v>11</v>
      </c>
      <c r="B18" s="57" t="s">
        <v>8</v>
      </c>
      <c r="C18" s="54" t="s">
        <v>9</v>
      </c>
      <c r="D18" s="67"/>
      <c r="E18" s="67"/>
      <c r="F18" s="67"/>
      <c r="G18" s="67"/>
      <c r="H18" s="66">
        <f t="shared" si="0"/>
        <v>0</v>
      </c>
      <c r="I18" s="67"/>
      <c r="J18" s="67"/>
      <c r="K18" s="67"/>
      <c r="L18" s="67"/>
      <c r="M18" s="67"/>
      <c r="N18" s="67"/>
      <c r="O18" s="66">
        <f t="shared" si="4"/>
        <v>0</v>
      </c>
      <c r="P18" s="67"/>
      <c r="Q18" s="67"/>
      <c r="R18" s="67"/>
      <c r="S18" s="67"/>
      <c r="T18" s="67"/>
      <c r="U18" s="67"/>
      <c r="V18" s="66">
        <f t="shared" si="6"/>
        <v>0</v>
      </c>
      <c r="W18" s="67"/>
      <c r="X18" s="67"/>
      <c r="Y18" s="67"/>
      <c r="Z18" s="67"/>
      <c r="AA18" s="67"/>
      <c r="AB18" s="67"/>
      <c r="AC18" s="66">
        <f t="shared" si="1"/>
        <v>0</v>
      </c>
      <c r="AD18" s="67"/>
      <c r="AE18" s="67"/>
      <c r="AF18" s="67"/>
      <c r="AG18" s="67"/>
      <c r="AH18" s="66">
        <f t="shared" si="2"/>
        <v>0</v>
      </c>
      <c r="AI18" s="68">
        <f t="shared" si="3"/>
        <v>0</v>
      </c>
    </row>
    <row r="19" spans="1:35" ht="16.5" customHeight="1" x14ac:dyDescent="0.25">
      <c r="A19" s="56">
        <f t="shared" si="5"/>
        <v>12</v>
      </c>
      <c r="B19" s="57" t="s">
        <v>28</v>
      </c>
      <c r="C19" s="54" t="s">
        <v>29</v>
      </c>
      <c r="D19" s="67"/>
      <c r="E19" s="67"/>
      <c r="F19" s="67"/>
      <c r="G19" s="67"/>
      <c r="H19" s="66">
        <f t="shared" si="0"/>
        <v>0</v>
      </c>
      <c r="I19" s="67"/>
      <c r="J19" s="67"/>
      <c r="K19" s="67"/>
      <c r="L19" s="67"/>
      <c r="M19" s="67"/>
      <c r="N19" s="67"/>
      <c r="O19" s="66">
        <f t="shared" si="4"/>
        <v>0</v>
      </c>
      <c r="P19" s="67"/>
      <c r="Q19" s="67"/>
      <c r="R19" s="67"/>
      <c r="S19" s="67"/>
      <c r="T19" s="67"/>
      <c r="U19" s="67"/>
      <c r="V19" s="66">
        <f t="shared" si="6"/>
        <v>0</v>
      </c>
      <c r="W19" s="67"/>
      <c r="X19" s="67"/>
      <c r="Y19" s="67"/>
      <c r="Z19" s="67"/>
      <c r="AA19" s="67"/>
      <c r="AB19" s="67"/>
      <c r="AC19" s="66">
        <f t="shared" si="1"/>
        <v>0</v>
      </c>
      <c r="AD19" s="67"/>
      <c r="AE19" s="67"/>
      <c r="AF19" s="67"/>
      <c r="AG19" s="67"/>
      <c r="AH19" s="66">
        <f t="shared" si="2"/>
        <v>0</v>
      </c>
      <c r="AI19" s="68">
        <f t="shared" si="3"/>
        <v>0</v>
      </c>
    </row>
    <row r="20" spans="1:35" ht="16.5" customHeight="1" x14ac:dyDescent="0.25">
      <c r="A20" s="56">
        <f t="shared" si="5"/>
        <v>13</v>
      </c>
      <c r="B20" s="57" t="s">
        <v>10</v>
      </c>
      <c r="C20" s="65" t="s">
        <v>76</v>
      </c>
      <c r="D20" s="67"/>
      <c r="E20" s="67"/>
      <c r="F20" s="67"/>
      <c r="G20" s="67"/>
      <c r="H20" s="66">
        <f t="shared" si="0"/>
        <v>0</v>
      </c>
      <c r="I20" s="67"/>
      <c r="J20" s="67"/>
      <c r="K20" s="67"/>
      <c r="L20" s="67"/>
      <c r="M20" s="67"/>
      <c r="N20" s="67"/>
      <c r="O20" s="66">
        <f t="shared" si="4"/>
        <v>0</v>
      </c>
      <c r="P20" s="67"/>
      <c r="Q20" s="67"/>
      <c r="R20" s="67"/>
      <c r="S20" s="67"/>
      <c r="T20" s="67"/>
      <c r="U20" s="67"/>
      <c r="V20" s="66">
        <f t="shared" si="6"/>
        <v>0</v>
      </c>
      <c r="W20" s="67"/>
      <c r="X20" s="67"/>
      <c r="Y20" s="67"/>
      <c r="Z20" s="67"/>
      <c r="AA20" s="67"/>
      <c r="AB20" s="67"/>
      <c r="AC20" s="66">
        <f t="shared" si="1"/>
        <v>0</v>
      </c>
      <c r="AD20" s="67"/>
      <c r="AE20" s="67"/>
      <c r="AF20" s="67"/>
      <c r="AG20" s="67"/>
      <c r="AH20" s="66">
        <f t="shared" si="2"/>
        <v>0</v>
      </c>
      <c r="AI20" s="68">
        <f t="shared" si="3"/>
        <v>0</v>
      </c>
    </row>
    <row r="21" spans="1:35" ht="16.5" customHeight="1" x14ac:dyDescent="0.25">
      <c r="A21" s="56">
        <f t="shared" si="5"/>
        <v>14</v>
      </c>
      <c r="B21" s="57" t="s">
        <v>7</v>
      </c>
      <c r="C21" s="65" t="s">
        <v>76</v>
      </c>
      <c r="D21" s="67"/>
      <c r="E21" s="67"/>
      <c r="F21" s="67"/>
      <c r="G21" s="67"/>
      <c r="H21" s="66">
        <f t="shared" si="0"/>
        <v>0</v>
      </c>
      <c r="I21" s="67"/>
      <c r="J21" s="67"/>
      <c r="K21" s="67"/>
      <c r="L21" s="67"/>
      <c r="M21" s="67"/>
      <c r="N21" s="67"/>
      <c r="O21" s="66">
        <f t="shared" si="4"/>
        <v>0</v>
      </c>
      <c r="P21" s="67"/>
      <c r="Q21" s="67"/>
      <c r="R21" s="67"/>
      <c r="S21" s="67"/>
      <c r="T21" s="67"/>
      <c r="U21" s="67"/>
      <c r="V21" s="66">
        <f t="shared" si="6"/>
        <v>0</v>
      </c>
      <c r="W21" s="67"/>
      <c r="X21" s="67"/>
      <c r="Y21" s="67"/>
      <c r="Z21" s="67"/>
      <c r="AA21" s="67"/>
      <c r="AB21" s="67"/>
      <c r="AC21" s="66">
        <f t="shared" si="1"/>
        <v>0</v>
      </c>
      <c r="AD21" s="67"/>
      <c r="AE21" s="67"/>
      <c r="AF21" s="67"/>
      <c r="AG21" s="67"/>
      <c r="AH21" s="66">
        <f t="shared" si="2"/>
        <v>0</v>
      </c>
      <c r="AI21" s="68">
        <f t="shared" si="3"/>
        <v>0</v>
      </c>
    </row>
    <row r="22" spans="1:35" ht="27" customHeight="1" x14ac:dyDescent="0.25">
      <c r="A22" s="56">
        <f>1+A28</f>
        <v>20</v>
      </c>
      <c r="B22" s="105" t="s">
        <v>39</v>
      </c>
      <c r="C22" s="54" t="s">
        <v>40</v>
      </c>
      <c r="D22" s="67"/>
      <c r="E22" s="67"/>
      <c r="F22" s="67"/>
      <c r="G22" s="67"/>
      <c r="H22" s="66">
        <f t="shared" si="0"/>
        <v>0</v>
      </c>
      <c r="I22" s="67"/>
      <c r="J22" s="67"/>
      <c r="K22" s="67"/>
      <c r="L22" s="75"/>
      <c r="M22" s="76"/>
      <c r="N22" s="67"/>
      <c r="O22" s="66">
        <f>SUM(I22:N22)</f>
        <v>0</v>
      </c>
      <c r="P22" s="67"/>
      <c r="Q22" s="67"/>
      <c r="R22" s="67"/>
      <c r="S22" s="67"/>
      <c r="T22" s="67"/>
      <c r="U22" s="67"/>
      <c r="V22" s="66">
        <f>SUM(P22:U22)</f>
        <v>0</v>
      </c>
      <c r="W22" s="67"/>
      <c r="X22" s="67"/>
      <c r="Y22" s="67"/>
      <c r="Z22" s="67"/>
      <c r="AA22" s="67"/>
      <c r="AB22" s="67"/>
      <c r="AC22" s="66">
        <f t="shared" si="1"/>
        <v>0</v>
      </c>
      <c r="AD22" s="67"/>
      <c r="AE22" s="67"/>
      <c r="AF22" s="67"/>
      <c r="AG22" s="67"/>
      <c r="AH22" s="66">
        <f t="shared" si="2"/>
        <v>0</v>
      </c>
      <c r="AI22" s="68">
        <f>H22+O22+V22+AH22</f>
        <v>0</v>
      </c>
    </row>
    <row r="23" spans="1:35" ht="17.25" customHeight="1" x14ac:dyDescent="0.25">
      <c r="A23" s="271" t="s">
        <v>77</v>
      </c>
      <c r="B23" s="272"/>
      <c r="C23" s="273"/>
      <c r="D23" s="93"/>
      <c r="E23" s="93"/>
      <c r="F23" s="93"/>
      <c r="G23" s="93">
        <f t="shared" ref="G23" si="7">SUM(G8:G22)</f>
        <v>0</v>
      </c>
      <c r="H23" s="66">
        <f t="shared" si="0"/>
        <v>0</v>
      </c>
      <c r="I23" s="93">
        <f>SUM(I8:I22)</f>
        <v>0</v>
      </c>
      <c r="J23" s="93">
        <f t="shared" ref="J23:N23" si="8">SUM(J8:J22)</f>
        <v>0</v>
      </c>
      <c r="K23" s="93">
        <f t="shared" si="8"/>
        <v>0</v>
      </c>
      <c r="L23" s="93">
        <f t="shared" si="8"/>
        <v>0</v>
      </c>
      <c r="M23" s="93">
        <f t="shared" si="8"/>
        <v>0</v>
      </c>
      <c r="N23" s="93">
        <f t="shared" si="8"/>
        <v>0</v>
      </c>
      <c r="O23" s="91">
        <f t="shared" si="4"/>
        <v>0</v>
      </c>
      <c r="P23" s="93">
        <f>SUM(P8:P22)</f>
        <v>0</v>
      </c>
      <c r="Q23" s="93">
        <f t="shared" ref="Q23:U23" si="9">SUM(Q8:Q22)</f>
        <v>0</v>
      </c>
      <c r="R23" s="93">
        <f t="shared" si="9"/>
        <v>0</v>
      </c>
      <c r="S23" s="93">
        <f t="shared" si="9"/>
        <v>0</v>
      </c>
      <c r="T23" s="93">
        <f t="shared" si="9"/>
        <v>0</v>
      </c>
      <c r="U23" s="93">
        <f t="shared" si="9"/>
        <v>0</v>
      </c>
      <c r="V23" s="91">
        <f t="shared" si="6"/>
        <v>0</v>
      </c>
      <c r="W23" s="93">
        <f>SUM(W8:W22)</f>
        <v>0</v>
      </c>
      <c r="X23" s="93">
        <f>SUM(X8:X22)</f>
        <v>0</v>
      </c>
      <c r="Y23" s="93">
        <f t="shared" ref="Y23:AB23" si="10">SUM(Y8:Y22)</f>
        <v>0</v>
      </c>
      <c r="Z23" s="93">
        <f t="shared" si="10"/>
        <v>0</v>
      </c>
      <c r="AA23" s="93">
        <f t="shared" si="10"/>
        <v>0</v>
      </c>
      <c r="AB23" s="93">
        <f t="shared" si="10"/>
        <v>0</v>
      </c>
      <c r="AC23" s="91">
        <f t="shared" si="1"/>
        <v>0</v>
      </c>
      <c r="AD23" s="93">
        <f>SUM(AD8:AD22)</f>
        <v>0</v>
      </c>
      <c r="AE23" s="93"/>
      <c r="AF23" s="93"/>
      <c r="AG23" s="93">
        <f>SUM(AG8:AG22)</f>
        <v>0</v>
      </c>
      <c r="AH23" s="66">
        <f t="shared" si="2"/>
        <v>0</v>
      </c>
      <c r="AI23" s="69">
        <f>SUM(AI8:AI22)</f>
        <v>0</v>
      </c>
    </row>
    <row r="24" spans="1:35" ht="17.25" customHeight="1" x14ac:dyDescent="0.25">
      <c r="A24" s="40">
        <f>1+A21</f>
        <v>15</v>
      </c>
      <c r="B24" s="153" t="s">
        <v>56</v>
      </c>
      <c r="C24" s="38" t="s">
        <v>69</v>
      </c>
      <c r="D24" s="67"/>
      <c r="E24" s="67"/>
      <c r="F24" s="67"/>
      <c r="G24" s="67"/>
      <c r="H24" s="66">
        <f t="shared" si="0"/>
        <v>0</v>
      </c>
      <c r="I24" s="67"/>
      <c r="J24" s="67"/>
      <c r="K24" s="12"/>
      <c r="L24" s="12"/>
      <c r="M24" s="67"/>
      <c r="N24" s="67"/>
      <c r="O24" s="66">
        <f>SUM(I24:N24)</f>
        <v>0</v>
      </c>
      <c r="P24" s="12"/>
      <c r="Q24" s="80"/>
      <c r="R24" s="67"/>
      <c r="S24" s="67"/>
      <c r="T24" s="67"/>
      <c r="U24" s="67"/>
      <c r="V24" s="66">
        <f>SUM(P24:U24)</f>
        <v>0</v>
      </c>
      <c r="W24" s="67"/>
      <c r="X24" s="67"/>
      <c r="Y24" s="67"/>
      <c r="Z24" s="67"/>
      <c r="AA24" s="67"/>
      <c r="AB24" s="67"/>
      <c r="AC24" s="66">
        <f t="shared" si="1"/>
        <v>0</v>
      </c>
      <c r="AD24" s="67"/>
      <c r="AE24" s="67"/>
      <c r="AF24" s="67"/>
      <c r="AG24" s="67"/>
      <c r="AH24" s="66">
        <f t="shared" si="2"/>
        <v>0</v>
      </c>
      <c r="AI24" s="68">
        <f>H24+O24+V24+AC24+AH24</f>
        <v>0</v>
      </c>
    </row>
    <row r="25" spans="1:35" ht="17.25" customHeight="1" x14ac:dyDescent="0.25">
      <c r="A25" s="40">
        <f t="shared" ref="A25:A38" si="11">1+A24</f>
        <v>16</v>
      </c>
      <c r="B25" s="41" t="s">
        <v>19</v>
      </c>
      <c r="C25" s="38" t="s">
        <v>18</v>
      </c>
      <c r="D25" s="67"/>
      <c r="E25" s="67"/>
      <c r="F25" s="67"/>
      <c r="G25" s="67"/>
      <c r="H25" s="66">
        <f t="shared" si="0"/>
        <v>0</v>
      </c>
      <c r="I25" s="67"/>
      <c r="J25" s="67"/>
      <c r="K25" s="67"/>
      <c r="L25" s="67"/>
      <c r="M25" s="67"/>
      <c r="N25" s="67"/>
      <c r="O25" s="66">
        <f t="shared" ref="O25:O66" si="12">SUM(I25:N25)</f>
        <v>0</v>
      </c>
      <c r="P25" s="67"/>
      <c r="Q25" s="67"/>
      <c r="R25" s="67"/>
      <c r="S25" s="67"/>
      <c r="T25" s="67"/>
      <c r="U25" s="67"/>
      <c r="V25" s="66">
        <f t="shared" ref="V25:V66" si="13">SUM(P25:U25)</f>
        <v>0</v>
      </c>
      <c r="W25" s="67"/>
      <c r="X25" s="67"/>
      <c r="Y25" s="67"/>
      <c r="Z25" s="67"/>
      <c r="AA25" s="67"/>
      <c r="AB25" s="67"/>
      <c r="AC25" s="66">
        <f t="shared" si="1"/>
        <v>0</v>
      </c>
      <c r="AD25" s="67"/>
      <c r="AE25" s="67"/>
      <c r="AF25" s="67"/>
      <c r="AG25" s="67">
        <v>84701</v>
      </c>
      <c r="AH25" s="66">
        <f t="shared" si="2"/>
        <v>84701</v>
      </c>
      <c r="AI25" s="68">
        <f>H25+O25+V25+AC25+AH25</f>
        <v>84701</v>
      </c>
    </row>
    <row r="26" spans="1:35" ht="17.25" customHeight="1" x14ac:dyDescent="0.25">
      <c r="A26" s="40">
        <f t="shared" si="11"/>
        <v>17</v>
      </c>
      <c r="B26" s="41" t="s">
        <v>31</v>
      </c>
      <c r="C26" s="38" t="s">
        <v>32</v>
      </c>
      <c r="D26" s="67"/>
      <c r="E26" s="67"/>
      <c r="F26" s="67"/>
      <c r="G26" s="67"/>
      <c r="H26" s="66">
        <f t="shared" si="0"/>
        <v>0</v>
      </c>
      <c r="I26" s="67"/>
      <c r="J26" s="12"/>
      <c r="K26" s="67"/>
      <c r="L26" s="12"/>
      <c r="M26" s="67"/>
      <c r="N26" s="67"/>
      <c r="O26" s="66">
        <f t="shared" si="12"/>
        <v>0</v>
      </c>
      <c r="P26" s="67"/>
      <c r="Q26" s="67"/>
      <c r="R26" s="67"/>
      <c r="S26" s="67"/>
      <c r="T26" s="67"/>
      <c r="U26" s="67"/>
      <c r="V26" s="66">
        <f t="shared" si="13"/>
        <v>0</v>
      </c>
      <c r="W26" s="67"/>
      <c r="X26" s="67"/>
      <c r="Y26" s="67"/>
      <c r="Z26" s="67"/>
      <c r="AA26" s="67"/>
      <c r="AB26" s="67"/>
      <c r="AC26" s="66">
        <f t="shared" si="1"/>
        <v>0</v>
      </c>
      <c r="AD26" s="67"/>
      <c r="AE26" s="67"/>
      <c r="AF26" s="67"/>
      <c r="AG26" s="67">
        <v>325114.12</v>
      </c>
      <c r="AH26" s="66">
        <f t="shared" si="2"/>
        <v>325114.12</v>
      </c>
      <c r="AI26" s="68">
        <f>H26+O26+V26+AC26+AH26</f>
        <v>325114.12</v>
      </c>
    </row>
    <row r="27" spans="1:35" ht="17.25" customHeight="1" x14ac:dyDescent="0.25">
      <c r="A27" s="40">
        <f t="shared" si="11"/>
        <v>18</v>
      </c>
      <c r="B27" s="41" t="s">
        <v>33</v>
      </c>
      <c r="C27" s="38" t="s">
        <v>16</v>
      </c>
      <c r="D27" s="67"/>
      <c r="E27" s="67"/>
      <c r="F27" s="67"/>
      <c r="G27" s="67"/>
      <c r="H27" s="66">
        <f t="shared" si="0"/>
        <v>0</v>
      </c>
      <c r="I27" s="67"/>
      <c r="J27" s="67"/>
      <c r="K27" s="67"/>
      <c r="L27" s="67"/>
      <c r="M27" s="67"/>
      <c r="N27" s="67"/>
      <c r="O27" s="66">
        <f t="shared" si="12"/>
        <v>0</v>
      </c>
      <c r="P27" s="67"/>
      <c r="Q27" s="67"/>
      <c r="R27" s="67"/>
      <c r="S27" s="67"/>
      <c r="T27" s="67"/>
      <c r="U27" s="67"/>
      <c r="V27" s="66">
        <f t="shared" si="13"/>
        <v>0</v>
      </c>
      <c r="W27" s="67"/>
      <c r="X27" s="67"/>
      <c r="Y27" s="67"/>
      <c r="Z27" s="67"/>
      <c r="AA27" s="67"/>
      <c r="AB27" s="67"/>
      <c r="AC27" s="66">
        <f t="shared" si="1"/>
        <v>0</v>
      </c>
      <c r="AD27" s="67"/>
      <c r="AE27" s="67"/>
      <c r="AF27" s="67"/>
      <c r="AG27" s="67"/>
      <c r="AH27" s="66">
        <f t="shared" si="2"/>
        <v>0</v>
      </c>
      <c r="AI27" s="68">
        <f t="shared" ref="AI27:AI66" si="14">H27+O27+V27+AC27+AH27</f>
        <v>0</v>
      </c>
    </row>
    <row r="28" spans="1:35" ht="17.25" hidden="1" customHeight="1" x14ac:dyDescent="0.25">
      <c r="A28" s="40">
        <f t="shared" si="11"/>
        <v>19</v>
      </c>
      <c r="B28" s="41" t="s">
        <v>34</v>
      </c>
      <c r="C28" s="38" t="s">
        <v>26</v>
      </c>
      <c r="D28" s="67"/>
      <c r="E28" s="67"/>
      <c r="F28" s="67"/>
      <c r="G28" s="67"/>
      <c r="H28" s="66">
        <f t="shared" si="0"/>
        <v>0</v>
      </c>
      <c r="I28" s="67"/>
      <c r="J28" s="67"/>
      <c r="K28" s="67"/>
      <c r="L28" s="67"/>
      <c r="M28" s="67"/>
      <c r="N28" s="67"/>
      <c r="O28" s="66">
        <f t="shared" si="12"/>
        <v>0</v>
      </c>
      <c r="P28" s="67"/>
      <c r="Q28" s="67"/>
      <c r="R28" s="67"/>
      <c r="S28" s="67"/>
      <c r="T28" s="67"/>
      <c r="U28" s="67"/>
      <c r="V28" s="66">
        <f t="shared" si="13"/>
        <v>0</v>
      </c>
      <c r="W28" s="67"/>
      <c r="X28" s="67"/>
      <c r="Y28" s="67"/>
      <c r="Z28" s="67"/>
      <c r="AA28" s="67"/>
      <c r="AB28" s="67"/>
      <c r="AC28" s="66">
        <f t="shared" si="1"/>
        <v>0</v>
      </c>
      <c r="AD28" s="67"/>
      <c r="AE28" s="67"/>
      <c r="AF28" s="67"/>
      <c r="AG28" s="67"/>
      <c r="AH28" s="66">
        <f t="shared" si="2"/>
        <v>0</v>
      </c>
      <c r="AI28" s="68">
        <f t="shared" si="14"/>
        <v>0</v>
      </c>
    </row>
    <row r="29" spans="1:35" ht="17.25" customHeight="1" x14ac:dyDescent="0.25">
      <c r="A29" s="40">
        <f t="shared" si="11"/>
        <v>20</v>
      </c>
      <c r="B29" s="43" t="s">
        <v>73</v>
      </c>
      <c r="C29" s="38" t="s">
        <v>9</v>
      </c>
      <c r="D29" s="67"/>
      <c r="E29" s="12"/>
      <c r="F29" s="67"/>
      <c r="G29" s="67"/>
      <c r="H29" s="66">
        <f t="shared" si="0"/>
        <v>0</v>
      </c>
      <c r="I29" s="67"/>
      <c r="J29" s="67"/>
      <c r="K29" s="67"/>
      <c r="L29" s="67"/>
      <c r="M29" s="67"/>
      <c r="N29" s="67"/>
      <c r="O29" s="66">
        <f t="shared" si="12"/>
        <v>0</v>
      </c>
      <c r="P29" s="67"/>
      <c r="Q29" s="67"/>
      <c r="R29" s="67"/>
      <c r="S29" s="67"/>
      <c r="T29" s="67"/>
      <c r="U29" s="67"/>
      <c r="V29" s="66">
        <f t="shared" si="13"/>
        <v>0</v>
      </c>
      <c r="W29" s="67"/>
      <c r="X29" s="67"/>
      <c r="Y29" s="67"/>
      <c r="Z29" s="67"/>
      <c r="AA29" s="67"/>
      <c r="AB29" s="67"/>
      <c r="AC29" s="66">
        <f t="shared" si="1"/>
        <v>0</v>
      </c>
      <c r="AD29" s="67"/>
      <c r="AE29" s="67"/>
      <c r="AF29" s="67"/>
      <c r="AG29" s="67"/>
      <c r="AH29" s="66">
        <f t="shared" si="2"/>
        <v>0</v>
      </c>
      <c r="AI29" s="68">
        <f t="shared" si="14"/>
        <v>0</v>
      </c>
    </row>
    <row r="30" spans="1:35" ht="17.25" customHeight="1" x14ac:dyDescent="0.25">
      <c r="A30" s="40">
        <f t="shared" si="11"/>
        <v>21</v>
      </c>
      <c r="B30" s="58" t="s">
        <v>75</v>
      </c>
      <c r="C30" s="59" t="s">
        <v>13</v>
      </c>
      <c r="D30" s="67"/>
      <c r="E30" s="67"/>
      <c r="F30" s="67"/>
      <c r="G30" s="67"/>
      <c r="H30" s="66">
        <f t="shared" si="0"/>
        <v>0</v>
      </c>
      <c r="I30" s="67"/>
      <c r="J30" s="67"/>
      <c r="K30" s="67"/>
      <c r="L30" s="67"/>
      <c r="M30" s="67"/>
      <c r="N30" s="67"/>
      <c r="O30" s="66">
        <f t="shared" si="12"/>
        <v>0</v>
      </c>
      <c r="P30" s="67"/>
      <c r="Q30" s="67"/>
      <c r="R30" s="67"/>
      <c r="S30" s="67"/>
      <c r="T30" s="67"/>
      <c r="U30" s="67"/>
      <c r="V30" s="66">
        <f t="shared" si="13"/>
        <v>0</v>
      </c>
      <c r="W30" s="67"/>
      <c r="X30" s="67"/>
      <c r="Y30" s="67"/>
      <c r="Z30" s="67"/>
      <c r="AA30" s="67"/>
      <c r="AB30" s="67"/>
      <c r="AC30" s="66">
        <f t="shared" si="1"/>
        <v>0</v>
      </c>
      <c r="AD30" s="67"/>
      <c r="AE30" s="67"/>
      <c r="AF30" s="67"/>
      <c r="AG30" s="67"/>
      <c r="AH30" s="66">
        <f t="shared" si="2"/>
        <v>0</v>
      </c>
      <c r="AI30" s="68">
        <f t="shared" si="14"/>
        <v>0</v>
      </c>
    </row>
    <row r="31" spans="1:35" ht="17.25" customHeight="1" x14ac:dyDescent="0.25">
      <c r="A31" s="40">
        <f t="shared" si="11"/>
        <v>22</v>
      </c>
      <c r="B31" s="43" t="s">
        <v>85</v>
      </c>
      <c r="C31" s="38" t="s">
        <v>86</v>
      </c>
      <c r="D31" s="67"/>
      <c r="E31" s="67"/>
      <c r="F31" s="67"/>
      <c r="G31" s="67"/>
      <c r="H31" s="66">
        <f t="shared" si="0"/>
        <v>0</v>
      </c>
      <c r="I31" s="67"/>
      <c r="J31" s="67"/>
      <c r="K31" s="67"/>
      <c r="L31" s="12"/>
      <c r="M31" s="11"/>
      <c r="N31" s="67"/>
      <c r="O31" s="66">
        <f t="shared" si="12"/>
        <v>0</v>
      </c>
      <c r="P31" s="67"/>
      <c r="Q31" s="67"/>
      <c r="R31" s="67"/>
      <c r="S31" s="67"/>
      <c r="T31" s="67"/>
      <c r="U31" s="67"/>
      <c r="V31" s="66">
        <f t="shared" si="13"/>
        <v>0</v>
      </c>
      <c r="W31" s="67"/>
      <c r="X31" s="67"/>
      <c r="Y31" s="67"/>
      <c r="Z31" s="67"/>
      <c r="AA31" s="67"/>
      <c r="AB31" s="67"/>
      <c r="AC31" s="66">
        <f t="shared" si="1"/>
        <v>0</v>
      </c>
      <c r="AD31" s="67"/>
      <c r="AE31" s="67"/>
      <c r="AF31" s="67"/>
      <c r="AG31" s="67"/>
      <c r="AH31" s="66">
        <f t="shared" si="2"/>
        <v>0</v>
      </c>
      <c r="AI31" s="68">
        <f t="shared" si="14"/>
        <v>0</v>
      </c>
    </row>
    <row r="32" spans="1:35" ht="17.25" customHeight="1" x14ac:dyDescent="0.25">
      <c r="A32" s="40">
        <f t="shared" si="11"/>
        <v>23</v>
      </c>
      <c r="B32" s="58" t="s">
        <v>87</v>
      </c>
      <c r="C32" s="59" t="s">
        <v>6</v>
      </c>
      <c r="D32" s="67"/>
      <c r="E32" s="67"/>
      <c r="F32" s="67"/>
      <c r="G32" s="67"/>
      <c r="H32" s="66">
        <f t="shared" si="0"/>
        <v>0</v>
      </c>
      <c r="I32" s="67"/>
      <c r="J32" s="67"/>
      <c r="K32" s="67"/>
      <c r="L32" s="12"/>
      <c r="M32" s="11"/>
      <c r="N32" s="67"/>
      <c r="O32" s="66">
        <f t="shared" si="12"/>
        <v>0</v>
      </c>
      <c r="P32" s="67"/>
      <c r="Q32" s="67"/>
      <c r="R32" s="67"/>
      <c r="S32" s="67"/>
      <c r="T32" s="67"/>
      <c r="U32" s="67"/>
      <c r="V32" s="66">
        <f t="shared" si="13"/>
        <v>0</v>
      </c>
      <c r="W32" s="67"/>
      <c r="X32" s="67"/>
      <c r="Y32" s="12"/>
      <c r="Z32" s="67"/>
      <c r="AA32" s="67"/>
      <c r="AB32" s="67"/>
      <c r="AC32" s="66">
        <f t="shared" si="1"/>
        <v>0</v>
      </c>
      <c r="AD32" s="67"/>
      <c r="AE32" s="67"/>
      <c r="AF32" s="67"/>
      <c r="AG32" s="67"/>
      <c r="AH32" s="66">
        <f t="shared" si="2"/>
        <v>0</v>
      </c>
      <c r="AI32" s="68">
        <f t="shared" si="14"/>
        <v>0</v>
      </c>
    </row>
    <row r="33" spans="1:37" ht="17.25" customHeight="1" x14ac:dyDescent="0.25">
      <c r="A33" s="40">
        <f t="shared" si="11"/>
        <v>24</v>
      </c>
      <c r="B33" s="43" t="s">
        <v>89</v>
      </c>
      <c r="C33" s="38" t="s">
        <v>26</v>
      </c>
      <c r="D33" s="67"/>
      <c r="E33" s="67"/>
      <c r="F33" s="67"/>
      <c r="G33" s="67"/>
      <c r="H33" s="66">
        <f t="shared" si="0"/>
        <v>0</v>
      </c>
      <c r="I33" s="67"/>
      <c r="J33" s="67"/>
      <c r="K33" s="67"/>
      <c r="L33" s="12"/>
      <c r="M33" s="11"/>
      <c r="N33" s="67"/>
      <c r="O33" s="66">
        <f t="shared" si="12"/>
        <v>0</v>
      </c>
      <c r="P33" s="12"/>
      <c r="Q33" s="11"/>
      <c r="R33" s="67"/>
      <c r="S33" s="67"/>
      <c r="T33" s="67"/>
      <c r="U33" s="67"/>
      <c r="V33" s="66">
        <f t="shared" si="13"/>
        <v>0</v>
      </c>
      <c r="W33" s="67"/>
      <c r="X33" s="67"/>
      <c r="Y33" s="67"/>
      <c r="Z33" s="67"/>
      <c r="AA33" s="67"/>
      <c r="AB33" s="67"/>
      <c r="AC33" s="66">
        <f t="shared" si="1"/>
        <v>0</v>
      </c>
      <c r="AD33" s="67"/>
      <c r="AE33" s="67"/>
      <c r="AF33" s="67"/>
      <c r="AG33" s="67"/>
      <c r="AH33" s="66">
        <f t="shared" si="2"/>
        <v>0</v>
      </c>
      <c r="AI33" s="68">
        <f t="shared" si="14"/>
        <v>0</v>
      </c>
    </row>
    <row r="34" spans="1:37" ht="17.25" customHeight="1" x14ac:dyDescent="0.25">
      <c r="A34" s="40">
        <f t="shared" si="11"/>
        <v>25</v>
      </c>
      <c r="B34" s="58" t="s">
        <v>93</v>
      </c>
      <c r="C34" s="59" t="s">
        <v>26</v>
      </c>
      <c r="D34" s="67"/>
      <c r="E34" s="67"/>
      <c r="F34" s="67"/>
      <c r="G34" s="67"/>
      <c r="H34" s="66">
        <f t="shared" si="0"/>
        <v>0</v>
      </c>
      <c r="I34" s="67"/>
      <c r="J34" s="67"/>
      <c r="K34" s="67"/>
      <c r="L34" s="12"/>
      <c r="M34" s="11"/>
      <c r="N34" s="67"/>
      <c r="O34" s="66">
        <f t="shared" si="12"/>
        <v>0</v>
      </c>
      <c r="P34" s="12"/>
      <c r="Q34" s="11"/>
      <c r="R34" s="67"/>
      <c r="S34" s="67"/>
      <c r="T34" s="67"/>
      <c r="U34" s="67"/>
      <c r="V34" s="66">
        <f t="shared" si="13"/>
        <v>0</v>
      </c>
      <c r="W34" s="67"/>
      <c r="X34" s="67"/>
      <c r="Y34" s="67"/>
      <c r="Z34" s="67"/>
      <c r="AA34" s="67"/>
      <c r="AB34" s="67"/>
      <c r="AC34" s="66">
        <f t="shared" si="1"/>
        <v>0</v>
      </c>
      <c r="AD34" s="67"/>
      <c r="AE34" s="67"/>
      <c r="AF34" s="67"/>
      <c r="AG34" s="67"/>
      <c r="AH34" s="66">
        <f t="shared" si="2"/>
        <v>0</v>
      </c>
      <c r="AI34" s="68">
        <f t="shared" si="14"/>
        <v>0</v>
      </c>
    </row>
    <row r="35" spans="1:37" ht="17.25" customHeight="1" x14ac:dyDescent="0.25">
      <c r="A35" s="40">
        <f>1+A34</f>
        <v>26</v>
      </c>
      <c r="B35" s="58" t="s">
        <v>112</v>
      </c>
      <c r="C35" s="59" t="s">
        <v>32</v>
      </c>
      <c r="D35" s="67"/>
      <c r="E35" s="67"/>
      <c r="F35" s="67"/>
      <c r="G35" s="67"/>
      <c r="H35" s="66">
        <f t="shared" si="0"/>
        <v>0</v>
      </c>
      <c r="I35" s="67"/>
      <c r="J35" s="67"/>
      <c r="K35" s="67"/>
      <c r="L35" s="12"/>
      <c r="M35" s="11"/>
      <c r="N35" s="67"/>
      <c r="O35" s="66">
        <f t="shared" si="12"/>
        <v>0</v>
      </c>
      <c r="P35" s="12"/>
      <c r="Q35" s="19"/>
      <c r="R35" s="67"/>
      <c r="S35" s="67"/>
      <c r="T35" s="67"/>
      <c r="U35" s="67"/>
      <c r="V35" s="66">
        <f t="shared" si="13"/>
        <v>0</v>
      </c>
      <c r="W35" s="67"/>
      <c r="X35" s="67"/>
      <c r="Y35" s="67"/>
      <c r="Z35" s="67"/>
      <c r="AA35" s="67"/>
      <c r="AB35" s="67"/>
      <c r="AC35" s="66">
        <f t="shared" si="1"/>
        <v>0</v>
      </c>
      <c r="AD35" s="67"/>
      <c r="AE35" s="67"/>
      <c r="AF35" s="67"/>
      <c r="AG35" s="67"/>
      <c r="AH35" s="66">
        <f t="shared" si="2"/>
        <v>0</v>
      </c>
      <c r="AI35" s="68">
        <f t="shared" si="14"/>
        <v>0</v>
      </c>
    </row>
    <row r="36" spans="1:37" ht="17.25" customHeight="1" x14ac:dyDescent="0.25">
      <c r="A36" s="40">
        <f t="shared" ref="A36:A37" si="15">1+A35</f>
        <v>27</v>
      </c>
      <c r="B36" s="58" t="s">
        <v>113</v>
      </c>
      <c r="C36" s="59" t="s">
        <v>32</v>
      </c>
      <c r="D36" s="67"/>
      <c r="E36" s="67"/>
      <c r="F36" s="67"/>
      <c r="G36" s="67"/>
      <c r="H36" s="66">
        <f t="shared" si="0"/>
        <v>0</v>
      </c>
      <c r="I36" s="67"/>
      <c r="J36" s="67"/>
      <c r="K36" s="67"/>
      <c r="L36" s="12"/>
      <c r="M36" s="11"/>
      <c r="N36" s="67"/>
      <c r="O36" s="66">
        <f t="shared" si="12"/>
        <v>0</v>
      </c>
      <c r="P36" s="12"/>
      <c r="Q36" s="19"/>
      <c r="R36" s="67"/>
      <c r="S36" s="67"/>
      <c r="T36" s="67"/>
      <c r="U36" s="67"/>
      <c r="V36" s="66">
        <f t="shared" si="13"/>
        <v>0</v>
      </c>
      <c r="W36" s="67"/>
      <c r="X36" s="67"/>
      <c r="Y36" s="67"/>
      <c r="Z36" s="67"/>
      <c r="AA36" s="67"/>
      <c r="AB36" s="67"/>
      <c r="AC36" s="66">
        <f t="shared" si="1"/>
        <v>0</v>
      </c>
      <c r="AD36" s="67"/>
      <c r="AE36" s="67"/>
      <c r="AF36" s="67"/>
      <c r="AG36" s="67"/>
      <c r="AH36" s="66">
        <f t="shared" si="2"/>
        <v>0</v>
      </c>
      <c r="AI36" s="68">
        <f t="shared" si="14"/>
        <v>0</v>
      </c>
    </row>
    <row r="37" spans="1:37" ht="17.25" customHeight="1" x14ac:dyDescent="0.25">
      <c r="A37" s="40">
        <f t="shared" si="15"/>
        <v>28</v>
      </c>
      <c r="B37" s="58" t="s">
        <v>94</v>
      </c>
      <c r="C37" s="59" t="s">
        <v>26</v>
      </c>
      <c r="D37" s="67"/>
      <c r="E37" s="67"/>
      <c r="F37" s="67"/>
      <c r="G37" s="67"/>
      <c r="H37" s="66">
        <f t="shared" si="0"/>
        <v>0</v>
      </c>
      <c r="I37" s="12"/>
      <c r="J37" s="12"/>
      <c r="K37" s="12"/>
      <c r="L37" s="12"/>
      <c r="M37" s="11"/>
      <c r="N37" s="67"/>
      <c r="O37" s="66">
        <f t="shared" si="12"/>
        <v>0</v>
      </c>
      <c r="P37" s="67"/>
      <c r="Q37" s="19"/>
      <c r="R37" s="67"/>
      <c r="S37" s="67"/>
      <c r="T37" s="67"/>
      <c r="U37" s="67"/>
      <c r="V37" s="66">
        <f t="shared" si="13"/>
        <v>0</v>
      </c>
      <c r="W37" s="67"/>
      <c r="X37" s="67"/>
      <c r="Y37" s="67"/>
      <c r="Z37" s="12"/>
      <c r="AA37" s="67"/>
      <c r="AB37" s="67"/>
      <c r="AC37" s="66">
        <f t="shared" si="1"/>
        <v>0</v>
      </c>
      <c r="AD37" s="12"/>
      <c r="AE37" s="12"/>
      <c r="AF37" s="12"/>
      <c r="AG37" s="12">
        <v>210671</v>
      </c>
      <c r="AH37" s="66">
        <f t="shared" si="2"/>
        <v>210671</v>
      </c>
      <c r="AI37" s="68">
        <f t="shared" si="14"/>
        <v>210671</v>
      </c>
    </row>
    <row r="38" spans="1:37" ht="17.25" customHeight="1" x14ac:dyDescent="0.25">
      <c r="A38" s="40">
        <f t="shared" si="11"/>
        <v>29</v>
      </c>
      <c r="B38" s="58" t="s">
        <v>100</v>
      </c>
      <c r="C38" s="59" t="s">
        <v>13</v>
      </c>
      <c r="D38" s="67"/>
      <c r="E38" s="67"/>
      <c r="F38" s="67"/>
      <c r="G38" s="67"/>
      <c r="H38" s="66">
        <f t="shared" si="0"/>
        <v>0</v>
      </c>
      <c r="I38" s="12"/>
      <c r="J38" s="12"/>
      <c r="K38" s="12"/>
      <c r="L38" s="67"/>
      <c r="M38" s="67"/>
      <c r="N38" s="67"/>
      <c r="O38" s="66">
        <f t="shared" si="12"/>
        <v>0</v>
      </c>
      <c r="P38" s="67"/>
      <c r="Q38" s="19"/>
      <c r="R38" s="67"/>
      <c r="S38" s="67"/>
      <c r="T38" s="67"/>
      <c r="U38" s="67"/>
      <c r="V38" s="66">
        <f t="shared" si="13"/>
        <v>0</v>
      </c>
      <c r="W38" s="67"/>
      <c r="X38" s="67"/>
      <c r="Y38" s="67"/>
      <c r="Z38" s="67"/>
      <c r="AA38" s="67"/>
      <c r="AB38" s="67"/>
      <c r="AC38" s="66">
        <f t="shared" si="1"/>
        <v>0</v>
      </c>
      <c r="AD38" s="67"/>
      <c r="AE38" s="67"/>
      <c r="AF38" s="67"/>
      <c r="AG38" s="67"/>
      <c r="AH38" s="66">
        <f t="shared" si="2"/>
        <v>0</v>
      </c>
      <c r="AI38" s="68">
        <f t="shared" si="14"/>
        <v>0</v>
      </c>
      <c r="AK38" s="49"/>
    </row>
    <row r="39" spans="1:37" ht="17.25" customHeight="1" x14ac:dyDescent="0.25">
      <c r="A39" s="40">
        <f>1+A38</f>
        <v>30</v>
      </c>
      <c r="B39" s="58" t="s">
        <v>101</v>
      </c>
      <c r="C39" s="59" t="s">
        <v>16</v>
      </c>
      <c r="D39" s="67"/>
      <c r="E39" s="67"/>
      <c r="F39" s="67"/>
      <c r="G39" s="67"/>
      <c r="H39" s="66">
        <f t="shared" si="0"/>
        <v>0</v>
      </c>
      <c r="I39" s="12"/>
      <c r="J39" s="12"/>
      <c r="K39" s="12"/>
      <c r="L39" s="67"/>
      <c r="M39" s="67"/>
      <c r="N39" s="67"/>
      <c r="O39" s="66">
        <f t="shared" si="12"/>
        <v>0</v>
      </c>
      <c r="P39" s="67"/>
      <c r="Q39" s="19"/>
      <c r="R39" s="67"/>
      <c r="S39" s="67"/>
      <c r="T39" s="67"/>
      <c r="U39" s="67"/>
      <c r="V39" s="66">
        <f t="shared" si="13"/>
        <v>0</v>
      </c>
      <c r="W39" s="67"/>
      <c r="X39" s="67"/>
      <c r="Y39" s="67"/>
      <c r="Z39" s="67"/>
      <c r="AA39" s="67"/>
      <c r="AB39" s="67"/>
      <c r="AC39" s="66">
        <f t="shared" si="1"/>
        <v>0</v>
      </c>
      <c r="AD39" s="67"/>
      <c r="AE39" s="67"/>
      <c r="AF39" s="67"/>
      <c r="AG39" s="67"/>
      <c r="AH39" s="66">
        <f t="shared" si="2"/>
        <v>0</v>
      </c>
      <c r="AI39" s="68">
        <f t="shared" si="14"/>
        <v>0</v>
      </c>
    </row>
    <row r="40" spans="1:37" ht="17.25" customHeight="1" x14ac:dyDescent="0.25">
      <c r="A40" s="40">
        <f t="shared" ref="A40:A65" si="16">1+A39</f>
        <v>31</v>
      </c>
      <c r="B40" s="58" t="s">
        <v>103</v>
      </c>
      <c r="C40" s="59" t="s">
        <v>104</v>
      </c>
      <c r="D40" s="67"/>
      <c r="E40" s="67"/>
      <c r="F40" s="67"/>
      <c r="G40" s="67"/>
      <c r="H40" s="66">
        <f t="shared" si="0"/>
        <v>0</v>
      </c>
      <c r="I40" s="12"/>
      <c r="J40" s="12"/>
      <c r="K40" s="12"/>
      <c r="L40" s="67"/>
      <c r="M40" s="67"/>
      <c r="N40" s="67"/>
      <c r="O40" s="66">
        <f t="shared" si="12"/>
        <v>0</v>
      </c>
      <c r="P40" s="67"/>
      <c r="Q40" s="19"/>
      <c r="R40" s="67"/>
      <c r="S40" s="67"/>
      <c r="T40" s="67"/>
      <c r="U40" s="67"/>
      <c r="V40" s="66">
        <f t="shared" si="13"/>
        <v>0</v>
      </c>
      <c r="W40" s="67"/>
      <c r="X40" s="67"/>
      <c r="Y40" s="67"/>
      <c r="Z40" s="67"/>
      <c r="AA40" s="67"/>
      <c r="AB40" s="67"/>
      <c r="AC40" s="66">
        <f t="shared" si="1"/>
        <v>0</v>
      </c>
      <c r="AD40" s="67"/>
      <c r="AE40" s="67"/>
      <c r="AF40" s="67"/>
      <c r="AG40" s="67"/>
      <c r="AH40" s="66">
        <f t="shared" si="2"/>
        <v>0</v>
      </c>
      <c r="AI40" s="68">
        <f t="shared" si="14"/>
        <v>0</v>
      </c>
    </row>
    <row r="41" spans="1:37" ht="17.25" customHeight="1" x14ac:dyDescent="0.25">
      <c r="A41" s="40">
        <f t="shared" si="16"/>
        <v>32</v>
      </c>
      <c r="B41" s="58" t="s">
        <v>98</v>
      </c>
      <c r="C41" s="59" t="s">
        <v>88</v>
      </c>
      <c r="D41" s="67"/>
      <c r="E41" s="67"/>
      <c r="F41" s="67"/>
      <c r="G41" s="67"/>
      <c r="H41" s="66">
        <f t="shared" si="0"/>
        <v>0</v>
      </c>
      <c r="I41" s="12"/>
      <c r="J41" s="12"/>
      <c r="K41" s="12"/>
      <c r="L41" s="67"/>
      <c r="M41" s="67"/>
      <c r="N41" s="67"/>
      <c r="O41" s="66">
        <f t="shared" si="12"/>
        <v>0</v>
      </c>
      <c r="P41" s="67"/>
      <c r="Q41" s="19"/>
      <c r="R41" s="67"/>
      <c r="S41" s="67"/>
      <c r="T41" s="67"/>
      <c r="U41" s="67"/>
      <c r="V41" s="66">
        <f t="shared" si="13"/>
        <v>0</v>
      </c>
      <c r="W41" s="67"/>
      <c r="X41" s="67"/>
      <c r="Y41" s="67"/>
      <c r="Z41" s="67"/>
      <c r="AA41" s="67"/>
      <c r="AB41" s="67"/>
      <c r="AC41" s="66">
        <f t="shared" si="1"/>
        <v>0</v>
      </c>
      <c r="AD41" s="67"/>
      <c r="AE41" s="67"/>
      <c r="AF41" s="67"/>
      <c r="AG41" s="181"/>
      <c r="AH41" s="66">
        <f t="shared" si="2"/>
        <v>0</v>
      </c>
      <c r="AI41" s="68">
        <f t="shared" si="14"/>
        <v>0</v>
      </c>
    </row>
    <row r="42" spans="1:37" ht="17.25" customHeight="1" x14ac:dyDescent="0.25">
      <c r="A42" s="40">
        <f t="shared" si="16"/>
        <v>33</v>
      </c>
      <c r="B42" s="58" t="s">
        <v>114</v>
      </c>
      <c r="C42" s="59" t="s">
        <v>88</v>
      </c>
      <c r="D42" s="67"/>
      <c r="E42" s="67"/>
      <c r="F42" s="67"/>
      <c r="G42" s="67"/>
      <c r="H42" s="66">
        <f t="shared" si="0"/>
        <v>0</v>
      </c>
      <c r="I42" s="12"/>
      <c r="J42" s="12"/>
      <c r="K42" s="12"/>
      <c r="L42" s="67"/>
      <c r="M42" s="67"/>
      <c r="N42" s="67"/>
      <c r="O42" s="66">
        <f t="shared" si="12"/>
        <v>0</v>
      </c>
      <c r="P42" s="67"/>
      <c r="Q42" s="19"/>
      <c r="R42" s="67"/>
      <c r="S42" s="67"/>
      <c r="T42" s="67"/>
      <c r="U42" s="67"/>
      <c r="V42" s="66">
        <f t="shared" si="13"/>
        <v>0</v>
      </c>
      <c r="W42" s="67"/>
      <c r="X42" s="67"/>
      <c r="Y42" s="67"/>
      <c r="Z42" s="67"/>
      <c r="AA42" s="67"/>
      <c r="AB42" s="67"/>
      <c r="AC42" s="66">
        <f t="shared" si="1"/>
        <v>0</v>
      </c>
      <c r="AD42" s="67"/>
      <c r="AE42" s="67"/>
      <c r="AF42" s="67"/>
      <c r="AG42" s="181"/>
      <c r="AH42" s="66">
        <f t="shared" si="2"/>
        <v>0</v>
      </c>
      <c r="AI42" s="68">
        <f t="shared" si="14"/>
        <v>0</v>
      </c>
      <c r="AK42" s="49"/>
    </row>
    <row r="43" spans="1:37" ht="17.25" customHeight="1" x14ac:dyDescent="0.25">
      <c r="A43" s="40">
        <f t="shared" si="16"/>
        <v>34</v>
      </c>
      <c r="B43" s="58" t="s">
        <v>121</v>
      </c>
      <c r="C43" s="59" t="s">
        <v>86</v>
      </c>
      <c r="D43" s="67"/>
      <c r="E43" s="67"/>
      <c r="F43" s="67"/>
      <c r="G43" s="67"/>
      <c r="H43" s="66">
        <f t="shared" si="0"/>
        <v>0</v>
      </c>
      <c r="I43" s="12"/>
      <c r="J43" s="12"/>
      <c r="K43" s="12"/>
      <c r="L43" s="67"/>
      <c r="M43" s="67"/>
      <c r="N43" s="67"/>
      <c r="O43" s="66">
        <f t="shared" si="12"/>
        <v>0</v>
      </c>
      <c r="P43" s="67"/>
      <c r="Q43" s="19"/>
      <c r="R43" s="67"/>
      <c r="S43" s="67"/>
      <c r="T43" s="67"/>
      <c r="U43" s="67"/>
      <c r="V43" s="66">
        <f t="shared" si="13"/>
        <v>0</v>
      </c>
      <c r="W43" s="67"/>
      <c r="X43" s="67"/>
      <c r="Y43" s="67"/>
      <c r="Z43" s="67"/>
      <c r="AA43" s="67"/>
      <c r="AB43" s="67"/>
      <c r="AC43" s="66">
        <f t="shared" si="1"/>
        <v>0</v>
      </c>
      <c r="AD43" s="67"/>
      <c r="AE43" s="67"/>
      <c r="AF43" s="67"/>
      <c r="AG43" s="67">
        <v>136062</v>
      </c>
      <c r="AH43" s="66">
        <f t="shared" si="2"/>
        <v>136062</v>
      </c>
      <c r="AI43" s="68">
        <f t="shared" si="14"/>
        <v>136062</v>
      </c>
    </row>
    <row r="44" spans="1:37" ht="17.25" customHeight="1" x14ac:dyDescent="0.25">
      <c r="A44" s="40">
        <f t="shared" si="16"/>
        <v>35</v>
      </c>
      <c r="B44" s="58" t="s">
        <v>118</v>
      </c>
      <c r="C44" s="59" t="s">
        <v>122</v>
      </c>
      <c r="D44" s="67"/>
      <c r="E44" s="67"/>
      <c r="F44" s="67"/>
      <c r="G44" s="67"/>
      <c r="H44" s="66">
        <f t="shared" si="0"/>
        <v>0</v>
      </c>
      <c r="I44" s="12"/>
      <c r="J44" s="12"/>
      <c r="K44" s="12"/>
      <c r="L44" s="67"/>
      <c r="M44" s="67"/>
      <c r="N44" s="67"/>
      <c r="O44" s="66">
        <f t="shared" si="12"/>
        <v>0</v>
      </c>
      <c r="P44" s="67"/>
      <c r="Q44" s="19"/>
      <c r="R44" s="67"/>
      <c r="S44" s="67"/>
      <c r="T44" s="67"/>
      <c r="U44" s="67"/>
      <c r="V44" s="66">
        <f t="shared" si="13"/>
        <v>0</v>
      </c>
      <c r="W44" s="67"/>
      <c r="X44" s="67"/>
      <c r="Y44" s="67"/>
      <c r="Z44" s="67"/>
      <c r="AA44" s="67"/>
      <c r="AB44" s="67"/>
      <c r="AC44" s="66">
        <f t="shared" si="1"/>
        <v>0</v>
      </c>
      <c r="AD44" s="67"/>
      <c r="AE44" s="67"/>
      <c r="AF44" s="67"/>
      <c r="AG44" s="67"/>
      <c r="AH44" s="66">
        <f t="shared" si="2"/>
        <v>0</v>
      </c>
      <c r="AI44" s="68">
        <f t="shared" si="14"/>
        <v>0</v>
      </c>
    </row>
    <row r="45" spans="1:37" ht="17.25" customHeight="1" x14ac:dyDescent="0.25">
      <c r="A45" s="40">
        <f t="shared" si="16"/>
        <v>36</v>
      </c>
      <c r="B45" s="58" t="s">
        <v>115</v>
      </c>
      <c r="C45" s="59" t="s">
        <v>116</v>
      </c>
      <c r="D45" s="67"/>
      <c r="E45" s="67"/>
      <c r="F45" s="67"/>
      <c r="G45" s="67"/>
      <c r="H45" s="66">
        <f t="shared" si="0"/>
        <v>0</v>
      </c>
      <c r="I45" s="12"/>
      <c r="J45" s="12"/>
      <c r="K45" s="12"/>
      <c r="L45" s="12"/>
      <c r="M45" s="12"/>
      <c r="N45" s="12"/>
      <c r="O45" s="66">
        <f t="shared" si="12"/>
        <v>0</v>
      </c>
      <c r="P45" s="67"/>
      <c r="Q45" s="19"/>
      <c r="R45" s="67"/>
      <c r="S45" s="67"/>
      <c r="T45" s="12"/>
      <c r="U45" s="12"/>
      <c r="V45" s="66">
        <f t="shared" si="13"/>
        <v>0</v>
      </c>
      <c r="W45" s="67"/>
      <c r="X45" s="12"/>
      <c r="Y45" s="12"/>
      <c r="Z45" s="67"/>
      <c r="AA45" s="67"/>
      <c r="AB45" s="67"/>
      <c r="AC45" s="66">
        <f t="shared" si="1"/>
        <v>0</v>
      </c>
      <c r="AD45" s="67"/>
      <c r="AE45" s="67"/>
      <c r="AF45" s="67"/>
      <c r="AG45" s="67"/>
      <c r="AH45" s="66">
        <f t="shared" si="2"/>
        <v>0</v>
      </c>
      <c r="AI45" s="68">
        <f t="shared" si="14"/>
        <v>0</v>
      </c>
    </row>
    <row r="46" spans="1:37" ht="17.25" customHeight="1" x14ac:dyDescent="0.25">
      <c r="A46" s="40">
        <f t="shared" si="16"/>
        <v>37</v>
      </c>
      <c r="B46" s="58" t="s">
        <v>123</v>
      </c>
      <c r="C46" s="59" t="s">
        <v>125</v>
      </c>
      <c r="D46" s="67"/>
      <c r="E46" s="67"/>
      <c r="F46" s="67"/>
      <c r="G46" s="67"/>
      <c r="H46" s="66">
        <f t="shared" si="0"/>
        <v>0</v>
      </c>
      <c r="I46" s="12"/>
      <c r="J46" s="12"/>
      <c r="K46" s="12"/>
      <c r="L46" s="12"/>
      <c r="M46" s="12"/>
      <c r="N46" s="12"/>
      <c r="O46" s="66">
        <f t="shared" si="12"/>
        <v>0</v>
      </c>
      <c r="P46" s="67"/>
      <c r="Q46" s="67"/>
      <c r="R46" s="67"/>
      <c r="S46" s="67"/>
      <c r="T46" s="12"/>
      <c r="U46" s="12"/>
      <c r="V46" s="66">
        <f t="shared" si="13"/>
        <v>0</v>
      </c>
      <c r="W46" s="67"/>
      <c r="X46" s="12"/>
      <c r="Y46" s="12"/>
      <c r="Z46" s="67"/>
      <c r="AA46" s="67"/>
      <c r="AB46" s="67"/>
      <c r="AC46" s="66">
        <f t="shared" si="1"/>
        <v>0</v>
      </c>
      <c r="AD46" s="67"/>
      <c r="AE46" s="67"/>
      <c r="AF46" s="67"/>
      <c r="AG46" s="67">
        <v>41323</v>
      </c>
      <c r="AH46" s="66">
        <f t="shared" si="2"/>
        <v>41323</v>
      </c>
      <c r="AI46" s="68">
        <f t="shared" si="14"/>
        <v>41323</v>
      </c>
    </row>
    <row r="47" spans="1:37" ht="17.25" customHeight="1" x14ac:dyDescent="0.25">
      <c r="A47" s="40">
        <f t="shared" si="16"/>
        <v>38</v>
      </c>
      <c r="B47" s="58" t="s">
        <v>128</v>
      </c>
      <c r="C47" s="59" t="s">
        <v>129</v>
      </c>
      <c r="D47" s="67"/>
      <c r="E47" s="67"/>
      <c r="F47" s="67"/>
      <c r="G47" s="67"/>
      <c r="H47" s="66">
        <f t="shared" si="0"/>
        <v>0</v>
      </c>
      <c r="I47" s="12"/>
      <c r="J47" s="12"/>
      <c r="K47" s="12"/>
      <c r="L47" s="12"/>
      <c r="M47" s="12"/>
      <c r="N47" s="12"/>
      <c r="O47" s="66">
        <f t="shared" si="12"/>
        <v>0</v>
      </c>
      <c r="P47" s="67"/>
      <c r="Q47" s="67"/>
      <c r="R47" s="67"/>
      <c r="S47" s="67"/>
      <c r="T47" s="12"/>
      <c r="U47" s="12"/>
      <c r="V47" s="66">
        <f t="shared" si="13"/>
        <v>0</v>
      </c>
      <c r="W47" s="12"/>
      <c r="X47" s="11"/>
      <c r="Y47" s="12"/>
      <c r="Z47" s="67"/>
      <c r="AA47" s="67"/>
      <c r="AB47" s="67"/>
      <c r="AC47" s="66">
        <f t="shared" si="1"/>
        <v>0</v>
      </c>
      <c r="AD47" s="67"/>
      <c r="AE47" s="67"/>
      <c r="AF47" s="67"/>
      <c r="AG47" s="67"/>
      <c r="AH47" s="66">
        <f t="shared" si="2"/>
        <v>0</v>
      </c>
      <c r="AI47" s="68">
        <f t="shared" si="14"/>
        <v>0</v>
      </c>
    </row>
    <row r="48" spans="1:37" ht="17.25" customHeight="1" x14ac:dyDescent="0.25">
      <c r="A48" s="40">
        <f t="shared" si="16"/>
        <v>39</v>
      </c>
      <c r="B48" s="58" t="s">
        <v>126</v>
      </c>
      <c r="C48" s="59" t="s">
        <v>29</v>
      </c>
      <c r="D48" s="67"/>
      <c r="E48" s="67"/>
      <c r="F48" s="67"/>
      <c r="G48" s="67"/>
      <c r="H48" s="66">
        <f t="shared" si="0"/>
        <v>0</v>
      </c>
      <c r="I48" s="12"/>
      <c r="J48" s="12"/>
      <c r="K48" s="12"/>
      <c r="L48" s="12"/>
      <c r="M48" s="12"/>
      <c r="N48" s="12"/>
      <c r="O48" s="66">
        <f t="shared" si="12"/>
        <v>0</v>
      </c>
      <c r="P48" s="67"/>
      <c r="Q48" s="67"/>
      <c r="R48" s="67"/>
      <c r="S48" s="67"/>
      <c r="T48" s="12"/>
      <c r="U48" s="12"/>
      <c r="V48" s="66">
        <f t="shared" si="13"/>
        <v>0</v>
      </c>
      <c r="W48" s="12"/>
      <c r="X48" s="11"/>
      <c r="Y48" s="12"/>
      <c r="Z48" s="67"/>
      <c r="AA48" s="67"/>
      <c r="AB48" s="67"/>
      <c r="AC48" s="66">
        <f t="shared" si="1"/>
        <v>0</v>
      </c>
      <c r="AD48" s="67"/>
      <c r="AE48" s="67"/>
      <c r="AF48" s="67"/>
      <c r="AG48" s="67">
        <v>65100</v>
      </c>
      <c r="AH48" s="66">
        <f t="shared" si="2"/>
        <v>65100</v>
      </c>
      <c r="AI48" s="68">
        <f t="shared" si="14"/>
        <v>65100</v>
      </c>
    </row>
    <row r="49" spans="1:35" ht="17.25" customHeight="1" x14ac:dyDescent="0.25">
      <c r="A49" s="40">
        <f t="shared" si="16"/>
        <v>40</v>
      </c>
      <c r="B49" s="58" t="s">
        <v>132</v>
      </c>
      <c r="C49" s="59" t="s">
        <v>16</v>
      </c>
      <c r="D49" s="67"/>
      <c r="E49" s="67"/>
      <c r="F49" s="67"/>
      <c r="G49" s="67"/>
      <c r="H49" s="66">
        <f t="shared" si="0"/>
        <v>0</v>
      </c>
      <c r="I49" s="12"/>
      <c r="J49" s="12"/>
      <c r="K49" s="12"/>
      <c r="L49" s="12"/>
      <c r="M49" s="12"/>
      <c r="N49" s="12"/>
      <c r="O49" s="66"/>
      <c r="P49" s="67"/>
      <c r="Q49" s="67"/>
      <c r="R49" s="67"/>
      <c r="S49" s="67"/>
      <c r="T49" s="12"/>
      <c r="U49" s="12"/>
      <c r="V49" s="66"/>
      <c r="W49" s="12"/>
      <c r="X49" s="11"/>
      <c r="Y49" s="12"/>
      <c r="Z49" s="67"/>
      <c r="AA49" s="67"/>
      <c r="AB49" s="67"/>
      <c r="AC49" s="66"/>
      <c r="AD49" s="67"/>
      <c r="AE49" s="67"/>
      <c r="AF49" s="67"/>
      <c r="AG49" s="67"/>
      <c r="AH49" s="66">
        <f t="shared" si="2"/>
        <v>0</v>
      </c>
      <c r="AI49" s="68">
        <f t="shared" si="14"/>
        <v>0</v>
      </c>
    </row>
    <row r="50" spans="1:35" ht="29.25" customHeight="1" x14ac:dyDescent="0.25">
      <c r="A50" s="40">
        <f t="shared" si="16"/>
        <v>41</v>
      </c>
      <c r="B50" s="58" t="s">
        <v>218</v>
      </c>
      <c r="C50" s="59" t="s">
        <v>140</v>
      </c>
      <c r="D50" s="67"/>
      <c r="E50" s="67"/>
      <c r="F50" s="67"/>
      <c r="G50" s="67"/>
      <c r="H50" s="66">
        <f t="shared" si="0"/>
        <v>0</v>
      </c>
      <c r="I50" s="12"/>
      <c r="J50" s="12"/>
      <c r="K50" s="12"/>
      <c r="L50" s="12"/>
      <c r="M50" s="12"/>
      <c r="N50" s="12"/>
      <c r="O50" s="66"/>
      <c r="P50" s="67"/>
      <c r="Q50" s="67"/>
      <c r="R50" s="67"/>
      <c r="S50" s="67"/>
      <c r="T50" s="12"/>
      <c r="U50" s="12"/>
      <c r="V50" s="66"/>
      <c r="W50" s="12"/>
      <c r="X50" s="11"/>
      <c r="Y50" s="12"/>
      <c r="Z50" s="67"/>
      <c r="AA50" s="67"/>
      <c r="AB50" s="67"/>
      <c r="AC50" s="66"/>
      <c r="AD50" s="67"/>
      <c r="AE50" s="67"/>
      <c r="AF50" s="67"/>
      <c r="AG50" s="67">
        <v>85050</v>
      </c>
      <c r="AH50" s="66">
        <f t="shared" si="2"/>
        <v>85050</v>
      </c>
      <c r="AI50" s="68">
        <f t="shared" si="14"/>
        <v>85050</v>
      </c>
    </row>
    <row r="51" spans="1:35" ht="29.25" customHeight="1" x14ac:dyDescent="0.25">
      <c r="A51" s="40">
        <f t="shared" si="16"/>
        <v>42</v>
      </c>
      <c r="B51" s="43" t="s">
        <v>141</v>
      </c>
      <c r="C51" s="59" t="s">
        <v>142</v>
      </c>
      <c r="D51" s="67"/>
      <c r="E51" s="67"/>
      <c r="F51" s="67"/>
      <c r="G51" s="67"/>
      <c r="H51" s="66">
        <f t="shared" si="0"/>
        <v>0</v>
      </c>
      <c r="I51" s="12"/>
      <c r="J51" s="12"/>
      <c r="K51" s="12"/>
      <c r="L51" s="12"/>
      <c r="M51" s="12"/>
      <c r="N51" s="12"/>
      <c r="O51" s="66"/>
      <c r="P51" s="67"/>
      <c r="Q51" s="67"/>
      <c r="R51" s="67"/>
      <c r="S51" s="67"/>
      <c r="T51" s="12"/>
      <c r="U51" s="12"/>
      <c r="V51" s="66"/>
      <c r="W51" s="12"/>
      <c r="X51" s="11"/>
      <c r="Y51" s="12"/>
      <c r="Z51" s="67"/>
      <c r="AA51" s="67"/>
      <c r="AB51" s="67"/>
      <c r="AC51" s="66"/>
      <c r="AD51" s="67"/>
      <c r="AE51" s="67"/>
      <c r="AF51" s="67"/>
      <c r="AG51" s="67"/>
      <c r="AH51" s="66">
        <f t="shared" si="2"/>
        <v>0</v>
      </c>
      <c r="AI51" s="68">
        <f t="shared" si="14"/>
        <v>0</v>
      </c>
    </row>
    <row r="52" spans="1:35" ht="19.5" customHeight="1" x14ac:dyDescent="0.25">
      <c r="A52" s="40">
        <f t="shared" si="16"/>
        <v>43</v>
      </c>
      <c r="B52" s="64" t="s">
        <v>143</v>
      </c>
      <c r="C52" s="59" t="s">
        <v>16</v>
      </c>
      <c r="D52" s="67"/>
      <c r="E52" s="67"/>
      <c r="F52" s="67"/>
      <c r="G52" s="67"/>
      <c r="H52" s="66"/>
      <c r="I52" s="12"/>
      <c r="J52" s="12"/>
      <c r="K52" s="12"/>
      <c r="L52" s="12"/>
      <c r="M52" s="12"/>
      <c r="N52" s="12"/>
      <c r="O52" s="66"/>
      <c r="P52" s="67"/>
      <c r="Q52" s="67"/>
      <c r="R52" s="67"/>
      <c r="S52" s="67"/>
      <c r="T52" s="12"/>
      <c r="U52" s="12"/>
      <c r="V52" s="66"/>
      <c r="W52" s="12"/>
      <c r="X52" s="11"/>
      <c r="Y52" s="12"/>
      <c r="Z52" s="67"/>
      <c r="AA52" s="67"/>
      <c r="AB52" s="67"/>
      <c r="AC52" s="66"/>
      <c r="AD52" s="67"/>
      <c r="AE52" s="67"/>
      <c r="AF52" s="67"/>
      <c r="AG52" s="67"/>
      <c r="AH52" s="66">
        <f t="shared" si="2"/>
        <v>0</v>
      </c>
      <c r="AI52" s="68">
        <f t="shared" si="14"/>
        <v>0</v>
      </c>
    </row>
    <row r="53" spans="1:35" ht="19.5" customHeight="1" x14ac:dyDescent="0.25">
      <c r="A53" s="40">
        <f t="shared" si="16"/>
        <v>44</v>
      </c>
      <c r="B53" s="64" t="s">
        <v>144</v>
      </c>
      <c r="C53" s="59" t="s">
        <v>145</v>
      </c>
      <c r="D53" s="67"/>
      <c r="E53" s="67"/>
      <c r="F53" s="67"/>
      <c r="G53" s="67"/>
      <c r="H53" s="66"/>
      <c r="I53" s="12"/>
      <c r="J53" s="12"/>
      <c r="K53" s="12"/>
      <c r="L53" s="12"/>
      <c r="M53" s="12"/>
      <c r="N53" s="12"/>
      <c r="O53" s="66"/>
      <c r="P53" s="67"/>
      <c r="Q53" s="67"/>
      <c r="R53" s="67"/>
      <c r="S53" s="67"/>
      <c r="T53" s="12"/>
      <c r="U53" s="12"/>
      <c r="V53" s="66"/>
      <c r="W53" s="12"/>
      <c r="X53" s="11"/>
      <c r="Y53" s="12"/>
      <c r="Z53" s="67"/>
      <c r="AA53" s="67"/>
      <c r="AB53" s="67"/>
      <c r="AC53" s="66"/>
      <c r="AD53" s="67"/>
      <c r="AE53" s="67"/>
      <c r="AF53" s="67"/>
      <c r="AG53" s="67"/>
      <c r="AH53" s="66">
        <f t="shared" si="2"/>
        <v>0</v>
      </c>
      <c r="AI53" s="68">
        <f t="shared" si="14"/>
        <v>0</v>
      </c>
    </row>
    <row r="54" spans="1:35" ht="19.5" customHeight="1" x14ac:dyDescent="0.25">
      <c r="A54" s="40">
        <f t="shared" si="16"/>
        <v>45</v>
      </c>
      <c r="B54" s="64" t="s">
        <v>146</v>
      </c>
      <c r="C54" s="59" t="s">
        <v>32</v>
      </c>
      <c r="D54" s="67"/>
      <c r="E54" s="67"/>
      <c r="F54" s="67"/>
      <c r="G54" s="67"/>
      <c r="H54" s="66"/>
      <c r="I54" s="12"/>
      <c r="J54" s="12"/>
      <c r="K54" s="12"/>
      <c r="L54" s="12"/>
      <c r="M54" s="12"/>
      <c r="N54" s="12"/>
      <c r="O54" s="66"/>
      <c r="P54" s="67"/>
      <c r="Q54" s="67"/>
      <c r="R54" s="67"/>
      <c r="S54" s="67"/>
      <c r="T54" s="12"/>
      <c r="U54" s="12"/>
      <c r="V54" s="66"/>
      <c r="W54" s="12"/>
      <c r="X54" s="11"/>
      <c r="Y54" s="12"/>
      <c r="Z54" s="67"/>
      <c r="AA54" s="67"/>
      <c r="AB54" s="67"/>
      <c r="AC54" s="66"/>
      <c r="AD54" s="67"/>
      <c r="AE54" s="67"/>
      <c r="AF54" s="67"/>
      <c r="AG54" s="67"/>
      <c r="AH54" s="66">
        <f t="shared" si="2"/>
        <v>0</v>
      </c>
      <c r="AI54" s="68">
        <f t="shared" si="14"/>
        <v>0</v>
      </c>
    </row>
    <row r="55" spans="1:35" ht="19.5" customHeight="1" x14ac:dyDescent="0.25">
      <c r="A55" s="40">
        <f t="shared" si="16"/>
        <v>46</v>
      </c>
      <c r="B55" s="58" t="s">
        <v>150</v>
      </c>
      <c r="C55" s="59" t="s">
        <v>88</v>
      </c>
      <c r="D55" s="67"/>
      <c r="E55" s="67"/>
      <c r="F55" s="67"/>
      <c r="G55" s="67"/>
      <c r="H55" s="66">
        <f t="shared" si="0"/>
        <v>0</v>
      </c>
      <c r="I55" s="12"/>
      <c r="J55" s="12"/>
      <c r="K55" s="12"/>
      <c r="L55" s="12"/>
      <c r="M55" s="12"/>
      <c r="N55" s="12"/>
      <c r="O55" s="66">
        <f t="shared" si="12"/>
        <v>0</v>
      </c>
      <c r="P55" s="67"/>
      <c r="Q55" s="67"/>
      <c r="R55" s="67"/>
      <c r="S55" s="67"/>
      <c r="T55" s="12"/>
      <c r="U55" s="12"/>
      <c r="V55" s="66">
        <f t="shared" si="13"/>
        <v>0</v>
      </c>
      <c r="W55" s="12"/>
      <c r="X55" s="11"/>
      <c r="Y55" s="12"/>
      <c r="Z55" s="67"/>
      <c r="AA55" s="67"/>
      <c r="AB55" s="67"/>
      <c r="AC55" s="66">
        <f t="shared" si="1"/>
        <v>0</v>
      </c>
      <c r="AD55" s="67"/>
      <c r="AE55" s="67"/>
      <c r="AF55" s="67"/>
      <c r="AG55" s="67"/>
      <c r="AH55" s="66">
        <f t="shared" si="2"/>
        <v>0</v>
      </c>
      <c r="AI55" s="68">
        <f t="shared" si="14"/>
        <v>0</v>
      </c>
    </row>
    <row r="56" spans="1:35" ht="17.25" customHeight="1" x14ac:dyDescent="0.25">
      <c r="A56" s="40">
        <f t="shared" si="16"/>
        <v>47</v>
      </c>
      <c r="B56" s="58" t="s">
        <v>152</v>
      </c>
      <c r="C56" s="59" t="s">
        <v>6</v>
      </c>
      <c r="D56" s="67"/>
      <c r="E56" s="67"/>
      <c r="F56" s="67"/>
      <c r="G56" s="67"/>
      <c r="H56" s="66"/>
      <c r="I56" s="12"/>
      <c r="J56" s="12"/>
      <c r="K56" s="12"/>
      <c r="L56" s="12"/>
      <c r="M56" s="12"/>
      <c r="N56" s="12"/>
      <c r="O56" s="66"/>
      <c r="P56" s="67"/>
      <c r="Q56" s="67"/>
      <c r="R56" s="67"/>
      <c r="S56" s="67"/>
      <c r="T56" s="12"/>
      <c r="U56" s="12"/>
      <c r="V56" s="66"/>
      <c r="W56" s="12"/>
      <c r="X56" s="11"/>
      <c r="Y56" s="12"/>
      <c r="Z56" s="67"/>
      <c r="AA56" s="67"/>
      <c r="AB56" s="67"/>
      <c r="AC56" s="66"/>
      <c r="AD56" s="67"/>
      <c r="AE56" s="67"/>
      <c r="AF56" s="67"/>
      <c r="AG56" s="67"/>
      <c r="AH56" s="66">
        <f t="shared" si="2"/>
        <v>0</v>
      </c>
      <c r="AI56" s="68">
        <f t="shared" si="14"/>
        <v>0</v>
      </c>
    </row>
    <row r="57" spans="1:35" ht="17.25" customHeight="1" x14ac:dyDescent="0.25">
      <c r="A57" s="40">
        <f t="shared" si="16"/>
        <v>48</v>
      </c>
      <c r="B57" s="58" t="s">
        <v>156</v>
      </c>
      <c r="C57" s="59" t="s">
        <v>16</v>
      </c>
      <c r="D57" s="67"/>
      <c r="E57" s="67"/>
      <c r="F57" s="67"/>
      <c r="G57" s="67"/>
      <c r="H57" s="66"/>
      <c r="I57" s="12"/>
      <c r="J57" s="12"/>
      <c r="K57" s="12"/>
      <c r="L57" s="12"/>
      <c r="M57" s="12"/>
      <c r="N57" s="12"/>
      <c r="O57" s="66"/>
      <c r="P57" s="67"/>
      <c r="Q57" s="67"/>
      <c r="R57" s="67"/>
      <c r="S57" s="67"/>
      <c r="T57" s="12"/>
      <c r="U57" s="12"/>
      <c r="V57" s="66"/>
      <c r="W57" s="12"/>
      <c r="X57" s="11"/>
      <c r="Y57" s="12"/>
      <c r="Z57" s="67"/>
      <c r="AA57" s="67"/>
      <c r="AB57" s="67"/>
      <c r="AC57" s="66"/>
      <c r="AD57" s="67"/>
      <c r="AE57" s="67"/>
      <c r="AF57" s="67"/>
      <c r="AG57" s="67">
        <v>199709</v>
      </c>
      <c r="AH57" s="66">
        <f>SUM(AD57:AG57)</f>
        <v>199709</v>
      </c>
      <c r="AI57" s="68">
        <f t="shared" si="14"/>
        <v>199709</v>
      </c>
    </row>
    <row r="58" spans="1:35" ht="17.25" customHeight="1" x14ac:dyDescent="0.25">
      <c r="A58" s="40">
        <f t="shared" si="16"/>
        <v>49</v>
      </c>
      <c r="B58" s="58" t="s">
        <v>226</v>
      </c>
      <c r="C58" s="59" t="s">
        <v>18</v>
      </c>
      <c r="D58" s="67"/>
      <c r="E58" s="67"/>
      <c r="F58" s="67"/>
      <c r="G58" s="67"/>
      <c r="H58" s="66"/>
      <c r="I58" s="12"/>
      <c r="J58" s="12"/>
      <c r="K58" s="12"/>
      <c r="L58" s="12"/>
      <c r="M58" s="12"/>
      <c r="N58" s="12"/>
      <c r="O58" s="66"/>
      <c r="P58" s="67"/>
      <c r="Q58" s="67"/>
      <c r="R58" s="67"/>
      <c r="S58" s="67"/>
      <c r="T58" s="12"/>
      <c r="U58" s="12"/>
      <c r="V58" s="66"/>
      <c r="W58" s="12"/>
      <c r="X58" s="11"/>
      <c r="Y58" s="12"/>
      <c r="Z58" s="67"/>
      <c r="AA58" s="67"/>
      <c r="AB58" s="67"/>
      <c r="AC58" s="66"/>
      <c r="AD58" s="67"/>
      <c r="AE58" s="67"/>
      <c r="AF58" s="67"/>
      <c r="AG58" s="67">
        <v>273000</v>
      </c>
      <c r="AH58" s="66">
        <f t="shared" ref="AH58:AH65" si="17">SUM(AD58:AG58)</f>
        <v>273000</v>
      </c>
      <c r="AI58" s="68">
        <f t="shared" si="14"/>
        <v>273000</v>
      </c>
    </row>
    <row r="59" spans="1:35" ht="17.25" customHeight="1" x14ac:dyDescent="0.25">
      <c r="A59" s="40">
        <f t="shared" si="16"/>
        <v>50</v>
      </c>
      <c r="B59" s="58" t="s">
        <v>227</v>
      </c>
      <c r="C59" s="59" t="s">
        <v>9</v>
      </c>
      <c r="D59" s="67"/>
      <c r="E59" s="67"/>
      <c r="F59" s="67"/>
      <c r="G59" s="67"/>
      <c r="H59" s="66"/>
      <c r="I59" s="12"/>
      <c r="J59" s="12"/>
      <c r="K59" s="12"/>
      <c r="L59" s="12"/>
      <c r="M59" s="12"/>
      <c r="N59" s="12"/>
      <c r="O59" s="66"/>
      <c r="P59" s="67"/>
      <c r="Q59" s="67"/>
      <c r="R59" s="67"/>
      <c r="S59" s="67"/>
      <c r="T59" s="12"/>
      <c r="U59" s="12"/>
      <c r="V59" s="66"/>
      <c r="W59" s="12"/>
      <c r="X59" s="11"/>
      <c r="Y59" s="12"/>
      <c r="Z59" s="67"/>
      <c r="AA59" s="67"/>
      <c r="AB59" s="67"/>
      <c r="AC59" s="66"/>
      <c r="AD59" s="67"/>
      <c r="AE59" s="67"/>
      <c r="AF59" s="67"/>
      <c r="AG59" s="67">
        <v>146450</v>
      </c>
      <c r="AH59" s="66">
        <f t="shared" si="17"/>
        <v>146450</v>
      </c>
      <c r="AI59" s="68">
        <f t="shared" si="14"/>
        <v>146450</v>
      </c>
    </row>
    <row r="60" spans="1:35" ht="17.25" customHeight="1" x14ac:dyDescent="0.25">
      <c r="A60" s="40">
        <f t="shared" si="16"/>
        <v>51</v>
      </c>
      <c r="B60" s="58" t="s">
        <v>168</v>
      </c>
      <c r="C60" s="59" t="s">
        <v>13</v>
      </c>
      <c r="D60" s="67"/>
      <c r="E60" s="67"/>
      <c r="F60" s="67"/>
      <c r="G60" s="67"/>
      <c r="H60" s="66"/>
      <c r="I60" s="12"/>
      <c r="J60" s="12"/>
      <c r="K60" s="12"/>
      <c r="L60" s="12"/>
      <c r="M60" s="12"/>
      <c r="N60" s="12"/>
      <c r="O60" s="66"/>
      <c r="P60" s="67"/>
      <c r="Q60" s="67"/>
      <c r="R60" s="67"/>
      <c r="S60" s="67"/>
      <c r="T60" s="12"/>
      <c r="U60" s="12"/>
      <c r="V60" s="66"/>
      <c r="W60" s="12"/>
      <c r="X60" s="11"/>
      <c r="Y60" s="12"/>
      <c r="Z60" s="67"/>
      <c r="AA60" s="67"/>
      <c r="AB60" s="67"/>
      <c r="AC60" s="66"/>
      <c r="AD60" s="67"/>
      <c r="AE60" s="67"/>
      <c r="AF60" s="67"/>
      <c r="AG60" s="67"/>
      <c r="AH60" s="66">
        <f t="shared" si="17"/>
        <v>0</v>
      </c>
      <c r="AI60" s="68">
        <f t="shared" si="14"/>
        <v>0</v>
      </c>
    </row>
    <row r="61" spans="1:35" ht="17.25" customHeight="1" x14ac:dyDescent="0.25">
      <c r="A61" s="40">
        <f t="shared" si="16"/>
        <v>52</v>
      </c>
      <c r="B61" s="58" t="s">
        <v>162</v>
      </c>
      <c r="C61" s="59" t="s">
        <v>163</v>
      </c>
      <c r="D61" s="67"/>
      <c r="E61" s="67"/>
      <c r="F61" s="67"/>
      <c r="G61" s="67"/>
      <c r="H61" s="66">
        <f t="shared" ref="H61" si="18">SUM(D61:G61)</f>
        <v>0</v>
      </c>
      <c r="I61" s="12"/>
      <c r="J61" s="12"/>
      <c r="K61" s="12"/>
      <c r="L61" s="12"/>
      <c r="M61" s="12"/>
      <c r="N61" s="12"/>
      <c r="O61" s="66">
        <f t="shared" ref="O61" si="19">SUM(I61:N61)</f>
        <v>0</v>
      </c>
      <c r="P61" s="67"/>
      <c r="Q61" s="67"/>
      <c r="R61" s="67"/>
      <c r="S61" s="67"/>
      <c r="T61" s="12"/>
      <c r="U61" s="12"/>
      <c r="V61" s="66">
        <f t="shared" ref="V61" si="20">SUM(P61:U61)</f>
        <v>0</v>
      </c>
      <c r="W61" s="67"/>
      <c r="X61" s="12"/>
      <c r="Y61" s="11"/>
      <c r="Z61" s="67"/>
      <c r="AA61" s="67"/>
      <c r="AB61" s="67"/>
      <c r="AC61" s="66">
        <f t="shared" ref="AC61" si="21">SUM(W61:AB61)</f>
        <v>0</v>
      </c>
      <c r="AD61" s="67"/>
      <c r="AE61" s="67"/>
      <c r="AF61" s="67"/>
      <c r="AG61" s="67"/>
      <c r="AH61" s="66">
        <f t="shared" si="17"/>
        <v>0</v>
      </c>
      <c r="AI61" s="68">
        <f t="shared" si="14"/>
        <v>0</v>
      </c>
    </row>
    <row r="62" spans="1:35" ht="17.25" customHeight="1" x14ac:dyDescent="0.25">
      <c r="A62" s="40">
        <f t="shared" si="16"/>
        <v>53</v>
      </c>
      <c r="B62" s="58" t="s">
        <v>188</v>
      </c>
      <c r="C62" s="59" t="s">
        <v>88</v>
      </c>
      <c r="D62" s="67"/>
      <c r="E62" s="67"/>
      <c r="F62" s="67"/>
      <c r="G62" s="67"/>
      <c r="H62" s="66"/>
      <c r="I62" s="12"/>
      <c r="J62" s="12"/>
      <c r="K62" s="12"/>
      <c r="L62" s="12"/>
      <c r="M62" s="12"/>
      <c r="N62" s="12"/>
      <c r="O62" s="66"/>
      <c r="P62" s="67"/>
      <c r="Q62" s="67"/>
      <c r="R62" s="67"/>
      <c r="S62" s="67"/>
      <c r="T62" s="12"/>
      <c r="U62" s="12"/>
      <c r="V62" s="66"/>
      <c r="W62" s="67"/>
      <c r="X62" s="12"/>
      <c r="Y62" s="11"/>
      <c r="Z62" s="67"/>
      <c r="AA62" s="67"/>
      <c r="AB62" s="67"/>
      <c r="AC62" s="66"/>
      <c r="AD62" s="67"/>
      <c r="AE62" s="67"/>
      <c r="AF62" s="67"/>
      <c r="AG62" s="67"/>
      <c r="AH62" s="66">
        <f t="shared" si="17"/>
        <v>0</v>
      </c>
      <c r="AI62" s="68">
        <f t="shared" si="14"/>
        <v>0</v>
      </c>
    </row>
    <row r="63" spans="1:35" ht="17.25" customHeight="1" x14ac:dyDescent="0.25">
      <c r="A63" s="40">
        <f t="shared" si="16"/>
        <v>54</v>
      </c>
      <c r="B63" s="58" t="s">
        <v>190</v>
      </c>
      <c r="C63" s="59" t="s">
        <v>88</v>
      </c>
      <c r="D63" s="67"/>
      <c r="E63" s="67"/>
      <c r="F63" s="67"/>
      <c r="G63" s="67"/>
      <c r="H63" s="66"/>
      <c r="I63" s="12"/>
      <c r="J63" s="12"/>
      <c r="K63" s="12"/>
      <c r="L63" s="12"/>
      <c r="M63" s="12"/>
      <c r="N63" s="12"/>
      <c r="O63" s="66"/>
      <c r="P63" s="67"/>
      <c r="Q63" s="67"/>
      <c r="R63" s="67"/>
      <c r="S63" s="67"/>
      <c r="T63" s="12"/>
      <c r="U63" s="12"/>
      <c r="V63" s="66"/>
      <c r="W63" s="67"/>
      <c r="X63" s="12"/>
      <c r="Y63" s="11"/>
      <c r="Z63" s="67"/>
      <c r="AA63" s="67"/>
      <c r="AB63" s="67"/>
      <c r="AC63" s="66"/>
      <c r="AD63" s="67"/>
      <c r="AE63" s="67"/>
      <c r="AF63" s="67"/>
      <c r="AG63" s="67"/>
      <c r="AH63" s="66">
        <f t="shared" si="17"/>
        <v>0</v>
      </c>
      <c r="AI63" s="68">
        <f t="shared" si="14"/>
        <v>0</v>
      </c>
    </row>
    <row r="64" spans="1:35" ht="17.25" customHeight="1" x14ac:dyDescent="0.25">
      <c r="A64" s="40">
        <f t="shared" si="16"/>
        <v>55</v>
      </c>
      <c r="B64" s="58" t="s">
        <v>199</v>
      </c>
      <c r="C64" s="59" t="s">
        <v>32</v>
      </c>
      <c r="D64" s="67"/>
      <c r="E64" s="67"/>
      <c r="F64" s="67"/>
      <c r="G64" s="67"/>
      <c r="H64" s="66">
        <f t="shared" si="0"/>
        <v>0</v>
      </c>
      <c r="I64" s="12"/>
      <c r="J64" s="12"/>
      <c r="K64" s="12"/>
      <c r="L64" s="12"/>
      <c r="M64" s="12"/>
      <c r="N64" s="12"/>
      <c r="O64" s="66">
        <f t="shared" si="12"/>
        <v>0</v>
      </c>
      <c r="P64" s="67"/>
      <c r="Q64" s="67"/>
      <c r="R64" s="67"/>
      <c r="S64" s="67"/>
      <c r="T64" s="12"/>
      <c r="U64" s="12"/>
      <c r="V64" s="66">
        <f t="shared" si="13"/>
        <v>0</v>
      </c>
      <c r="W64" s="67"/>
      <c r="X64" s="12"/>
      <c r="Y64" s="11"/>
      <c r="Z64" s="67"/>
      <c r="AA64" s="67"/>
      <c r="AB64" s="67"/>
      <c r="AC64" s="66">
        <f t="shared" si="1"/>
        <v>0</v>
      </c>
      <c r="AD64" s="67"/>
      <c r="AE64" s="67"/>
      <c r="AF64" s="67"/>
      <c r="AG64" s="67">
        <v>14129.52</v>
      </c>
      <c r="AH64" s="66">
        <f t="shared" si="17"/>
        <v>14129.52</v>
      </c>
      <c r="AI64" s="68">
        <f t="shared" si="14"/>
        <v>14129.52</v>
      </c>
    </row>
    <row r="65" spans="1:37" ht="17.25" customHeight="1" x14ac:dyDescent="0.25">
      <c r="A65" s="40">
        <f t="shared" si="16"/>
        <v>56</v>
      </c>
      <c r="B65" s="58" t="s">
        <v>194</v>
      </c>
      <c r="C65" s="59" t="s">
        <v>32</v>
      </c>
      <c r="D65" s="67"/>
      <c r="E65" s="67"/>
      <c r="F65" s="67"/>
      <c r="G65" s="67"/>
      <c r="H65" s="66"/>
      <c r="I65" s="12"/>
      <c r="J65" s="12"/>
      <c r="K65" s="12"/>
      <c r="L65" s="12"/>
      <c r="M65" s="12"/>
      <c r="N65" s="12"/>
      <c r="O65" s="66"/>
      <c r="P65" s="67"/>
      <c r="Q65" s="67"/>
      <c r="R65" s="67"/>
      <c r="S65" s="67"/>
      <c r="T65" s="12"/>
      <c r="U65" s="12"/>
      <c r="V65" s="66"/>
      <c r="W65" s="67"/>
      <c r="X65" s="12"/>
      <c r="Y65" s="11"/>
      <c r="Z65" s="67"/>
      <c r="AA65" s="67"/>
      <c r="AB65" s="67"/>
      <c r="AC65" s="66"/>
      <c r="AD65" s="67"/>
      <c r="AE65" s="67"/>
      <c r="AF65" s="67"/>
      <c r="AG65" s="67"/>
      <c r="AH65" s="66">
        <f t="shared" si="17"/>
        <v>0</v>
      </c>
      <c r="AI65" s="68">
        <f t="shared" si="14"/>
        <v>0</v>
      </c>
    </row>
    <row r="66" spans="1:37" ht="17.25" customHeight="1" x14ac:dyDescent="0.25">
      <c r="A66" s="40">
        <f>1+A64</f>
        <v>56</v>
      </c>
      <c r="B66" s="58" t="s">
        <v>184</v>
      </c>
      <c r="C66" s="59" t="s">
        <v>32</v>
      </c>
      <c r="D66" s="67"/>
      <c r="E66" s="67"/>
      <c r="F66" s="67"/>
      <c r="G66" s="67"/>
      <c r="H66" s="66">
        <f t="shared" si="0"/>
        <v>0</v>
      </c>
      <c r="I66" s="12"/>
      <c r="J66" s="12"/>
      <c r="K66" s="12"/>
      <c r="L66" s="12"/>
      <c r="M66" s="12"/>
      <c r="N66" s="12"/>
      <c r="O66" s="66">
        <f t="shared" si="12"/>
        <v>0</v>
      </c>
      <c r="P66" s="67"/>
      <c r="Q66" s="67"/>
      <c r="R66" s="67"/>
      <c r="S66" s="67"/>
      <c r="T66" s="67"/>
      <c r="U66" s="67"/>
      <c r="V66" s="66">
        <f t="shared" si="13"/>
        <v>0</v>
      </c>
      <c r="W66" s="67"/>
      <c r="X66" s="67"/>
      <c r="Y66" s="67"/>
      <c r="Z66" s="67"/>
      <c r="AA66" s="67"/>
      <c r="AB66" s="67"/>
      <c r="AC66" s="66">
        <f t="shared" si="1"/>
        <v>0</v>
      </c>
      <c r="AD66" s="67"/>
      <c r="AE66" s="67"/>
      <c r="AF66" s="67"/>
      <c r="AG66" s="67">
        <v>11353</v>
      </c>
      <c r="AH66" s="66">
        <f t="shared" si="2"/>
        <v>11353</v>
      </c>
      <c r="AI66" s="68">
        <f t="shared" si="14"/>
        <v>11353</v>
      </c>
    </row>
    <row r="67" spans="1:37" ht="16.5" thickBot="1" x14ac:dyDescent="0.3">
      <c r="A67" s="274" t="s">
        <v>79</v>
      </c>
      <c r="B67" s="274"/>
      <c r="C67" s="274"/>
      <c r="D67" s="92"/>
      <c r="E67" s="92"/>
      <c r="F67" s="92"/>
      <c r="G67" s="92">
        <f>SUM(G24:G66)</f>
        <v>0</v>
      </c>
      <c r="H67" s="91">
        <f t="shared" si="0"/>
        <v>0</v>
      </c>
      <c r="I67" s="92">
        <f t="shared" ref="I67:N67" si="22">SUM(I24:I66)</f>
        <v>0</v>
      </c>
      <c r="J67" s="92">
        <f t="shared" si="22"/>
        <v>0</v>
      </c>
      <c r="K67" s="92">
        <f t="shared" si="22"/>
        <v>0</v>
      </c>
      <c r="L67" s="92">
        <f t="shared" si="22"/>
        <v>0</v>
      </c>
      <c r="M67" s="92">
        <f t="shared" si="22"/>
        <v>0</v>
      </c>
      <c r="N67" s="92">
        <f t="shared" si="22"/>
        <v>0</v>
      </c>
      <c r="O67" s="91">
        <f>SUM(I67:N67)</f>
        <v>0</v>
      </c>
      <c r="P67" s="92">
        <f t="shared" ref="P67:U67" si="23">SUM(P24:P66)</f>
        <v>0</v>
      </c>
      <c r="Q67" s="92">
        <f t="shared" si="23"/>
        <v>0</v>
      </c>
      <c r="R67" s="92">
        <f t="shared" si="23"/>
        <v>0</v>
      </c>
      <c r="S67" s="92">
        <f t="shared" si="23"/>
        <v>0</v>
      </c>
      <c r="T67" s="92">
        <f t="shared" si="23"/>
        <v>0</v>
      </c>
      <c r="U67" s="92">
        <f t="shared" si="23"/>
        <v>0</v>
      </c>
      <c r="V67" s="91">
        <f>SUM(P67:U67)</f>
        <v>0</v>
      </c>
      <c r="W67" s="92">
        <f t="shared" ref="W67:AB67" si="24">SUM(W24:W66)</f>
        <v>0</v>
      </c>
      <c r="X67" s="92">
        <f t="shared" si="24"/>
        <v>0</v>
      </c>
      <c r="Y67" s="92">
        <f t="shared" si="24"/>
        <v>0</v>
      </c>
      <c r="Z67" s="92">
        <f t="shared" si="24"/>
        <v>0</v>
      </c>
      <c r="AA67" s="92">
        <f t="shared" si="24"/>
        <v>0</v>
      </c>
      <c r="AB67" s="92">
        <f t="shared" si="24"/>
        <v>0</v>
      </c>
      <c r="AC67" s="91">
        <f t="shared" si="1"/>
        <v>0</v>
      </c>
      <c r="AD67" s="92">
        <f>SUM(AD24:AD66)</f>
        <v>0</v>
      </c>
      <c r="AE67" s="92">
        <f t="shared" ref="AE67:AF67" si="25">SUM(AE24:AE66)</f>
        <v>0</v>
      </c>
      <c r="AF67" s="92">
        <f t="shared" si="25"/>
        <v>0</v>
      </c>
      <c r="AG67" s="92">
        <f>SUM(AG24:AG66)</f>
        <v>1592662.6400000001</v>
      </c>
      <c r="AH67" s="66">
        <f>SUM(AD67:AG67)</f>
        <v>1592662.6400000001</v>
      </c>
      <c r="AI67" s="70">
        <f>SUM(AI24:AI66)</f>
        <v>1592662.6400000001</v>
      </c>
    </row>
    <row r="68" spans="1:37" ht="29.25" customHeight="1" thickTop="1" x14ac:dyDescent="0.25">
      <c r="A68" s="269" t="s">
        <v>78</v>
      </c>
      <c r="B68" s="269"/>
      <c r="C68" s="269"/>
      <c r="D68" s="71">
        <f>+D23+D67</f>
        <v>0</v>
      </c>
      <c r="E68" s="71">
        <f>+E23+E67</f>
        <v>0</v>
      </c>
      <c r="F68" s="71">
        <f>+F23+F67</f>
        <v>0</v>
      </c>
      <c r="G68" s="71">
        <f>+G23+G67</f>
        <v>0</v>
      </c>
      <c r="H68" s="66">
        <f t="shared" si="0"/>
        <v>0</v>
      </c>
      <c r="I68" s="71">
        <f t="shared" ref="I68:N68" si="26">+I23+I67</f>
        <v>0</v>
      </c>
      <c r="J68" s="71">
        <f t="shared" si="26"/>
        <v>0</v>
      </c>
      <c r="K68" s="71">
        <f t="shared" si="26"/>
        <v>0</v>
      </c>
      <c r="L68" s="71">
        <f t="shared" si="26"/>
        <v>0</v>
      </c>
      <c r="M68" s="71">
        <f t="shared" si="26"/>
        <v>0</v>
      </c>
      <c r="N68" s="71">
        <f t="shared" si="26"/>
        <v>0</v>
      </c>
      <c r="O68" s="66">
        <f t="shared" si="4"/>
        <v>0</v>
      </c>
      <c r="P68" s="71">
        <f t="shared" ref="P68:U68" si="27">+P23+P67</f>
        <v>0</v>
      </c>
      <c r="Q68" s="71">
        <f t="shared" si="27"/>
        <v>0</v>
      </c>
      <c r="R68" s="71">
        <f t="shared" si="27"/>
        <v>0</v>
      </c>
      <c r="S68" s="71">
        <f t="shared" si="27"/>
        <v>0</v>
      </c>
      <c r="T68" s="71">
        <f t="shared" si="27"/>
        <v>0</v>
      </c>
      <c r="U68" s="71">
        <f t="shared" si="27"/>
        <v>0</v>
      </c>
      <c r="V68" s="66">
        <f>SUM(P68:U68)</f>
        <v>0</v>
      </c>
      <c r="W68" s="71">
        <f t="shared" ref="W68:AB68" si="28">+W23+W67</f>
        <v>0</v>
      </c>
      <c r="X68" s="71">
        <f t="shared" si="28"/>
        <v>0</v>
      </c>
      <c r="Y68" s="71">
        <f t="shared" si="28"/>
        <v>0</v>
      </c>
      <c r="Z68" s="71">
        <f t="shared" si="28"/>
        <v>0</v>
      </c>
      <c r="AA68" s="71">
        <f t="shared" si="28"/>
        <v>0</v>
      </c>
      <c r="AB68" s="71">
        <f t="shared" si="28"/>
        <v>0</v>
      </c>
      <c r="AC68" s="66">
        <f t="shared" si="1"/>
        <v>0</v>
      </c>
      <c r="AD68" s="71">
        <f>+AD23+AD67</f>
        <v>0</v>
      </c>
      <c r="AE68" s="71"/>
      <c r="AF68" s="71"/>
      <c r="AG68" s="71"/>
      <c r="AH68" s="66">
        <f>SUM(AD68:AG68)</f>
        <v>0</v>
      </c>
      <c r="AI68" s="71">
        <f>SUM(AI67,AI23)</f>
        <v>1592662.6400000001</v>
      </c>
    </row>
    <row r="69" spans="1:37" x14ac:dyDescent="0.25">
      <c r="A69" s="37"/>
      <c r="B69" s="33"/>
      <c r="C69" s="33"/>
      <c r="AK69" s="49"/>
    </row>
    <row r="70" spans="1:37" x14ac:dyDescent="0.25">
      <c r="A70" s="37"/>
      <c r="B70" s="34"/>
      <c r="C70" s="34"/>
      <c r="AI70" s="49"/>
    </row>
    <row r="71" spans="1:37" x14ac:dyDescent="0.25">
      <c r="A71" s="37"/>
      <c r="B71" s="34"/>
      <c r="C71" s="34"/>
      <c r="M71" s="49"/>
      <c r="N71" s="100"/>
    </row>
    <row r="72" spans="1:37" x14ac:dyDescent="0.25">
      <c r="M72" s="49"/>
      <c r="N72" s="100"/>
      <c r="AI72" s="49"/>
      <c r="AK72" s="49"/>
    </row>
    <row r="73" spans="1:37" x14ac:dyDescent="0.25">
      <c r="M73" s="49"/>
      <c r="N73" s="101"/>
    </row>
    <row r="74" spans="1:37" x14ac:dyDescent="0.25">
      <c r="M74" s="49"/>
      <c r="N74" s="101"/>
    </row>
    <row r="75" spans="1:37" x14ac:dyDescent="0.25">
      <c r="M75" s="49"/>
      <c r="N75" s="101"/>
    </row>
  </sheetData>
  <mergeCells count="7">
    <mergeCell ref="A68:C68"/>
    <mergeCell ref="A6:A7"/>
    <mergeCell ref="B6:B7"/>
    <mergeCell ref="C6:C7"/>
    <mergeCell ref="AI6:AI7"/>
    <mergeCell ref="A23:C23"/>
    <mergeCell ref="A67:C67"/>
  </mergeCells>
  <pageMargins left="0.7" right="0.7" top="0.75" bottom="0.75" header="0.3" footer="0.3"/>
  <pageSetup paperSize="9" scale="24" orientation="landscape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2">
    <pageSetUpPr fitToPage="1"/>
  </sheetPr>
  <dimension ref="A1:H23"/>
  <sheetViews>
    <sheetView tabSelected="1" topLeftCell="A6" zoomScaleNormal="100" workbookViewId="0">
      <pane ySplit="1" topLeftCell="A11" activePane="bottomLeft" state="frozen"/>
      <selection activeCell="AJ48" sqref="AJ48"/>
      <selection pane="bottomLeft" activeCell="F23" sqref="F23"/>
    </sheetView>
  </sheetViews>
  <sheetFormatPr baseColWidth="10" defaultColWidth="11.42578125" defaultRowHeight="15.75" x14ac:dyDescent="0.25"/>
  <cols>
    <col min="1" max="1" width="7.140625" style="2" bestFit="1" customWidth="1"/>
    <col min="2" max="2" width="37.140625" style="1" customWidth="1"/>
    <col min="3" max="3" width="19.5703125" style="1" customWidth="1"/>
    <col min="4" max="4" width="19.7109375" style="1" customWidth="1"/>
    <col min="5" max="5" width="20" style="1" customWidth="1"/>
    <col min="6" max="6" width="19.85546875" style="1" customWidth="1"/>
    <col min="7" max="7" width="28.28515625" style="1" customWidth="1"/>
    <col min="8" max="16384" width="11.42578125" style="1"/>
  </cols>
  <sheetData>
    <row r="1" spans="1:8" ht="15" customHeight="1" x14ac:dyDescent="0.25">
      <c r="B1" s="30"/>
      <c r="C1" s="31"/>
    </row>
    <row r="2" spans="1:8" ht="15" customHeight="1" x14ac:dyDescent="0.25">
      <c r="B2" s="30"/>
      <c r="C2" s="31"/>
    </row>
    <row r="3" spans="1:8" ht="18" x14ac:dyDescent="0.25">
      <c r="A3" s="278" t="s">
        <v>68</v>
      </c>
      <c r="B3" s="278"/>
      <c r="C3" s="278"/>
      <c r="D3" s="278"/>
      <c r="E3" s="278"/>
      <c r="F3" s="278"/>
      <c r="G3" s="278"/>
    </row>
    <row r="4" spans="1:8" ht="18" x14ac:dyDescent="0.25">
      <c r="A4" s="278" t="s">
        <v>50</v>
      </c>
      <c r="B4" s="278"/>
      <c r="C4" s="278"/>
      <c r="D4" s="278"/>
      <c r="E4" s="278"/>
      <c r="F4" s="278"/>
      <c r="G4" s="278"/>
    </row>
    <row r="5" spans="1:8" ht="20.25" customHeight="1" x14ac:dyDescent="0.25">
      <c r="B5" s="31"/>
      <c r="C5" s="31"/>
    </row>
    <row r="6" spans="1:8" s="32" customFormat="1" ht="46.5" customHeight="1" x14ac:dyDescent="0.25">
      <c r="A6" s="44" t="s">
        <v>64</v>
      </c>
      <c r="B6" s="44" t="s">
        <v>1</v>
      </c>
      <c r="C6" s="44" t="s">
        <v>2</v>
      </c>
      <c r="D6" s="45" t="s">
        <v>65</v>
      </c>
      <c r="E6" s="45" t="s">
        <v>66</v>
      </c>
      <c r="F6" s="45" t="s">
        <v>67</v>
      </c>
      <c r="G6" s="44" t="s">
        <v>4</v>
      </c>
      <c r="H6" s="28"/>
    </row>
    <row r="7" spans="1:8" ht="17.25" hidden="1" customHeight="1" x14ac:dyDescent="0.25">
      <c r="A7" s="40" t="e">
        <f>1+#REF!</f>
        <v>#REF!</v>
      </c>
      <c r="B7" s="41" t="s">
        <v>19</v>
      </c>
      <c r="C7" s="38" t="s">
        <v>18</v>
      </c>
      <c r="D7" s="94">
        <f>+'Gustavo Tellez'!E69</f>
        <v>170675.00000000006</v>
      </c>
      <c r="E7" s="94">
        <f>+'Gustavo Tellez'!F69</f>
        <v>170675</v>
      </c>
      <c r="F7" s="136">
        <f t="shared" ref="F7:F16" si="0">+D7-E7</f>
        <v>0</v>
      </c>
      <c r="G7" s="42"/>
      <c r="H7" s="34"/>
    </row>
    <row r="8" spans="1:8" ht="17.25" hidden="1" customHeight="1" x14ac:dyDescent="0.25">
      <c r="A8" s="40" t="e">
        <f t="shared" ref="A8" si="1">1+A7</f>
        <v>#REF!</v>
      </c>
      <c r="B8" s="41" t="s">
        <v>31</v>
      </c>
      <c r="C8" s="38" t="s">
        <v>32</v>
      </c>
      <c r="D8" s="94">
        <f>+'Cristhian Murillo'!E166</f>
        <v>1827705.12</v>
      </c>
      <c r="E8" s="94">
        <f>+'Cristhian Murillo'!F166</f>
        <v>1827705.12</v>
      </c>
      <c r="F8" s="136">
        <f>+D8-E8</f>
        <v>0</v>
      </c>
      <c r="G8" s="39"/>
      <c r="H8" s="34"/>
    </row>
    <row r="9" spans="1:8" ht="17.25" customHeight="1" x14ac:dyDescent="0.25">
      <c r="A9" s="40">
        <v>1</v>
      </c>
      <c r="B9" s="58" t="s">
        <v>352</v>
      </c>
      <c r="C9" s="59" t="s">
        <v>32</v>
      </c>
      <c r="D9" s="113">
        <f>+'Oscar G. Paceña SUCRE'!E24</f>
        <v>17400</v>
      </c>
      <c r="E9" s="113">
        <f>+'Oscar G. Paceña SUCRE'!F24</f>
        <v>17400</v>
      </c>
      <c r="F9" s="136">
        <f t="shared" si="0"/>
        <v>0</v>
      </c>
      <c r="G9" s="60"/>
      <c r="H9" s="34"/>
    </row>
    <row r="10" spans="1:8" ht="17.25" customHeight="1" x14ac:dyDescent="0.25">
      <c r="A10" s="40">
        <v>2</v>
      </c>
      <c r="B10" s="58" t="s">
        <v>333</v>
      </c>
      <c r="C10" s="59" t="s">
        <v>32</v>
      </c>
      <c r="D10" s="113">
        <f>+'Ambulante EDUARDO'!E50</f>
        <v>25014</v>
      </c>
      <c r="E10" s="113">
        <f>+'Ambulante EDUARDO'!F50</f>
        <v>24474</v>
      </c>
      <c r="F10" s="136">
        <f t="shared" si="0"/>
        <v>540</v>
      </c>
      <c r="G10" s="60"/>
      <c r="H10" s="34"/>
    </row>
    <row r="11" spans="1:8" ht="17.25" customHeight="1" x14ac:dyDescent="0.25">
      <c r="A11" s="40">
        <v>3</v>
      </c>
      <c r="B11" s="58" t="s">
        <v>307</v>
      </c>
      <c r="C11" s="59" t="s">
        <v>32</v>
      </c>
      <c r="D11" s="113">
        <f>+'Supermencado SAS'!E61</f>
        <v>160473</v>
      </c>
      <c r="E11" s="113">
        <f>+'Supermencado SAS'!F61</f>
        <v>150005</v>
      </c>
      <c r="F11" s="136">
        <f t="shared" si="0"/>
        <v>10468</v>
      </c>
      <c r="G11" s="60"/>
      <c r="H11" s="34"/>
    </row>
    <row r="12" spans="1:8" ht="17.25" customHeight="1" x14ac:dyDescent="0.25">
      <c r="A12" s="40">
        <v>4</v>
      </c>
      <c r="B12" s="58" t="s">
        <v>334</v>
      </c>
      <c r="C12" s="59" t="s">
        <v>32</v>
      </c>
      <c r="D12" s="113">
        <f>+'SOLAR Supermercado'!E24</f>
        <v>27886</v>
      </c>
      <c r="E12" s="113">
        <f>+'SOLAR Supermercado'!F24</f>
        <v>24586</v>
      </c>
      <c r="F12" s="136">
        <f t="shared" si="0"/>
        <v>3300</v>
      </c>
      <c r="G12" s="60"/>
      <c r="H12" s="34"/>
    </row>
    <row r="13" spans="1:8" ht="17.25" customHeight="1" x14ac:dyDescent="0.25">
      <c r="A13" s="40">
        <v>5</v>
      </c>
      <c r="B13" s="58" t="s">
        <v>335</v>
      </c>
      <c r="C13" s="59" t="s">
        <v>32</v>
      </c>
      <c r="D13" s="113">
        <f>+'LIDER Supermercado'!E24</f>
        <v>4086</v>
      </c>
      <c r="E13" s="113">
        <f>+'LIDER Supermercado'!F24</f>
        <v>4086</v>
      </c>
      <c r="F13" s="136">
        <f t="shared" si="0"/>
        <v>0</v>
      </c>
      <c r="G13" s="60"/>
      <c r="H13" s="34"/>
    </row>
    <row r="14" spans="1:8" ht="17.25" customHeight="1" x14ac:dyDescent="0.25">
      <c r="A14" s="40">
        <v>6</v>
      </c>
      <c r="B14" s="58" t="s">
        <v>355</v>
      </c>
      <c r="C14" s="59" t="s">
        <v>32</v>
      </c>
      <c r="D14" s="113">
        <f>+'MERCAMAX SRL'!E24</f>
        <v>15940</v>
      </c>
      <c r="E14" s="113">
        <f>+'MERCAMAX SRL'!F24</f>
        <v>13396</v>
      </c>
      <c r="F14" s="136">
        <f t="shared" ref="F14" si="2">+D14-E14</f>
        <v>2544</v>
      </c>
      <c r="G14" s="60"/>
      <c r="H14" s="34"/>
    </row>
    <row r="15" spans="1:8" ht="17.25" customHeight="1" x14ac:dyDescent="0.25">
      <c r="A15" s="40">
        <v>7</v>
      </c>
      <c r="B15" s="58" t="s">
        <v>336</v>
      </c>
      <c r="C15" s="59" t="s">
        <v>32</v>
      </c>
      <c r="D15" s="113">
        <f>+'FARMACIA SAN AGUSTIN'!E25</f>
        <v>11632</v>
      </c>
      <c r="E15" s="113">
        <f>+'FARMACIA SAN AGUSTIN'!F25</f>
        <v>11632</v>
      </c>
      <c r="F15" s="136">
        <f t="shared" si="0"/>
        <v>0</v>
      </c>
      <c r="G15" s="60"/>
      <c r="H15" s="34"/>
    </row>
    <row r="16" spans="1:8" ht="17.25" customHeight="1" x14ac:dyDescent="0.25">
      <c r="A16" s="40">
        <v>8</v>
      </c>
      <c r="B16" s="58" t="s">
        <v>337</v>
      </c>
      <c r="C16" s="59" t="s">
        <v>32</v>
      </c>
      <c r="D16" s="113">
        <f>+'Supermercado POMPEYA'!E24</f>
        <v>43864</v>
      </c>
      <c r="E16" s="113">
        <f>+'Supermercado POMPEYA'!F24</f>
        <v>43864</v>
      </c>
      <c r="F16" s="136">
        <f t="shared" si="0"/>
        <v>0</v>
      </c>
      <c r="G16" s="60"/>
      <c r="H16" s="34"/>
    </row>
    <row r="17" spans="1:8" ht="17.25" customHeight="1" x14ac:dyDescent="0.25">
      <c r="A17" s="40">
        <v>9</v>
      </c>
      <c r="B17" s="58" t="s">
        <v>356</v>
      </c>
      <c r="C17" s="59" t="s">
        <v>32</v>
      </c>
      <c r="D17" s="113">
        <f>+'Pulperia USFX'!E24</f>
        <v>10805</v>
      </c>
      <c r="E17" s="113">
        <f>+'Pulperia USFX'!F24</f>
        <v>10805</v>
      </c>
      <c r="F17" s="136">
        <f t="shared" ref="F17" si="3">+D17-E17</f>
        <v>0</v>
      </c>
      <c r="G17" s="60"/>
      <c r="H17" s="34"/>
    </row>
    <row r="18" spans="1:8" ht="33.75" customHeight="1" x14ac:dyDescent="0.25">
      <c r="A18" s="40">
        <v>10</v>
      </c>
      <c r="B18" s="97" t="s">
        <v>440</v>
      </c>
      <c r="C18" s="59" t="s">
        <v>32</v>
      </c>
      <c r="D18" s="94">
        <f>+GAMS!E30</f>
        <v>99410</v>
      </c>
      <c r="E18" s="94">
        <f>+GAMS!F30</f>
        <v>99410</v>
      </c>
      <c r="F18" s="137">
        <f>+D18-E18</f>
        <v>0</v>
      </c>
      <c r="G18" s="60"/>
      <c r="H18" s="34"/>
    </row>
    <row r="19" spans="1:8" x14ac:dyDescent="0.25">
      <c r="A19" s="274" t="s">
        <v>109</v>
      </c>
      <c r="B19" s="274"/>
      <c r="C19" s="274"/>
      <c r="D19" s="95">
        <f>SUM(D9:D18)</f>
        <v>416510</v>
      </c>
      <c r="E19" s="95">
        <f t="shared" ref="E19:F19" si="4">SUM(E9:E18)</f>
        <v>399658</v>
      </c>
      <c r="F19" s="95">
        <f t="shared" si="4"/>
        <v>16852</v>
      </c>
      <c r="G19" s="61"/>
      <c r="H19" s="34"/>
    </row>
    <row r="20" spans="1:8" x14ac:dyDescent="0.25">
      <c r="A20" s="37"/>
      <c r="B20" s="33"/>
      <c r="C20" s="33"/>
      <c r="D20" s="29"/>
      <c r="E20" s="29"/>
      <c r="F20" s="29"/>
      <c r="G20" s="35"/>
      <c r="H20" s="34"/>
    </row>
    <row r="21" spans="1:8" x14ac:dyDescent="0.25">
      <c r="A21" s="37"/>
      <c r="B21" s="34"/>
      <c r="C21" s="34"/>
      <c r="D21" s="36"/>
      <c r="E21" s="36"/>
      <c r="F21" s="36"/>
      <c r="G21" s="34"/>
      <c r="H21" s="34"/>
    </row>
    <row r="22" spans="1:8" x14ac:dyDescent="0.25">
      <c r="A22" s="37"/>
      <c r="B22" s="34"/>
      <c r="C22" s="34"/>
      <c r="D22" s="36"/>
      <c r="E22" s="36" t="s">
        <v>151</v>
      </c>
      <c r="F22" s="36">
        <f>+F19</f>
        <v>16852</v>
      </c>
      <c r="G22" s="34"/>
      <c r="H22" s="34"/>
    </row>
    <row r="23" spans="1:8" x14ac:dyDescent="0.25">
      <c r="A23" s="37"/>
      <c r="B23" s="34"/>
      <c r="C23" s="34"/>
      <c r="D23" s="34"/>
      <c r="E23" s="34"/>
      <c r="F23" s="34"/>
      <c r="G23" s="34"/>
      <c r="H23" s="34"/>
    </row>
  </sheetData>
  <sortState xmlns:xlrd2="http://schemas.microsoft.com/office/spreadsheetml/2017/richdata2" ref="A7:G8">
    <sortCondition descending="1" ref="D7:D8"/>
  </sortState>
  <mergeCells count="3">
    <mergeCell ref="A4:G4"/>
    <mergeCell ref="A3:G3"/>
    <mergeCell ref="A19:C19"/>
  </mergeCells>
  <pageMargins left="0.7" right="0.7" top="0.75" bottom="0.75" header="0.3" footer="0.3"/>
  <pageSetup paperSize="9" scale="24" orientation="landscape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30B7-CFCB-4A30-857A-C7292A266717}">
  <sheetPr codeName="Hoja23">
    <pageSetUpPr fitToPage="1"/>
  </sheetPr>
  <dimension ref="A1:AK57"/>
  <sheetViews>
    <sheetView topLeftCell="A4" zoomScale="90" zoomScaleNormal="90" workbookViewId="0">
      <pane xSplit="3" ySplit="4" topLeftCell="D39" activePane="bottomRight" state="frozen"/>
      <selection activeCell="F65" sqref="F65"/>
      <selection pane="topRight" activeCell="F65" sqref="F65"/>
      <selection pane="bottomLeft" activeCell="F65" sqref="F65"/>
      <selection pane="bottomRight" activeCell="AG49" sqref="AG49:AI50"/>
    </sheetView>
  </sheetViews>
  <sheetFormatPr baseColWidth="10" defaultColWidth="11.42578125" defaultRowHeight="15.75" x14ac:dyDescent="0.25"/>
  <cols>
    <col min="1" max="1" width="3.5703125" style="2" customWidth="1"/>
    <col min="2" max="2" width="30.140625" style="1" customWidth="1"/>
    <col min="3" max="3" width="13.140625" style="1" customWidth="1"/>
    <col min="4" max="29" width="15.140625" style="1" hidden="1" customWidth="1"/>
    <col min="30" max="32" width="15.28515625" style="1" hidden="1" customWidth="1"/>
    <col min="33" max="33" width="15.28515625" style="1" customWidth="1"/>
    <col min="34" max="34" width="15.140625" style="1" customWidth="1"/>
    <col min="35" max="35" width="18.140625" style="1" customWidth="1"/>
    <col min="36" max="36" width="11.42578125" style="1"/>
    <col min="37" max="37" width="12.42578125" style="1" bestFit="1" customWidth="1"/>
    <col min="38" max="16384" width="11.42578125" style="1"/>
  </cols>
  <sheetData>
    <row r="1" spans="1:35" ht="15" customHeight="1" x14ac:dyDescent="0.25">
      <c r="B1" s="30"/>
      <c r="C1" s="31"/>
    </row>
    <row r="2" spans="1:35" ht="15" customHeight="1" x14ac:dyDescent="0.25">
      <c r="B2" s="30"/>
      <c r="C2" s="31"/>
    </row>
    <row r="3" spans="1:35" ht="18" x14ac:dyDescent="0.25">
      <c r="A3" s="90" t="s">
        <v>68</v>
      </c>
      <c r="B3" s="90"/>
      <c r="C3" s="90"/>
    </row>
    <row r="4" spans="1:35" ht="18" x14ac:dyDescent="0.25">
      <c r="A4" s="90" t="s">
        <v>50</v>
      </c>
      <c r="B4" s="90"/>
      <c r="C4" s="90"/>
    </row>
    <row r="5" spans="1:35" ht="20.25" customHeight="1" x14ac:dyDescent="0.25">
      <c r="A5" s="111" t="s">
        <v>346</v>
      </c>
      <c r="B5" s="31"/>
      <c r="C5" s="31"/>
    </row>
    <row r="6" spans="1:35" ht="20.25" customHeight="1" x14ac:dyDescent="0.25">
      <c r="A6" s="270" t="s">
        <v>64</v>
      </c>
      <c r="B6" s="270" t="s">
        <v>1</v>
      </c>
      <c r="C6" s="270" t="s">
        <v>2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9"/>
      <c r="AD6" s="88"/>
      <c r="AE6" s="88"/>
      <c r="AF6" s="88"/>
      <c r="AG6" s="88"/>
      <c r="AH6" s="89"/>
      <c r="AI6" s="270" t="s">
        <v>80</v>
      </c>
    </row>
    <row r="7" spans="1:35" s="32" customFormat="1" ht="17.25" customHeight="1" x14ac:dyDescent="0.25">
      <c r="A7" s="270"/>
      <c r="B7" s="270"/>
      <c r="C7" s="270"/>
      <c r="D7" s="62">
        <v>1</v>
      </c>
      <c r="E7" s="62">
        <v>2</v>
      </c>
      <c r="F7" s="62">
        <v>3</v>
      </c>
      <c r="G7" s="62">
        <v>4</v>
      </c>
      <c r="H7" s="99" t="s">
        <v>81</v>
      </c>
      <c r="I7" s="62">
        <v>6</v>
      </c>
      <c r="J7" s="62">
        <v>7</v>
      </c>
      <c r="K7" s="62">
        <v>8</v>
      </c>
      <c r="L7" s="62">
        <v>9</v>
      </c>
      <c r="M7" s="62">
        <v>10</v>
      </c>
      <c r="N7" s="62">
        <v>11</v>
      </c>
      <c r="O7" s="99" t="s">
        <v>82</v>
      </c>
      <c r="P7" s="62">
        <v>13</v>
      </c>
      <c r="Q7" s="62">
        <v>14</v>
      </c>
      <c r="R7" s="62">
        <v>15</v>
      </c>
      <c r="S7" s="62">
        <v>16</v>
      </c>
      <c r="T7" s="62">
        <v>17</v>
      </c>
      <c r="U7" s="62">
        <v>18</v>
      </c>
      <c r="V7" s="99" t="s">
        <v>83</v>
      </c>
      <c r="W7" s="62">
        <v>20</v>
      </c>
      <c r="X7" s="62">
        <v>21</v>
      </c>
      <c r="Y7" s="62">
        <v>22</v>
      </c>
      <c r="Z7" s="62">
        <v>23</v>
      </c>
      <c r="AA7" s="62">
        <v>24</v>
      </c>
      <c r="AB7" s="62">
        <v>25</v>
      </c>
      <c r="AC7" s="99" t="s">
        <v>84</v>
      </c>
      <c r="AD7" s="62">
        <v>27</v>
      </c>
      <c r="AE7" s="62">
        <v>28</v>
      </c>
      <c r="AF7" s="62">
        <v>29</v>
      </c>
      <c r="AG7" s="62">
        <v>31</v>
      </c>
      <c r="AH7" s="99" t="s">
        <v>84</v>
      </c>
      <c r="AI7" s="270"/>
    </row>
    <row r="8" spans="1:35" s="32" customFormat="1" ht="16.5" customHeight="1" x14ac:dyDescent="0.25">
      <c r="A8" s="56">
        <v>1</v>
      </c>
      <c r="B8" s="57" t="s">
        <v>25</v>
      </c>
      <c r="C8" s="54" t="s">
        <v>13</v>
      </c>
      <c r="D8" s="63"/>
      <c r="E8" s="63"/>
      <c r="F8" s="63"/>
      <c r="G8" s="63"/>
      <c r="H8" s="66">
        <f t="shared" ref="H8:H50" si="0">SUM(D8:G8)</f>
        <v>0</v>
      </c>
      <c r="I8" s="63"/>
      <c r="J8" s="63"/>
      <c r="K8" s="63"/>
      <c r="L8" s="63"/>
      <c r="M8" s="63"/>
      <c r="N8" s="63"/>
      <c r="O8" s="66">
        <f>SUM(I8:N8)</f>
        <v>0</v>
      </c>
      <c r="P8" s="63"/>
      <c r="Q8" s="63"/>
      <c r="R8" s="63"/>
      <c r="S8" s="63"/>
      <c r="T8" s="63"/>
      <c r="U8" s="63"/>
      <c r="V8" s="66">
        <f>SUM(P8:U8)</f>
        <v>0</v>
      </c>
      <c r="W8" s="63"/>
      <c r="X8" s="63"/>
      <c r="Y8" s="63"/>
      <c r="Z8" s="63"/>
      <c r="AA8" s="63"/>
      <c r="AB8" s="63"/>
      <c r="AC8" s="66">
        <f t="shared" ref="AC8:AC50" si="1">SUM(W8:AB8)</f>
        <v>0</v>
      </c>
      <c r="AD8" s="63"/>
      <c r="AE8" s="63"/>
      <c r="AF8" s="63"/>
      <c r="AG8" s="63"/>
      <c r="AH8" s="66">
        <f t="shared" ref="AH8:AH48" si="2">SUM(AD8:AG8)</f>
        <v>0</v>
      </c>
      <c r="AI8" s="68">
        <f t="shared" ref="AI8:AI21" si="3">+H8+O8+V8+AH8</f>
        <v>0</v>
      </c>
    </row>
    <row r="9" spans="1:35" ht="16.5" customHeight="1" x14ac:dyDescent="0.25">
      <c r="A9" s="56">
        <f>1+A8</f>
        <v>2</v>
      </c>
      <c r="B9" s="57" t="s">
        <v>11</v>
      </c>
      <c r="C9" s="54" t="s">
        <v>6</v>
      </c>
      <c r="D9" s="64"/>
      <c r="E9" s="64"/>
      <c r="F9" s="64"/>
      <c r="G9" s="64"/>
      <c r="H9" s="66">
        <f t="shared" si="0"/>
        <v>0</v>
      </c>
      <c r="I9" s="64"/>
      <c r="J9" s="64"/>
      <c r="K9" s="64"/>
      <c r="L9" s="64"/>
      <c r="M9" s="64"/>
      <c r="N9" s="64"/>
      <c r="O9" s="66">
        <f t="shared" ref="O9:O50" si="4">SUM(I9:N9)</f>
        <v>0</v>
      </c>
      <c r="P9" s="64"/>
      <c r="Q9" s="64"/>
      <c r="R9" s="64"/>
      <c r="S9" s="64"/>
      <c r="T9" s="64"/>
      <c r="U9" s="64"/>
      <c r="V9" s="66">
        <f>SUM(P9:U9)</f>
        <v>0</v>
      </c>
      <c r="W9" s="64"/>
      <c r="X9" s="64"/>
      <c r="Y9" s="64"/>
      <c r="Z9" s="64"/>
      <c r="AA9" s="64"/>
      <c r="AB9" s="64"/>
      <c r="AC9" s="66">
        <f t="shared" si="1"/>
        <v>0</v>
      </c>
      <c r="AD9" s="64"/>
      <c r="AE9" s="64"/>
      <c r="AF9" s="64"/>
      <c r="AG9" s="64"/>
      <c r="AH9" s="66">
        <f t="shared" si="2"/>
        <v>0</v>
      </c>
      <c r="AI9" s="68">
        <f t="shared" si="3"/>
        <v>0</v>
      </c>
    </row>
    <row r="10" spans="1:35" ht="16.5" customHeight="1" x14ac:dyDescent="0.25">
      <c r="A10" s="56">
        <f t="shared" ref="A10:A21" si="5">1+A9</f>
        <v>3</v>
      </c>
      <c r="B10" s="57" t="s">
        <v>70</v>
      </c>
      <c r="C10" s="54" t="s">
        <v>13</v>
      </c>
      <c r="D10" s="67"/>
      <c r="E10" s="67"/>
      <c r="F10" s="67"/>
      <c r="G10" s="67"/>
      <c r="H10" s="66">
        <f t="shared" si="0"/>
        <v>0</v>
      </c>
      <c r="I10" s="67"/>
      <c r="J10" s="67"/>
      <c r="K10" s="67"/>
      <c r="L10" s="67"/>
      <c r="M10" s="67"/>
      <c r="N10" s="67"/>
      <c r="O10" s="66">
        <f t="shared" si="4"/>
        <v>0</v>
      </c>
      <c r="P10" s="67"/>
      <c r="Q10" s="67"/>
      <c r="R10" s="67"/>
      <c r="S10" s="67"/>
      <c r="T10" s="67"/>
      <c r="U10" s="67"/>
      <c r="V10" s="66">
        <f t="shared" ref="V10:V48" si="6">SUM(P10:U10)</f>
        <v>0</v>
      </c>
      <c r="W10" s="67"/>
      <c r="X10" s="67"/>
      <c r="Y10" s="67"/>
      <c r="Z10" s="67"/>
      <c r="AA10" s="67"/>
      <c r="AB10" s="67"/>
      <c r="AC10" s="66">
        <f t="shared" si="1"/>
        <v>0</v>
      </c>
      <c r="AD10" s="67"/>
      <c r="AE10" s="67"/>
      <c r="AF10" s="67"/>
      <c r="AG10" s="67"/>
      <c r="AH10" s="66">
        <f t="shared" si="2"/>
        <v>0</v>
      </c>
      <c r="AI10" s="68">
        <f t="shared" si="3"/>
        <v>0</v>
      </c>
    </row>
    <row r="11" spans="1:35" ht="16.5" customHeight="1" x14ac:dyDescent="0.25">
      <c r="A11" s="56">
        <f t="shared" si="5"/>
        <v>4</v>
      </c>
      <c r="B11" s="57" t="s">
        <v>23</v>
      </c>
      <c r="C11" s="54" t="s">
        <v>9</v>
      </c>
      <c r="D11" s="67"/>
      <c r="E11" s="67"/>
      <c r="F11" s="67"/>
      <c r="G11" s="67"/>
      <c r="H11" s="66">
        <f t="shared" si="0"/>
        <v>0</v>
      </c>
      <c r="I11" s="67"/>
      <c r="J11" s="67"/>
      <c r="K11" s="67"/>
      <c r="L11" s="67"/>
      <c r="M11" s="67"/>
      <c r="N11" s="67"/>
      <c r="O11" s="66">
        <f t="shared" si="4"/>
        <v>0</v>
      </c>
      <c r="P11" s="67"/>
      <c r="Q11" s="67"/>
      <c r="R11" s="67"/>
      <c r="S11" s="67"/>
      <c r="T11" s="67"/>
      <c r="U11" s="67"/>
      <c r="V11" s="66">
        <f t="shared" si="6"/>
        <v>0</v>
      </c>
      <c r="W11" s="67"/>
      <c r="X11" s="67"/>
      <c r="Y11" s="67"/>
      <c r="Z11" s="67"/>
      <c r="AA11" s="67"/>
      <c r="AB11" s="67"/>
      <c r="AC11" s="66">
        <f t="shared" si="1"/>
        <v>0</v>
      </c>
      <c r="AD11" s="67"/>
      <c r="AE11" s="67"/>
      <c r="AF11" s="67"/>
      <c r="AG11" s="67"/>
      <c r="AH11" s="66">
        <f t="shared" si="2"/>
        <v>0</v>
      </c>
      <c r="AI11" s="68">
        <f t="shared" si="3"/>
        <v>0</v>
      </c>
    </row>
    <row r="12" spans="1:35" ht="16.5" customHeight="1" x14ac:dyDescent="0.25">
      <c r="A12" s="56">
        <f t="shared" si="5"/>
        <v>5</v>
      </c>
      <c r="B12" s="57" t="s">
        <v>24</v>
      </c>
      <c r="C12" s="54" t="s">
        <v>9</v>
      </c>
      <c r="D12" s="67"/>
      <c r="E12" s="67"/>
      <c r="F12" s="67"/>
      <c r="G12" s="67"/>
      <c r="H12" s="66">
        <f t="shared" si="0"/>
        <v>0</v>
      </c>
      <c r="I12" s="67"/>
      <c r="J12" s="67"/>
      <c r="K12" s="67"/>
      <c r="L12" s="67"/>
      <c r="M12" s="67"/>
      <c r="N12" s="67"/>
      <c r="O12" s="66">
        <f t="shared" si="4"/>
        <v>0</v>
      </c>
      <c r="P12" s="67"/>
      <c r="Q12" s="67"/>
      <c r="R12" s="67"/>
      <c r="S12" s="67"/>
      <c r="T12" s="67"/>
      <c r="U12" s="67"/>
      <c r="V12" s="66">
        <f t="shared" si="6"/>
        <v>0</v>
      </c>
      <c r="W12" s="67"/>
      <c r="X12" s="67"/>
      <c r="Y12" s="67"/>
      <c r="Z12" s="67"/>
      <c r="AA12" s="67"/>
      <c r="AB12" s="67"/>
      <c r="AC12" s="66">
        <f t="shared" si="1"/>
        <v>0</v>
      </c>
      <c r="AD12" s="67"/>
      <c r="AE12" s="67"/>
      <c r="AF12" s="67"/>
      <c r="AG12" s="67"/>
      <c r="AH12" s="66">
        <f t="shared" si="2"/>
        <v>0</v>
      </c>
      <c r="AI12" s="68">
        <f t="shared" si="3"/>
        <v>0</v>
      </c>
    </row>
    <row r="13" spans="1:35" ht="16.5" customHeight="1" x14ac:dyDescent="0.25">
      <c r="A13" s="56">
        <f t="shared" si="5"/>
        <v>6</v>
      </c>
      <c r="B13" s="57" t="s">
        <v>12</v>
      </c>
      <c r="C13" s="54" t="s">
        <v>13</v>
      </c>
      <c r="D13" s="67"/>
      <c r="E13" s="67"/>
      <c r="F13" s="67"/>
      <c r="G13" s="67"/>
      <c r="H13" s="66">
        <f t="shared" si="0"/>
        <v>0</v>
      </c>
      <c r="I13" s="67"/>
      <c r="J13" s="67"/>
      <c r="K13" s="67"/>
      <c r="L13" s="67"/>
      <c r="M13" s="67"/>
      <c r="N13" s="67"/>
      <c r="O13" s="66">
        <f t="shared" si="4"/>
        <v>0</v>
      </c>
      <c r="P13" s="67"/>
      <c r="Q13" s="67"/>
      <c r="R13" s="67"/>
      <c r="S13" s="67"/>
      <c r="T13" s="67"/>
      <c r="U13" s="67"/>
      <c r="V13" s="66">
        <f t="shared" si="6"/>
        <v>0</v>
      </c>
      <c r="W13" s="67"/>
      <c r="X13" s="67"/>
      <c r="Y13" s="67"/>
      <c r="Z13" s="67"/>
      <c r="AA13" s="67"/>
      <c r="AB13" s="67"/>
      <c r="AC13" s="66">
        <f t="shared" si="1"/>
        <v>0</v>
      </c>
      <c r="AD13" s="67"/>
      <c r="AE13" s="67"/>
      <c r="AF13" s="67"/>
      <c r="AG13" s="67"/>
      <c r="AH13" s="66">
        <f t="shared" si="2"/>
        <v>0</v>
      </c>
      <c r="AI13" s="68">
        <f t="shared" si="3"/>
        <v>0</v>
      </c>
    </row>
    <row r="14" spans="1:35" ht="16.5" customHeight="1" x14ac:dyDescent="0.25">
      <c r="A14" s="56">
        <f t="shared" si="5"/>
        <v>7</v>
      </c>
      <c r="B14" s="55" t="s">
        <v>5</v>
      </c>
      <c r="C14" s="54" t="s">
        <v>6</v>
      </c>
      <c r="D14" s="67"/>
      <c r="E14" s="67"/>
      <c r="F14" s="67"/>
      <c r="G14" s="67"/>
      <c r="H14" s="66">
        <f t="shared" si="0"/>
        <v>0</v>
      </c>
      <c r="I14" s="67"/>
      <c r="J14" s="67"/>
      <c r="K14" s="67"/>
      <c r="L14" s="67"/>
      <c r="M14" s="67"/>
      <c r="N14" s="67"/>
      <c r="O14" s="66">
        <f t="shared" si="4"/>
        <v>0</v>
      </c>
      <c r="P14" s="67"/>
      <c r="Q14" s="67"/>
      <c r="R14" s="67"/>
      <c r="S14" s="67"/>
      <c r="T14" s="67"/>
      <c r="U14" s="67"/>
      <c r="V14" s="66">
        <f t="shared" si="6"/>
        <v>0</v>
      </c>
      <c r="W14" s="67"/>
      <c r="X14" s="67"/>
      <c r="Y14" s="67"/>
      <c r="Z14" s="67"/>
      <c r="AA14" s="67"/>
      <c r="AB14" s="67"/>
      <c r="AC14" s="66">
        <f t="shared" si="1"/>
        <v>0</v>
      </c>
      <c r="AD14" s="67"/>
      <c r="AE14" s="67"/>
      <c r="AF14" s="67"/>
      <c r="AG14" s="67"/>
      <c r="AH14" s="66">
        <f t="shared" si="2"/>
        <v>0</v>
      </c>
      <c r="AI14" s="68">
        <f t="shared" si="3"/>
        <v>0</v>
      </c>
    </row>
    <row r="15" spans="1:35" ht="16.5" customHeight="1" x14ac:dyDescent="0.25">
      <c r="A15" s="56">
        <f t="shared" si="5"/>
        <v>8</v>
      </c>
      <c r="B15" s="57" t="s">
        <v>21</v>
      </c>
      <c r="C15" s="54" t="s">
        <v>16</v>
      </c>
      <c r="D15" s="67"/>
      <c r="E15" s="67"/>
      <c r="F15" s="67"/>
      <c r="G15" s="67"/>
      <c r="H15" s="66">
        <f t="shared" si="0"/>
        <v>0</v>
      </c>
      <c r="I15" s="67"/>
      <c r="J15" s="67"/>
      <c r="K15" s="67"/>
      <c r="L15" s="67"/>
      <c r="M15" s="67"/>
      <c r="N15" s="67"/>
      <c r="O15" s="66">
        <f t="shared" si="4"/>
        <v>0</v>
      </c>
      <c r="P15" s="67"/>
      <c r="Q15" s="67"/>
      <c r="R15" s="67"/>
      <c r="S15" s="67"/>
      <c r="T15" s="67"/>
      <c r="U15" s="67"/>
      <c r="V15" s="66">
        <f t="shared" si="6"/>
        <v>0</v>
      </c>
      <c r="W15" s="67"/>
      <c r="X15" s="67"/>
      <c r="Y15" s="67"/>
      <c r="Z15" s="67"/>
      <c r="AA15" s="67"/>
      <c r="AB15" s="67"/>
      <c r="AC15" s="66">
        <f t="shared" si="1"/>
        <v>0</v>
      </c>
      <c r="AD15" s="67"/>
      <c r="AE15" s="67"/>
      <c r="AF15" s="67"/>
      <c r="AG15" s="67"/>
      <c r="AH15" s="66">
        <f t="shared" si="2"/>
        <v>0</v>
      </c>
      <c r="AI15" s="68">
        <f t="shared" si="3"/>
        <v>0</v>
      </c>
    </row>
    <row r="16" spans="1:35" ht="16.5" customHeight="1" x14ac:dyDescent="0.25">
      <c r="A16" s="56">
        <f t="shared" si="5"/>
        <v>9</v>
      </c>
      <c r="B16" s="57" t="s">
        <v>15</v>
      </c>
      <c r="C16" s="54" t="s">
        <v>16</v>
      </c>
      <c r="D16" s="67"/>
      <c r="E16" s="67"/>
      <c r="F16" s="67"/>
      <c r="G16" s="67"/>
      <c r="H16" s="66">
        <f t="shared" si="0"/>
        <v>0</v>
      </c>
      <c r="I16" s="67"/>
      <c r="J16" s="67"/>
      <c r="K16" s="67"/>
      <c r="L16" s="67"/>
      <c r="M16" s="67"/>
      <c r="N16" s="67"/>
      <c r="O16" s="66">
        <f t="shared" si="4"/>
        <v>0</v>
      </c>
      <c r="P16" s="67"/>
      <c r="Q16" s="67"/>
      <c r="R16" s="67"/>
      <c r="S16" s="67"/>
      <c r="T16" s="67"/>
      <c r="U16" s="67"/>
      <c r="V16" s="66">
        <f t="shared" si="6"/>
        <v>0</v>
      </c>
      <c r="W16" s="67"/>
      <c r="X16" s="67"/>
      <c r="Y16" s="67"/>
      <c r="Z16" s="67"/>
      <c r="AA16" s="67"/>
      <c r="AB16" s="67"/>
      <c r="AC16" s="66">
        <f t="shared" si="1"/>
        <v>0</v>
      </c>
      <c r="AD16" s="67"/>
      <c r="AE16" s="67"/>
      <c r="AF16" s="67"/>
      <c r="AG16" s="67"/>
      <c r="AH16" s="66">
        <f t="shared" si="2"/>
        <v>0</v>
      </c>
      <c r="AI16" s="68">
        <f t="shared" si="3"/>
        <v>0</v>
      </c>
    </row>
    <row r="17" spans="1:37" ht="16.5" customHeight="1" x14ac:dyDescent="0.25">
      <c r="A17" s="56">
        <f t="shared" si="5"/>
        <v>10</v>
      </c>
      <c r="B17" s="57" t="s">
        <v>27</v>
      </c>
      <c r="C17" s="54" t="s">
        <v>26</v>
      </c>
      <c r="D17" s="67"/>
      <c r="E17" s="67"/>
      <c r="F17" s="67"/>
      <c r="G17" s="67"/>
      <c r="H17" s="66">
        <f t="shared" si="0"/>
        <v>0</v>
      </c>
      <c r="I17" s="67"/>
      <c r="J17" s="67"/>
      <c r="K17" s="67"/>
      <c r="L17" s="67"/>
      <c r="M17" s="67"/>
      <c r="N17" s="67"/>
      <c r="O17" s="66">
        <f t="shared" si="4"/>
        <v>0</v>
      </c>
      <c r="P17" s="67"/>
      <c r="Q17" s="67"/>
      <c r="R17" s="67"/>
      <c r="S17" s="67"/>
      <c r="T17" s="67"/>
      <c r="U17" s="67"/>
      <c r="V17" s="66">
        <f t="shared" si="6"/>
        <v>0</v>
      </c>
      <c r="W17" s="67"/>
      <c r="X17" s="67"/>
      <c r="Y17" s="67"/>
      <c r="Z17" s="67"/>
      <c r="AA17" s="67"/>
      <c r="AB17" s="67"/>
      <c r="AC17" s="66">
        <f t="shared" si="1"/>
        <v>0</v>
      </c>
      <c r="AD17" s="67"/>
      <c r="AE17" s="67"/>
      <c r="AF17" s="67"/>
      <c r="AG17" s="67"/>
      <c r="AH17" s="66">
        <f t="shared" si="2"/>
        <v>0</v>
      </c>
      <c r="AI17" s="68">
        <f t="shared" si="3"/>
        <v>0</v>
      </c>
    </row>
    <row r="18" spans="1:37" ht="16.5" customHeight="1" x14ac:dyDescent="0.25">
      <c r="A18" s="56">
        <f t="shared" si="5"/>
        <v>11</v>
      </c>
      <c r="B18" s="57" t="s">
        <v>8</v>
      </c>
      <c r="C18" s="54" t="s">
        <v>9</v>
      </c>
      <c r="D18" s="67"/>
      <c r="E18" s="67"/>
      <c r="F18" s="67"/>
      <c r="G18" s="67"/>
      <c r="H18" s="66">
        <f t="shared" si="0"/>
        <v>0</v>
      </c>
      <c r="I18" s="67"/>
      <c r="J18" s="67"/>
      <c r="K18" s="67"/>
      <c r="L18" s="67"/>
      <c r="M18" s="67"/>
      <c r="N18" s="67"/>
      <c r="O18" s="66">
        <f t="shared" si="4"/>
        <v>0</v>
      </c>
      <c r="P18" s="67"/>
      <c r="Q18" s="67"/>
      <c r="R18" s="67"/>
      <c r="S18" s="67"/>
      <c r="T18" s="67"/>
      <c r="U18" s="67"/>
      <c r="V18" s="66">
        <f t="shared" si="6"/>
        <v>0</v>
      </c>
      <c r="W18" s="67"/>
      <c r="X18" s="67"/>
      <c r="Y18" s="67"/>
      <c r="Z18" s="67"/>
      <c r="AA18" s="67"/>
      <c r="AB18" s="67"/>
      <c r="AC18" s="66">
        <f t="shared" si="1"/>
        <v>0</v>
      </c>
      <c r="AD18" s="67"/>
      <c r="AE18" s="67"/>
      <c r="AF18" s="67"/>
      <c r="AG18" s="67"/>
      <c r="AH18" s="66">
        <f t="shared" si="2"/>
        <v>0</v>
      </c>
      <c r="AI18" s="68">
        <f t="shared" si="3"/>
        <v>0</v>
      </c>
    </row>
    <row r="19" spans="1:37" ht="16.5" customHeight="1" x14ac:dyDescent="0.25">
      <c r="A19" s="56">
        <f t="shared" si="5"/>
        <v>12</v>
      </c>
      <c r="B19" s="57" t="s">
        <v>28</v>
      </c>
      <c r="C19" s="54" t="s">
        <v>29</v>
      </c>
      <c r="D19" s="67"/>
      <c r="E19" s="67"/>
      <c r="F19" s="67"/>
      <c r="G19" s="67"/>
      <c r="H19" s="66">
        <f t="shared" si="0"/>
        <v>0</v>
      </c>
      <c r="I19" s="67"/>
      <c r="J19" s="67"/>
      <c r="K19" s="67"/>
      <c r="L19" s="67"/>
      <c r="M19" s="67"/>
      <c r="N19" s="67"/>
      <c r="O19" s="66">
        <f t="shared" si="4"/>
        <v>0</v>
      </c>
      <c r="P19" s="67"/>
      <c r="Q19" s="67"/>
      <c r="R19" s="67"/>
      <c r="S19" s="67"/>
      <c r="T19" s="67"/>
      <c r="U19" s="67"/>
      <c r="V19" s="66">
        <f t="shared" si="6"/>
        <v>0</v>
      </c>
      <c r="W19" s="67"/>
      <c r="X19" s="67"/>
      <c r="Y19" s="67"/>
      <c r="Z19" s="67"/>
      <c r="AA19" s="67"/>
      <c r="AB19" s="67"/>
      <c r="AC19" s="66">
        <f t="shared" si="1"/>
        <v>0</v>
      </c>
      <c r="AD19" s="67"/>
      <c r="AE19" s="67"/>
      <c r="AF19" s="67"/>
      <c r="AG19" s="67"/>
      <c r="AH19" s="66">
        <f t="shared" si="2"/>
        <v>0</v>
      </c>
      <c r="AI19" s="68">
        <f t="shared" si="3"/>
        <v>0</v>
      </c>
    </row>
    <row r="20" spans="1:37" ht="16.5" customHeight="1" x14ac:dyDescent="0.25">
      <c r="A20" s="56">
        <f t="shared" si="5"/>
        <v>13</v>
      </c>
      <c r="B20" s="57" t="s">
        <v>10</v>
      </c>
      <c r="C20" s="65" t="s">
        <v>76</v>
      </c>
      <c r="D20" s="67"/>
      <c r="E20" s="67"/>
      <c r="F20" s="67"/>
      <c r="G20" s="67"/>
      <c r="H20" s="66">
        <f t="shared" si="0"/>
        <v>0</v>
      </c>
      <c r="I20" s="67"/>
      <c r="J20" s="67"/>
      <c r="K20" s="67"/>
      <c r="L20" s="67"/>
      <c r="M20" s="67"/>
      <c r="N20" s="67"/>
      <c r="O20" s="66">
        <f t="shared" si="4"/>
        <v>0</v>
      </c>
      <c r="P20" s="67"/>
      <c r="Q20" s="67"/>
      <c r="R20" s="67"/>
      <c r="S20" s="67"/>
      <c r="T20" s="67"/>
      <c r="U20" s="67"/>
      <c r="V20" s="66">
        <f t="shared" si="6"/>
        <v>0</v>
      </c>
      <c r="W20" s="67"/>
      <c r="X20" s="67"/>
      <c r="Y20" s="67"/>
      <c r="Z20" s="67"/>
      <c r="AA20" s="67"/>
      <c r="AB20" s="67"/>
      <c r="AC20" s="66">
        <f t="shared" si="1"/>
        <v>0</v>
      </c>
      <c r="AD20" s="67"/>
      <c r="AE20" s="67"/>
      <c r="AF20" s="67"/>
      <c r="AG20" s="67"/>
      <c r="AH20" s="66">
        <f t="shared" si="2"/>
        <v>0</v>
      </c>
      <c r="AI20" s="68">
        <f t="shared" si="3"/>
        <v>0</v>
      </c>
    </row>
    <row r="21" spans="1:37" ht="16.5" customHeight="1" x14ac:dyDescent="0.25">
      <c r="A21" s="56">
        <f t="shared" si="5"/>
        <v>14</v>
      </c>
      <c r="B21" s="57" t="s">
        <v>7</v>
      </c>
      <c r="C21" s="65" t="s">
        <v>76</v>
      </c>
      <c r="D21" s="67"/>
      <c r="E21" s="67"/>
      <c r="F21" s="67"/>
      <c r="G21" s="67"/>
      <c r="H21" s="66">
        <f t="shared" si="0"/>
        <v>0</v>
      </c>
      <c r="I21" s="67"/>
      <c r="J21" s="67"/>
      <c r="K21" s="67"/>
      <c r="L21" s="67"/>
      <c r="M21" s="67"/>
      <c r="N21" s="67"/>
      <c r="O21" s="66">
        <f t="shared" si="4"/>
        <v>0</v>
      </c>
      <c r="P21" s="67"/>
      <c r="Q21" s="67"/>
      <c r="R21" s="67"/>
      <c r="S21" s="67"/>
      <c r="T21" s="67"/>
      <c r="U21" s="67"/>
      <c r="V21" s="66">
        <f t="shared" si="6"/>
        <v>0</v>
      </c>
      <c r="W21" s="67"/>
      <c r="X21" s="67"/>
      <c r="Y21" s="67"/>
      <c r="Z21" s="67"/>
      <c r="AA21" s="67"/>
      <c r="AB21" s="67"/>
      <c r="AC21" s="66">
        <f t="shared" si="1"/>
        <v>0</v>
      </c>
      <c r="AD21" s="67"/>
      <c r="AE21" s="67"/>
      <c r="AF21" s="67"/>
      <c r="AG21" s="67"/>
      <c r="AH21" s="66">
        <f t="shared" si="2"/>
        <v>0</v>
      </c>
      <c r="AI21" s="68">
        <f t="shared" si="3"/>
        <v>0</v>
      </c>
    </row>
    <row r="22" spans="1:37" ht="27" customHeight="1" x14ac:dyDescent="0.25">
      <c r="A22" s="56">
        <v>15</v>
      </c>
      <c r="B22" s="105" t="s">
        <v>39</v>
      </c>
      <c r="C22" s="54" t="s">
        <v>40</v>
      </c>
      <c r="D22" s="67"/>
      <c r="E22" s="67"/>
      <c r="F22" s="67"/>
      <c r="G22" s="67"/>
      <c r="H22" s="66">
        <f t="shared" si="0"/>
        <v>0</v>
      </c>
      <c r="I22" s="67"/>
      <c r="J22" s="67"/>
      <c r="K22" s="67"/>
      <c r="L22" s="75"/>
      <c r="M22" s="76"/>
      <c r="N22" s="67"/>
      <c r="O22" s="66">
        <f>SUM(I22:N22)</f>
        <v>0</v>
      </c>
      <c r="P22" s="67"/>
      <c r="Q22" s="67"/>
      <c r="R22" s="67"/>
      <c r="S22" s="67"/>
      <c r="T22" s="67"/>
      <c r="U22" s="67"/>
      <c r="V22" s="66">
        <f>SUM(P22:U22)</f>
        <v>0</v>
      </c>
      <c r="W22" s="67"/>
      <c r="X22" s="67"/>
      <c r="Y22" s="67"/>
      <c r="Z22" s="67"/>
      <c r="AA22" s="67"/>
      <c r="AB22" s="67"/>
      <c r="AC22" s="66">
        <f t="shared" si="1"/>
        <v>0</v>
      </c>
      <c r="AD22" s="67"/>
      <c r="AE22" s="67"/>
      <c r="AF22" s="67"/>
      <c r="AG22" s="67"/>
      <c r="AH22" s="66">
        <f t="shared" si="2"/>
        <v>0</v>
      </c>
      <c r="AI22" s="68">
        <f>H22+O22+V22+AH22</f>
        <v>0</v>
      </c>
    </row>
    <row r="23" spans="1:37" ht="17.25" customHeight="1" x14ac:dyDescent="0.25">
      <c r="A23" s="271" t="s">
        <v>77</v>
      </c>
      <c r="B23" s="272"/>
      <c r="C23" s="273"/>
      <c r="D23" s="93"/>
      <c r="E23" s="93"/>
      <c r="F23" s="93"/>
      <c r="G23" s="93">
        <f t="shared" ref="G23" si="7">SUM(G8:G22)</f>
        <v>0</v>
      </c>
      <c r="H23" s="66">
        <f t="shared" si="0"/>
        <v>0</v>
      </c>
      <c r="I23" s="93">
        <f>SUM(I8:I22)</f>
        <v>0</v>
      </c>
      <c r="J23" s="93">
        <f t="shared" ref="J23:N23" si="8">SUM(J8:J22)</f>
        <v>0</v>
      </c>
      <c r="K23" s="93">
        <f t="shared" si="8"/>
        <v>0</v>
      </c>
      <c r="L23" s="93">
        <f t="shared" si="8"/>
        <v>0</v>
      </c>
      <c r="M23" s="93">
        <f t="shared" si="8"/>
        <v>0</v>
      </c>
      <c r="N23" s="93">
        <f t="shared" si="8"/>
        <v>0</v>
      </c>
      <c r="O23" s="91">
        <f t="shared" si="4"/>
        <v>0</v>
      </c>
      <c r="P23" s="93">
        <f>SUM(P8:P22)</f>
        <v>0</v>
      </c>
      <c r="Q23" s="93">
        <f t="shared" ref="Q23:U23" si="9">SUM(Q8:Q22)</f>
        <v>0</v>
      </c>
      <c r="R23" s="93">
        <f t="shared" si="9"/>
        <v>0</v>
      </c>
      <c r="S23" s="93">
        <f t="shared" si="9"/>
        <v>0</v>
      </c>
      <c r="T23" s="93">
        <f t="shared" si="9"/>
        <v>0</v>
      </c>
      <c r="U23" s="93">
        <f t="shared" si="9"/>
        <v>0</v>
      </c>
      <c r="V23" s="91">
        <f t="shared" si="6"/>
        <v>0</v>
      </c>
      <c r="W23" s="93">
        <f>SUM(W8:W22)</f>
        <v>0</v>
      </c>
      <c r="X23" s="93">
        <f>SUM(X8:X22)</f>
        <v>0</v>
      </c>
      <c r="Y23" s="93">
        <f t="shared" ref="Y23:AB23" si="10">SUM(Y8:Y22)</f>
        <v>0</v>
      </c>
      <c r="Z23" s="93">
        <f t="shared" si="10"/>
        <v>0</v>
      </c>
      <c r="AA23" s="93">
        <f t="shared" si="10"/>
        <v>0</v>
      </c>
      <c r="AB23" s="93">
        <f t="shared" si="10"/>
        <v>0</v>
      </c>
      <c r="AC23" s="91">
        <f t="shared" si="1"/>
        <v>0</v>
      </c>
      <c r="AD23" s="93">
        <f>SUM(AD8:AD22)</f>
        <v>0</v>
      </c>
      <c r="AE23" s="93"/>
      <c r="AF23" s="93"/>
      <c r="AG23" s="93">
        <f>SUM(AG8:AG22)</f>
        <v>0</v>
      </c>
      <c r="AH23" s="66">
        <f t="shared" si="2"/>
        <v>0</v>
      </c>
      <c r="AI23" s="69">
        <f>SUM(AI8:AI22)</f>
        <v>0</v>
      </c>
    </row>
    <row r="24" spans="1:37" ht="17.25" customHeight="1" x14ac:dyDescent="0.25">
      <c r="A24" s="40">
        <v>1</v>
      </c>
      <c r="B24" s="41" t="s">
        <v>19</v>
      </c>
      <c r="C24" s="38" t="s">
        <v>18</v>
      </c>
      <c r="D24" s="67"/>
      <c r="E24" s="67"/>
      <c r="F24" s="67"/>
      <c r="G24" s="67"/>
      <c r="H24" s="66">
        <f t="shared" si="0"/>
        <v>0</v>
      </c>
      <c r="I24" s="67"/>
      <c r="J24" s="67"/>
      <c r="K24" s="67"/>
      <c r="L24" s="67"/>
      <c r="M24" s="67"/>
      <c r="N24" s="67"/>
      <c r="O24" s="66">
        <f t="shared" ref="O24:O48" si="11">SUM(I24:N24)</f>
        <v>0</v>
      </c>
      <c r="P24" s="67"/>
      <c r="Q24" s="67"/>
      <c r="R24" s="67"/>
      <c r="S24" s="67"/>
      <c r="T24" s="67"/>
      <c r="U24" s="67"/>
      <c r="V24" s="66">
        <f t="shared" si="6"/>
        <v>0</v>
      </c>
      <c r="W24" s="67"/>
      <c r="X24" s="67"/>
      <c r="Y24" s="67"/>
      <c r="Z24" s="67"/>
      <c r="AA24" s="67"/>
      <c r="AB24" s="67"/>
      <c r="AC24" s="66">
        <f t="shared" si="1"/>
        <v>0</v>
      </c>
      <c r="AD24" s="67"/>
      <c r="AE24" s="67"/>
      <c r="AF24" s="67"/>
      <c r="AG24" s="67"/>
      <c r="AH24" s="66">
        <f t="shared" si="2"/>
        <v>0</v>
      </c>
      <c r="AI24" s="68">
        <f>H24+O24+V24+AC24+AH24</f>
        <v>0</v>
      </c>
    </row>
    <row r="25" spans="1:37" ht="17.25" customHeight="1" x14ac:dyDescent="0.25">
      <c r="A25" s="40">
        <f t="shared" ref="A25:A48" si="12">1+A24</f>
        <v>2</v>
      </c>
      <c r="B25" s="41" t="s">
        <v>31</v>
      </c>
      <c r="C25" s="38" t="s">
        <v>32</v>
      </c>
      <c r="D25" s="67"/>
      <c r="E25" s="67"/>
      <c r="F25" s="67"/>
      <c r="G25" s="67"/>
      <c r="H25" s="66">
        <f t="shared" si="0"/>
        <v>0</v>
      </c>
      <c r="I25" s="67"/>
      <c r="J25" s="12"/>
      <c r="K25" s="67"/>
      <c r="L25" s="12"/>
      <c r="M25" s="67"/>
      <c r="N25" s="67"/>
      <c r="O25" s="66">
        <f t="shared" si="11"/>
        <v>0</v>
      </c>
      <c r="P25" s="67"/>
      <c r="Q25" s="67"/>
      <c r="R25" s="67"/>
      <c r="S25" s="67"/>
      <c r="T25" s="67"/>
      <c r="U25" s="67"/>
      <c r="V25" s="66">
        <f t="shared" si="6"/>
        <v>0</v>
      </c>
      <c r="W25" s="67"/>
      <c r="X25" s="67"/>
      <c r="Y25" s="67"/>
      <c r="Z25" s="67"/>
      <c r="AA25" s="67"/>
      <c r="AB25" s="67"/>
      <c r="AC25" s="66">
        <f t="shared" si="1"/>
        <v>0</v>
      </c>
      <c r="AD25" s="67"/>
      <c r="AE25" s="67"/>
      <c r="AF25" s="67"/>
      <c r="AG25" s="67"/>
      <c r="AH25" s="66">
        <f t="shared" si="2"/>
        <v>0</v>
      </c>
      <c r="AI25" s="68">
        <f>H25+O25+V25+AC25+AH25</f>
        <v>0</v>
      </c>
    </row>
    <row r="26" spans="1:37" ht="17.25" customHeight="1" x14ac:dyDescent="0.25">
      <c r="A26" s="40">
        <f t="shared" si="12"/>
        <v>3</v>
      </c>
      <c r="B26" s="58" t="s">
        <v>73</v>
      </c>
      <c r="C26" s="59" t="s">
        <v>9</v>
      </c>
      <c r="D26" s="67"/>
      <c r="E26" s="67"/>
      <c r="F26" s="67"/>
      <c r="G26" s="67"/>
      <c r="H26" s="66">
        <f t="shared" si="0"/>
        <v>0</v>
      </c>
      <c r="I26" s="67"/>
      <c r="J26" s="67"/>
      <c r="K26" s="67"/>
      <c r="L26" s="67"/>
      <c r="M26" s="67"/>
      <c r="N26" s="67"/>
      <c r="O26" s="66">
        <f t="shared" si="11"/>
        <v>0</v>
      </c>
      <c r="P26" s="67"/>
      <c r="Q26" s="67"/>
      <c r="R26" s="67"/>
      <c r="S26" s="67"/>
      <c r="T26" s="67"/>
      <c r="U26" s="67"/>
      <c r="V26" s="66">
        <f t="shared" si="6"/>
        <v>0</v>
      </c>
      <c r="W26" s="67"/>
      <c r="X26" s="67"/>
      <c r="Y26" s="67"/>
      <c r="Z26" s="67"/>
      <c r="AA26" s="67"/>
      <c r="AB26" s="67"/>
      <c r="AC26" s="66">
        <f t="shared" si="1"/>
        <v>0</v>
      </c>
      <c r="AD26" s="67"/>
      <c r="AE26" s="67"/>
      <c r="AF26" s="67"/>
      <c r="AG26" s="67"/>
      <c r="AH26" s="66">
        <f t="shared" si="2"/>
        <v>0</v>
      </c>
      <c r="AI26" s="68">
        <f t="shared" ref="AI26:AI48" si="13">H26+O26+V26+AC26+AH26</f>
        <v>0</v>
      </c>
    </row>
    <row r="27" spans="1:37" ht="17.25" customHeight="1" x14ac:dyDescent="0.25">
      <c r="A27" s="40">
        <f t="shared" si="12"/>
        <v>4</v>
      </c>
      <c r="B27" s="58" t="s">
        <v>332</v>
      </c>
      <c r="C27" s="59" t="s">
        <v>32</v>
      </c>
      <c r="D27" s="67"/>
      <c r="E27" s="67"/>
      <c r="F27" s="67"/>
      <c r="G27" s="67"/>
      <c r="H27" s="66">
        <f t="shared" si="0"/>
        <v>0</v>
      </c>
      <c r="I27" s="67"/>
      <c r="J27" s="67"/>
      <c r="K27" s="67"/>
      <c r="L27" s="12"/>
      <c r="M27" s="11"/>
      <c r="N27" s="67"/>
      <c r="O27" s="66">
        <f t="shared" si="11"/>
        <v>0</v>
      </c>
      <c r="P27" s="12"/>
      <c r="Q27" s="19"/>
      <c r="R27" s="67"/>
      <c r="S27" s="67"/>
      <c r="T27" s="67"/>
      <c r="U27" s="67"/>
      <c r="V27" s="66">
        <f t="shared" si="6"/>
        <v>0</v>
      </c>
      <c r="W27" s="67"/>
      <c r="X27" s="67"/>
      <c r="Y27" s="67"/>
      <c r="Z27" s="67"/>
      <c r="AA27" s="67"/>
      <c r="AB27" s="67"/>
      <c r="AC27" s="66">
        <f t="shared" si="1"/>
        <v>0</v>
      </c>
      <c r="AD27" s="67"/>
      <c r="AE27" s="67"/>
      <c r="AF27" s="67"/>
      <c r="AG27" s="67">
        <v>115313.5</v>
      </c>
      <c r="AH27" s="66">
        <f t="shared" si="2"/>
        <v>115313.5</v>
      </c>
      <c r="AI27" s="68">
        <f t="shared" si="13"/>
        <v>115313.5</v>
      </c>
    </row>
    <row r="28" spans="1:37" ht="17.25" customHeight="1" x14ac:dyDescent="0.25">
      <c r="A28" s="40">
        <f t="shared" si="12"/>
        <v>5</v>
      </c>
      <c r="B28" s="58" t="s">
        <v>333</v>
      </c>
      <c r="C28" s="59" t="s">
        <v>32</v>
      </c>
      <c r="D28" s="67"/>
      <c r="E28" s="67"/>
      <c r="F28" s="67"/>
      <c r="G28" s="67"/>
      <c r="H28" s="66">
        <f t="shared" si="0"/>
        <v>0</v>
      </c>
      <c r="I28" s="67"/>
      <c r="J28" s="67"/>
      <c r="K28" s="67"/>
      <c r="L28" s="12"/>
      <c r="M28" s="11"/>
      <c r="N28" s="67"/>
      <c r="O28" s="66">
        <f t="shared" si="11"/>
        <v>0</v>
      </c>
      <c r="P28" s="12"/>
      <c r="Q28" s="19"/>
      <c r="R28" s="67"/>
      <c r="S28" s="67"/>
      <c r="T28" s="67"/>
      <c r="U28" s="67"/>
      <c r="V28" s="66">
        <f t="shared" si="6"/>
        <v>0</v>
      </c>
      <c r="W28" s="67"/>
      <c r="X28" s="67"/>
      <c r="Y28" s="67"/>
      <c r="Z28" s="67"/>
      <c r="AA28" s="67"/>
      <c r="AB28" s="67"/>
      <c r="AC28" s="66">
        <f t="shared" si="1"/>
        <v>0</v>
      </c>
      <c r="AD28" s="67"/>
      <c r="AE28" s="67"/>
      <c r="AF28" s="67"/>
      <c r="AG28" s="67">
        <v>5240</v>
      </c>
      <c r="AH28" s="66">
        <f t="shared" si="2"/>
        <v>5240</v>
      </c>
      <c r="AI28" s="68">
        <f t="shared" si="13"/>
        <v>5240</v>
      </c>
    </row>
    <row r="29" spans="1:37" ht="17.25" customHeight="1" x14ac:dyDescent="0.25">
      <c r="A29" s="40">
        <f t="shared" si="12"/>
        <v>6</v>
      </c>
      <c r="B29" s="58" t="s">
        <v>307</v>
      </c>
      <c r="C29" s="59" t="s">
        <v>32</v>
      </c>
      <c r="D29" s="67"/>
      <c r="E29" s="67"/>
      <c r="F29" s="67"/>
      <c r="G29" s="67"/>
      <c r="H29" s="66">
        <f t="shared" si="0"/>
        <v>0</v>
      </c>
      <c r="I29" s="12"/>
      <c r="J29" s="12"/>
      <c r="K29" s="12"/>
      <c r="L29" s="12"/>
      <c r="M29" s="11"/>
      <c r="N29" s="67"/>
      <c r="O29" s="66">
        <f t="shared" si="11"/>
        <v>0</v>
      </c>
      <c r="P29" s="67"/>
      <c r="Q29" s="19"/>
      <c r="R29" s="67"/>
      <c r="S29" s="67"/>
      <c r="T29" s="67"/>
      <c r="U29" s="67"/>
      <c r="V29" s="66">
        <f t="shared" si="6"/>
        <v>0</v>
      </c>
      <c r="W29" s="67"/>
      <c r="X29" s="67"/>
      <c r="Y29" s="67"/>
      <c r="Z29" s="12"/>
      <c r="AA29" s="67"/>
      <c r="AB29" s="67"/>
      <c r="AC29" s="66">
        <f t="shared" si="1"/>
        <v>0</v>
      </c>
      <c r="AD29" s="12"/>
      <c r="AE29" s="12"/>
      <c r="AF29" s="12"/>
      <c r="AG29" s="12">
        <v>4915</v>
      </c>
      <c r="AH29" s="66">
        <f t="shared" si="2"/>
        <v>4915</v>
      </c>
      <c r="AI29" s="68">
        <f t="shared" si="13"/>
        <v>4915</v>
      </c>
    </row>
    <row r="30" spans="1:37" ht="17.25" customHeight="1" x14ac:dyDescent="0.25">
      <c r="A30" s="40">
        <f t="shared" si="12"/>
        <v>7</v>
      </c>
      <c r="B30" s="58" t="s">
        <v>334</v>
      </c>
      <c r="C30" s="59" t="s">
        <v>32</v>
      </c>
      <c r="D30" s="67"/>
      <c r="E30" s="67"/>
      <c r="F30" s="67"/>
      <c r="G30" s="67"/>
      <c r="H30" s="66">
        <f t="shared" si="0"/>
        <v>0</v>
      </c>
      <c r="I30" s="12"/>
      <c r="J30" s="12"/>
      <c r="K30" s="12"/>
      <c r="L30" s="67"/>
      <c r="M30" s="67"/>
      <c r="N30" s="67"/>
      <c r="O30" s="66">
        <f t="shared" si="11"/>
        <v>0</v>
      </c>
      <c r="P30" s="67"/>
      <c r="Q30" s="19"/>
      <c r="R30" s="67"/>
      <c r="S30" s="67"/>
      <c r="T30" s="67"/>
      <c r="U30" s="67"/>
      <c r="V30" s="66">
        <f t="shared" si="6"/>
        <v>0</v>
      </c>
      <c r="W30" s="67"/>
      <c r="X30" s="67"/>
      <c r="Y30" s="67"/>
      <c r="Z30" s="67"/>
      <c r="AA30" s="67"/>
      <c r="AB30" s="67"/>
      <c r="AC30" s="66">
        <f t="shared" si="1"/>
        <v>0</v>
      </c>
      <c r="AD30" s="67"/>
      <c r="AE30" s="67"/>
      <c r="AF30" s="67"/>
      <c r="AG30" s="67">
        <v>4038</v>
      </c>
      <c r="AH30" s="66">
        <f t="shared" si="2"/>
        <v>4038</v>
      </c>
      <c r="AI30" s="68">
        <f t="shared" si="13"/>
        <v>4038</v>
      </c>
    </row>
    <row r="31" spans="1:37" ht="17.25" customHeight="1" x14ac:dyDescent="0.25">
      <c r="A31" s="40">
        <f t="shared" si="12"/>
        <v>8</v>
      </c>
      <c r="B31" s="58" t="s">
        <v>335</v>
      </c>
      <c r="C31" s="59" t="s">
        <v>32</v>
      </c>
      <c r="D31" s="67"/>
      <c r="E31" s="67"/>
      <c r="F31" s="67"/>
      <c r="G31" s="67"/>
      <c r="H31" s="66">
        <f t="shared" si="0"/>
        <v>0</v>
      </c>
      <c r="I31" s="12"/>
      <c r="J31" s="12"/>
      <c r="K31" s="12"/>
      <c r="L31" s="67"/>
      <c r="M31" s="67"/>
      <c r="N31" s="67"/>
      <c r="O31" s="66">
        <f t="shared" si="11"/>
        <v>0</v>
      </c>
      <c r="P31" s="67"/>
      <c r="Q31" s="19"/>
      <c r="R31" s="67"/>
      <c r="S31" s="67"/>
      <c r="T31" s="67"/>
      <c r="U31" s="67"/>
      <c r="V31" s="66">
        <f t="shared" si="6"/>
        <v>0</v>
      </c>
      <c r="W31" s="67"/>
      <c r="X31" s="67"/>
      <c r="Y31" s="67"/>
      <c r="Z31" s="67"/>
      <c r="AA31" s="67"/>
      <c r="AB31" s="67"/>
      <c r="AC31" s="66">
        <f t="shared" si="1"/>
        <v>0</v>
      </c>
      <c r="AD31" s="67"/>
      <c r="AE31" s="67"/>
      <c r="AF31" s="67"/>
      <c r="AG31" s="67">
        <v>1978</v>
      </c>
      <c r="AH31" s="66">
        <f t="shared" si="2"/>
        <v>1978</v>
      </c>
      <c r="AI31" s="68">
        <f t="shared" si="13"/>
        <v>1978</v>
      </c>
    </row>
    <row r="32" spans="1:37" ht="17.25" customHeight="1" x14ac:dyDescent="0.25">
      <c r="A32" s="40">
        <f t="shared" si="12"/>
        <v>9</v>
      </c>
      <c r="B32" s="58" t="s">
        <v>336</v>
      </c>
      <c r="C32" s="59" t="s">
        <v>32</v>
      </c>
      <c r="D32" s="67"/>
      <c r="E32" s="67"/>
      <c r="F32" s="67"/>
      <c r="G32" s="67"/>
      <c r="H32" s="66">
        <f t="shared" si="0"/>
        <v>0</v>
      </c>
      <c r="I32" s="12"/>
      <c r="J32" s="12"/>
      <c r="K32" s="12"/>
      <c r="L32" s="67"/>
      <c r="M32" s="67"/>
      <c r="N32" s="67"/>
      <c r="O32" s="66">
        <f t="shared" si="11"/>
        <v>0</v>
      </c>
      <c r="P32" s="67"/>
      <c r="Q32" s="19"/>
      <c r="R32" s="67"/>
      <c r="S32" s="67"/>
      <c r="T32" s="67"/>
      <c r="U32" s="67"/>
      <c r="V32" s="66">
        <f t="shared" si="6"/>
        <v>0</v>
      </c>
      <c r="W32" s="67"/>
      <c r="X32" s="67"/>
      <c r="Y32" s="67"/>
      <c r="Z32" s="67"/>
      <c r="AA32" s="67"/>
      <c r="AB32" s="67"/>
      <c r="AC32" s="66">
        <f t="shared" si="1"/>
        <v>0</v>
      </c>
      <c r="AD32" s="67"/>
      <c r="AE32" s="67"/>
      <c r="AF32" s="67"/>
      <c r="AG32" s="67">
        <v>2812</v>
      </c>
      <c r="AH32" s="66">
        <f t="shared" si="2"/>
        <v>2812</v>
      </c>
      <c r="AI32" s="68">
        <f t="shared" si="13"/>
        <v>2812</v>
      </c>
      <c r="AK32" s="49"/>
    </row>
    <row r="33" spans="1:35" ht="17.25" customHeight="1" x14ac:dyDescent="0.25">
      <c r="A33" s="40">
        <f t="shared" si="12"/>
        <v>10</v>
      </c>
      <c r="B33" s="58" t="s">
        <v>337</v>
      </c>
      <c r="C33" s="59" t="s">
        <v>32</v>
      </c>
      <c r="D33" s="67"/>
      <c r="E33" s="67"/>
      <c r="F33" s="67"/>
      <c r="G33" s="67"/>
      <c r="H33" s="66">
        <f t="shared" si="0"/>
        <v>0</v>
      </c>
      <c r="I33" s="12"/>
      <c r="J33" s="12"/>
      <c r="K33" s="12"/>
      <c r="L33" s="67"/>
      <c r="M33" s="67"/>
      <c r="N33" s="67"/>
      <c r="O33" s="66">
        <f t="shared" si="11"/>
        <v>0</v>
      </c>
      <c r="P33" s="67"/>
      <c r="Q33" s="19"/>
      <c r="R33" s="67"/>
      <c r="S33" s="67"/>
      <c r="T33" s="67"/>
      <c r="U33" s="67"/>
      <c r="V33" s="66">
        <f t="shared" si="6"/>
        <v>0</v>
      </c>
      <c r="W33" s="67"/>
      <c r="X33" s="67"/>
      <c r="Y33" s="67"/>
      <c r="Z33" s="67"/>
      <c r="AA33" s="67"/>
      <c r="AB33" s="67"/>
      <c r="AC33" s="66">
        <f t="shared" si="1"/>
        <v>0</v>
      </c>
      <c r="AD33" s="67"/>
      <c r="AE33" s="67"/>
      <c r="AF33" s="67"/>
      <c r="AG33" s="67"/>
      <c r="AH33" s="66">
        <f t="shared" si="2"/>
        <v>0</v>
      </c>
      <c r="AI33" s="68">
        <f t="shared" si="13"/>
        <v>0</v>
      </c>
    </row>
    <row r="34" spans="1:35" ht="17.25" customHeight="1" x14ac:dyDescent="0.25">
      <c r="A34" s="40">
        <f t="shared" si="12"/>
        <v>11</v>
      </c>
      <c r="B34" s="58" t="s">
        <v>308</v>
      </c>
      <c r="C34" s="59" t="s">
        <v>32</v>
      </c>
      <c r="D34" s="67"/>
      <c r="E34" s="67"/>
      <c r="F34" s="67"/>
      <c r="G34" s="67"/>
      <c r="H34" s="66">
        <f t="shared" si="0"/>
        <v>0</v>
      </c>
      <c r="I34" s="12"/>
      <c r="J34" s="12"/>
      <c r="K34" s="12"/>
      <c r="L34" s="67"/>
      <c r="M34" s="67"/>
      <c r="N34" s="67"/>
      <c r="O34" s="66">
        <f t="shared" si="11"/>
        <v>0</v>
      </c>
      <c r="P34" s="67"/>
      <c r="Q34" s="19"/>
      <c r="R34" s="67"/>
      <c r="S34" s="67"/>
      <c r="T34" s="67"/>
      <c r="U34" s="67"/>
      <c r="V34" s="66">
        <f t="shared" si="6"/>
        <v>0</v>
      </c>
      <c r="W34" s="67"/>
      <c r="X34" s="67"/>
      <c r="Y34" s="67"/>
      <c r="Z34" s="67"/>
      <c r="AA34" s="67"/>
      <c r="AB34" s="67"/>
      <c r="AC34" s="66">
        <f t="shared" si="1"/>
        <v>0</v>
      </c>
      <c r="AD34" s="67"/>
      <c r="AE34" s="67"/>
      <c r="AF34" s="67"/>
      <c r="AG34" s="67">
        <v>268692</v>
      </c>
      <c r="AH34" s="66">
        <f t="shared" si="2"/>
        <v>268692</v>
      </c>
      <c r="AI34" s="68">
        <f t="shared" si="13"/>
        <v>268692</v>
      </c>
    </row>
    <row r="35" spans="1:35" ht="17.25" customHeight="1" x14ac:dyDescent="0.25">
      <c r="A35" s="40">
        <f t="shared" si="12"/>
        <v>12</v>
      </c>
      <c r="B35" s="58" t="s">
        <v>309</v>
      </c>
      <c r="C35" s="59" t="s">
        <v>32</v>
      </c>
      <c r="D35" s="67"/>
      <c r="E35" s="67"/>
      <c r="F35" s="67"/>
      <c r="G35" s="67"/>
      <c r="H35" s="66">
        <f t="shared" si="0"/>
        <v>0</v>
      </c>
      <c r="I35" s="12"/>
      <c r="J35" s="12"/>
      <c r="K35" s="12"/>
      <c r="L35" s="12"/>
      <c r="M35" s="12"/>
      <c r="N35" s="12"/>
      <c r="O35" s="66">
        <f t="shared" si="11"/>
        <v>0</v>
      </c>
      <c r="P35" s="67"/>
      <c r="Q35" s="19"/>
      <c r="R35" s="67"/>
      <c r="S35" s="67"/>
      <c r="T35" s="12"/>
      <c r="U35" s="12"/>
      <c r="V35" s="66">
        <f t="shared" si="6"/>
        <v>0</v>
      </c>
      <c r="W35" s="67"/>
      <c r="X35" s="12"/>
      <c r="Y35" s="12"/>
      <c r="Z35" s="67"/>
      <c r="AA35" s="67"/>
      <c r="AB35" s="67"/>
      <c r="AC35" s="66">
        <f t="shared" si="1"/>
        <v>0</v>
      </c>
      <c r="AD35" s="67"/>
      <c r="AE35" s="67"/>
      <c r="AF35" s="67"/>
      <c r="AG35" s="67">
        <v>186627.5</v>
      </c>
      <c r="AH35" s="66">
        <f t="shared" si="2"/>
        <v>186627.5</v>
      </c>
      <c r="AI35" s="68">
        <f t="shared" si="13"/>
        <v>186627.5</v>
      </c>
    </row>
    <row r="36" spans="1:35" ht="17.25" customHeight="1" x14ac:dyDescent="0.25">
      <c r="A36" s="40">
        <f t="shared" si="12"/>
        <v>13</v>
      </c>
      <c r="B36" s="58" t="s">
        <v>330</v>
      </c>
      <c r="C36" s="59" t="s">
        <v>347</v>
      </c>
      <c r="D36" s="67"/>
      <c r="E36" s="67"/>
      <c r="F36" s="67"/>
      <c r="G36" s="67"/>
      <c r="H36" s="66">
        <f t="shared" si="0"/>
        <v>0</v>
      </c>
      <c r="I36" s="12"/>
      <c r="J36" s="12"/>
      <c r="K36" s="12"/>
      <c r="L36" s="12"/>
      <c r="M36" s="12"/>
      <c r="N36" s="12"/>
      <c r="O36" s="66">
        <f t="shared" si="11"/>
        <v>0</v>
      </c>
      <c r="P36" s="67"/>
      <c r="Q36" s="67"/>
      <c r="R36" s="67"/>
      <c r="S36" s="67"/>
      <c r="T36" s="12"/>
      <c r="U36" s="12"/>
      <c r="V36" s="66">
        <f t="shared" si="6"/>
        <v>0</v>
      </c>
      <c r="W36" s="67"/>
      <c r="X36" s="12"/>
      <c r="Y36" s="12"/>
      <c r="Z36" s="67"/>
      <c r="AA36" s="67"/>
      <c r="AB36" s="67"/>
      <c r="AC36" s="66">
        <f t="shared" si="1"/>
        <v>0</v>
      </c>
      <c r="AD36" s="67"/>
      <c r="AE36" s="67"/>
      <c r="AF36" s="67"/>
      <c r="AG36" s="67">
        <v>45000</v>
      </c>
      <c r="AH36" s="66">
        <f t="shared" si="2"/>
        <v>45000</v>
      </c>
      <c r="AI36" s="68">
        <f t="shared" si="13"/>
        <v>45000</v>
      </c>
    </row>
    <row r="37" spans="1:35" ht="17.25" customHeight="1" x14ac:dyDescent="0.25">
      <c r="A37" s="40">
        <f t="shared" si="12"/>
        <v>14</v>
      </c>
      <c r="B37" s="58" t="s">
        <v>75</v>
      </c>
      <c r="C37" s="59" t="s">
        <v>13</v>
      </c>
      <c r="D37" s="67"/>
      <c r="E37" s="67"/>
      <c r="F37" s="67"/>
      <c r="G37" s="67"/>
      <c r="H37" s="66">
        <f t="shared" si="0"/>
        <v>0</v>
      </c>
      <c r="I37" s="12"/>
      <c r="J37" s="12"/>
      <c r="K37" s="12"/>
      <c r="L37" s="12"/>
      <c r="M37" s="12"/>
      <c r="N37" s="12"/>
      <c r="O37" s="66">
        <f t="shared" si="11"/>
        <v>0</v>
      </c>
      <c r="P37" s="67"/>
      <c r="Q37" s="67"/>
      <c r="R37" s="67"/>
      <c r="S37" s="67"/>
      <c r="T37" s="12"/>
      <c r="U37" s="12"/>
      <c r="V37" s="66">
        <f t="shared" si="6"/>
        <v>0</v>
      </c>
      <c r="W37" s="12"/>
      <c r="X37" s="11"/>
      <c r="Y37" s="12"/>
      <c r="Z37" s="67"/>
      <c r="AA37" s="67"/>
      <c r="AB37" s="67"/>
      <c r="AC37" s="66">
        <f t="shared" si="1"/>
        <v>0</v>
      </c>
      <c r="AD37" s="67"/>
      <c r="AE37" s="67"/>
      <c r="AF37" s="67"/>
      <c r="AG37" s="67"/>
      <c r="AH37" s="66">
        <f t="shared" si="2"/>
        <v>0</v>
      </c>
      <c r="AI37" s="68">
        <f t="shared" si="13"/>
        <v>0</v>
      </c>
    </row>
    <row r="38" spans="1:35" ht="19.5" customHeight="1" x14ac:dyDescent="0.25">
      <c r="A38" s="40">
        <f t="shared" si="12"/>
        <v>15</v>
      </c>
      <c r="B38" s="64" t="s">
        <v>331</v>
      </c>
      <c r="C38" s="59" t="s">
        <v>26</v>
      </c>
      <c r="D38" s="67"/>
      <c r="E38" s="67"/>
      <c r="F38" s="67"/>
      <c r="G38" s="67"/>
      <c r="H38" s="66"/>
      <c r="I38" s="12"/>
      <c r="J38" s="12"/>
      <c r="K38" s="12"/>
      <c r="L38" s="12"/>
      <c r="M38" s="12"/>
      <c r="N38" s="12"/>
      <c r="O38" s="66"/>
      <c r="P38" s="67"/>
      <c r="Q38" s="67"/>
      <c r="R38" s="67"/>
      <c r="S38" s="67"/>
      <c r="T38" s="12"/>
      <c r="U38" s="12"/>
      <c r="V38" s="66"/>
      <c r="W38" s="12"/>
      <c r="X38" s="11"/>
      <c r="Y38" s="12"/>
      <c r="Z38" s="67"/>
      <c r="AA38" s="67"/>
      <c r="AB38" s="67"/>
      <c r="AC38" s="66"/>
      <c r="AD38" s="67"/>
      <c r="AE38" s="67"/>
      <c r="AF38" s="67"/>
      <c r="AG38" s="67">
        <v>123529.5</v>
      </c>
      <c r="AH38" s="66">
        <f t="shared" si="2"/>
        <v>123529.5</v>
      </c>
      <c r="AI38" s="68">
        <f t="shared" si="13"/>
        <v>123529.5</v>
      </c>
    </row>
    <row r="39" spans="1:35" ht="17.25" customHeight="1" x14ac:dyDescent="0.25">
      <c r="A39" s="40">
        <f t="shared" si="12"/>
        <v>16</v>
      </c>
      <c r="B39" s="58" t="s">
        <v>107</v>
      </c>
      <c r="C39" s="59" t="s">
        <v>32</v>
      </c>
      <c r="D39" s="67"/>
      <c r="E39" s="67"/>
      <c r="F39" s="67"/>
      <c r="G39" s="67"/>
      <c r="H39" s="66"/>
      <c r="I39" s="12"/>
      <c r="J39" s="12"/>
      <c r="K39" s="12"/>
      <c r="L39" s="12"/>
      <c r="M39" s="12"/>
      <c r="N39" s="12"/>
      <c r="O39" s="66"/>
      <c r="P39" s="67"/>
      <c r="Q39" s="67"/>
      <c r="R39" s="67"/>
      <c r="S39" s="67"/>
      <c r="T39" s="12"/>
      <c r="U39" s="12"/>
      <c r="V39" s="66"/>
      <c r="W39" s="12"/>
      <c r="X39" s="11"/>
      <c r="Y39" s="12"/>
      <c r="Z39" s="67"/>
      <c r="AA39" s="67"/>
      <c r="AB39" s="67"/>
      <c r="AC39" s="66"/>
      <c r="AD39" s="67"/>
      <c r="AE39" s="67"/>
      <c r="AF39" s="67"/>
      <c r="AG39" s="67"/>
      <c r="AH39" s="66">
        <f>SUM(AD39:AG39)</f>
        <v>0</v>
      </c>
      <c r="AI39" s="68">
        <f t="shared" si="13"/>
        <v>0</v>
      </c>
    </row>
    <row r="40" spans="1:35" ht="17.25" customHeight="1" x14ac:dyDescent="0.25">
      <c r="A40" s="40">
        <f t="shared" si="12"/>
        <v>17</v>
      </c>
      <c r="B40" s="58" t="s">
        <v>110</v>
      </c>
      <c r="C40" s="59" t="s">
        <v>32</v>
      </c>
      <c r="D40" s="67"/>
      <c r="E40" s="67"/>
      <c r="F40" s="67"/>
      <c r="G40" s="67"/>
      <c r="H40" s="66"/>
      <c r="I40" s="12"/>
      <c r="J40" s="12"/>
      <c r="K40" s="12"/>
      <c r="L40" s="12"/>
      <c r="M40" s="12"/>
      <c r="N40" s="12"/>
      <c r="O40" s="66"/>
      <c r="P40" s="67"/>
      <c r="Q40" s="67"/>
      <c r="R40" s="67"/>
      <c r="S40" s="67"/>
      <c r="T40" s="12"/>
      <c r="U40" s="12"/>
      <c r="V40" s="66"/>
      <c r="W40" s="12"/>
      <c r="X40" s="11"/>
      <c r="Y40" s="12"/>
      <c r="Z40" s="67"/>
      <c r="AA40" s="67"/>
      <c r="AB40" s="67"/>
      <c r="AC40" s="66"/>
      <c r="AD40" s="67"/>
      <c r="AE40" s="67"/>
      <c r="AF40" s="67"/>
      <c r="AG40" s="67"/>
      <c r="AH40" s="66">
        <f t="shared" ref="AH40:AH47" si="14">SUM(AD40:AG40)</f>
        <v>0</v>
      </c>
      <c r="AI40" s="68">
        <f t="shared" si="13"/>
        <v>0</v>
      </c>
    </row>
    <row r="41" spans="1:35" ht="17.25" customHeight="1" x14ac:dyDescent="0.25">
      <c r="A41" s="40">
        <f t="shared" si="12"/>
        <v>18</v>
      </c>
      <c r="B41" s="58" t="s">
        <v>98</v>
      </c>
      <c r="C41" s="59" t="s">
        <v>88</v>
      </c>
      <c r="D41" s="67"/>
      <c r="E41" s="67"/>
      <c r="F41" s="67"/>
      <c r="G41" s="67"/>
      <c r="H41" s="66"/>
      <c r="I41" s="12"/>
      <c r="J41" s="12"/>
      <c r="K41" s="12"/>
      <c r="L41" s="12"/>
      <c r="M41" s="12"/>
      <c r="N41" s="12"/>
      <c r="O41" s="66"/>
      <c r="P41" s="67"/>
      <c r="Q41" s="67"/>
      <c r="R41" s="67"/>
      <c r="S41" s="67"/>
      <c r="T41" s="12"/>
      <c r="U41" s="12"/>
      <c r="V41" s="66"/>
      <c r="W41" s="12"/>
      <c r="X41" s="11"/>
      <c r="Y41" s="12"/>
      <c r="Z41" s="67"/>
      <c r="AA41" s="67"/>
      <c r="AB41" s="67"/>
      <c r="AC41" s="66"/>
      <c r="AD41" s="67"/>
      <c r="AE41" s="67"/>
      <c r="AF41" s="67"/>
      <c r="AG41" s="67"/>
      <c r="AH41" s="66">
        <f t="shared" si="14"/>
        <v>0</v>
      </c>
      <c r="AI41" s="68">
        <f t="shared" si="13"/>
        <v>0</v>
      </c>
    </row>
    <row r="42" spans="1:35" ht="17.25" customHeight="1" x14ac:dyDescent="0.25">
      <c r="A42" s="40">
        <f t="shared" si="12"/>
        <v>19</v>
      </c>
      <c r="B42" s="58" t="s">
        <v>111</v>
      </c>
      <c r="C42" s="59" t="s">
        <v>88</v>
      </c>
      <c r="D42" s="67"/>
      <c r="E42" s="67"/>
      <c r="F42" s="67"/>
      <c r="G42" s="67"/>
      <c r="H42" s="66"/>
      <c r="I42" s="12"/>
      <c r="J42" s="12"/>
      <c r="K42" s="12"/>
      <c r="L42" s="12"/>
      <c r="M42" s="12"/>
      <c r="N42" s="12"/>
      <c r="O42" s="66"/>
      <c r="P42" s="67"/>
      <c r="Q42" s="67"/>
      <c r="R42" s="67"/>
      <c r="S42" s="67"/>
      <c r="T42" s="12"/>
      <c r="U42" s="12"/>
      <c r="V42" s="66"/>
      <c r="W42" s="12"/>
      <c r="X42" s="11"/>
      <c r="Y42" s="12"/>
      <c r="Z42" s="67"/>
      <c r="AA42" s="67"/>
      <c r="AB42" s="67"/>
      <c r="AC42" s="66"/>
      <c r="AD42" s="67"/>
      <c r="AE42" s="67"/>
      <c r="AF42" s="67"/>
      <c r="AG42" s="67"/>
      <c r="AH42" s="66">
        <f t="shared" si="14"/>
        <v>0</v>
      </c>
      <c r="AI42" s="68">
        <f t="shared" si="13"/>
        <v>0</v>
      </c>
    </row>
    <row r="43" spans="1:35" ht="17.25" customHeight="1" x14ac:dyDescent="0.25">
      <c r="A43" s="40">
        <f t="shared" si="12"/>
        <v>20</v>
      </c>
      <c r="B43" s="58" t="s">
        <v>166</v>
      </c>
      <c r="C43" s="59" t="s">
        <v>16</v>
      </c>
      <c r="D43" s="67"/>
      <c r="E43" s="67"/>
      <c r="F43" s="67"/>
      <c r="G43" s="67"/>
      <c r="H43" s="66"/>
      <c r="I43" s="12"/>
      <c r="J43" s="12"/>
      <c r="K43" s="12"/>
      <c r="L43" s="12"/>
      <c r="M43" s="12"/>
      <c r="N43" s="12"/>
      <c r="O43" s="66"/>
      <c r="P43" s="67"/>
      <c r="Q43" s="67"/>
      <c r="R43" s="67"/>
      <c r="S43" s="67"/>
      <c r="T43" s="12"/>
      <c r="U43" s="12"/>
      <c r="V43" s="66"/>
      <c r="W43" s="67"/>
      <c r="X43" s="12"/>
      <c r="Y43" s="11"/>
      <c r="Z43" s="67"/>
      <c r="AA43" s="67"/>
      <c r="AB43" s="67"/>
      <c r="AC43" s="66"/>
      <c r="AD43" s="67"/>
      <c r="AE43" s="67"/>
      <c r="AF43" s="67"/>
      <c r="AG43" s="67">
        <v>119774</v>
      </c>
      <c r="AH43" s="66">
        <f t="shared" si="14"/>
        <v>119774</v>
      </c>
      <c r="AI43" s="68">
        <f t="shared" si="13"/>
        <v>119774</v>
      </c>
    </row>
    <row r="44" spans="1:35" ht="30.75" customHeight="1" x14ac:dyDescent="0.25">
      <c r="A44" s="40">
        <f t="shared" si="12"/>
        <v>21</v>
      </c>
      <c r="B44" s="58" t="s">
        <v>310</v>
      </c>
      <c r="C44" s="59" t="s">
        <v>270</v>
      </c>
      <c r="D44" s="67"/>
      <c r="E44" s="67"/>
      <c r="F44" s="67"/>
      <c r="G44" s="67"/>
      <c r="H44" s="66"/>
      <c r="I44" s="12"/>
      <c r="J44" s="12"/>
      <c r="K44" s="12"/>
      <c r="L44" s="12"/>
      <c r="M44" s="12"/>
      <c r="N44" s="12"/>
      <c r="O44" s="66"/>
      <c r="P44" s="67"/>
      <c r="Q44" s="67"/>
      <c r="R44" s="67"/>
      <c r="S44" s="67"/>
      <c r="T44" s="12"/>
      <c r="U44" s="12"/>
      <c r="V44" s="66"/>
      <c r="W44" s="67"/>
      <c r="X44" s="12"/>
      <c r="Y44" s="11"/>
      <c r="Z44" s="67"/>
      <c r="AA44" s="67"/>
      <c r="AB44" s="67"/>
      <c r="AC44" s="66"/>
      <c r="AD44" s="67"/>
      <c r="AE44" s="67"/>
      <c r="AF44" s="67"/>
      <c r="AG44" s="67">
        <v>54712</v>
      </c>
      <c r="AH44" s="66">
        <f t="shared" si="14"/>
        <v>54712</v>
      </c>
      <c r="AI44" s="68">
        <f t="shared" si="13"/>
        <v>54712</v>
      </c>
    </row>
    <row r="45" spans="1:35" ht="17.25" hidden="1" customHeight="1" x14ac:dyDescent="0.25">
      <c r="A45" s="40">
        <f t="shared" si="12"/>
        <v>22</v>
      </c>
      <c r="B45" s="58"/>
      <c r="C45" s="59"/>
      <c r="D45" s="67"/>
      <c r="E45" s="67"/>
      <c r="F45" s="67"/>
      <c r="G45" s="67"/>
      <c r="H45" s="66"/>
      <c r="I45" s="12"/>
      <c r="J45" s="12"/>
      <c r="K45" s="12"/>
      <c r="L45" s="12"/>
      <c r="M45" s="12"/>
      <c r="N45" s="12"/>
      <c r="O45" s="66"/>
      <c r="P45" s="67"/>
      <c r="Q45" s="67"/>
      <c r="R45" s="67"/>
      <c r="S45" s="67"/>
      <c r="T45" s="12"/>
      <c r="U45" s="12"/>
      <c r="V45" s="66"/>
      <c r="W45" s="67"/>
      <c r="X45" s="12"/>
      <c r="Y45" s="11"/>
      <c r="Z45" s="67"/>
      <c r="AA45" s="67"/>
      <c r="AB45" s="67"/>
      <c r="AC45" s="66"/>
      <c r="AD45" s="67"/>
      <c r="AE45" s="67"/>
      <c r="AF45" s="67"/>
      <c r="AG45" s="67"/>
      <c r="AH45" s="66">
        <f t="shared" si="14"/>
        <v>0</v>
      </c>
      <c r="AI45" s="68">
        <f t="shared" si="13"/>
        <v>0</v>
      </c>
    </row>
    <row r="46" spans="1:35" ht="17.25" hidden="1" customHeight="1" x14ac:dyDescent="0.25">
      <c r="A46" s="40">
        <f t="shared" si="12"/>
        <v>23</v>
      </c>
      <c r="B46" s="58"/>
      <c r="C46" s="59"/>
      <c r="D46" s="67"/>
      <c r="E46" s="67"/>
      <c r="F46" s="67"/>
      <c r="G46" s="67"/>
      <c r="H46" s="66"/>
      <c r="I46" s="12"/>
      <c r="J46" s="12"/>
      <c r="K46" s="12"/>
      <c r="L46" s="12"/>
      <c r="M46" s="12"/>
      <c r="N46" s="12"/>
      <c r="O46" s="66"/>
      <c r="P46" s="67"/>
      <c r="Q46" s="67"/>
      <c r="R46" s="67"/>
      <c r="S46" s="67"/>
      <c r="T46" s="12"/>
      <c r="U46" s="12"/>
      <c r="V46" s="66"/>
      <c r="W46" s="67"/>
      <c r="X46" s="12"/>
      <c r="Y46" s="11"/>
      <c r="Z46" s="67"/>
      <c r="AA46" s="67"/>
      <c r="AB46" s="67"/>
      <c r="AC46" s="66"/>
      <c r="AD46" s="67"/>
      <c r="AE46" s="67"/>
      <c r="AF46" s="67"/>
      <c r="AG46" s="67"/>
      <c r="AH46" s="66">
        <f t="shared" si="14"/>
        <v>0</v>
      </c>
      <c r="AI46" s="68">
        <f t="shared" si="13"/>
        <v>0</v>
      </c>
    </row>
    <row r="47" spans="1:35" ht="17.25" hidden="1" customHeight="1" x14ac:dyDescent="0.25">
      <c r="A47" s="40">
        <f t="shared" si="12"/>
        <v>24</v>
      </c>
      <c r="B47" s="58"/>
      <c r="C47" s="59"/>
      <c r="D47" s="67"/>
      <c r="E47" s="67"/>
      <c r="F47" s="67"/>
      <c r="G47" s="67"/>
      <c r="H47" s="66">
        <f t="shared" si="0"/>
        <v>0</v>
      </c>
      <c r="I47" s="12"/>
      <c r="J47" s="12"/>
      <c r="K47" s="12"/>
      <c r="L47" s="12"/>
      <c r="M47" s="12"/>
      <c r="N47" s="12"/>
      <c r="O47" s="66">
        <f t="shared" si="11"/>
        <v>0</v>
      </c>
      <c r="P47" s="67"/>
      <c r="Q47" s="67"/>
      <c r="R47" s="67"/>
      <c r="S47" s="67"/>
      <c r="T47" s="12"/>
      <c r="U47" s="12"/>
      <c r="V47" s="66">
        <f t="shared" si="6"/>
        <v>0</v>
      </c>
      <c r="W47" s="67"/>
      <c r="X47" s="12"/>
      <c r="Y47" s="11"/>
      <c r="Z47" s="67"/>
      <c r="AA47" s="67"/>
      <c r="AB47" s="67"/>
      <c r="AC47" s="66">
        <f t="shared" si="1"/>
        <v>0</v>
      </c>
      <c r="AD47" s="67"/>
      <c r="AE47" s="67"/>
      <c r="AF47" s="67"/>
      <c r="AG47" s="67"/>
      <c r="AH47" s="66">
        <f t="shared" si="14"/>
        <v>0</v>
      </c>
      <c r="AI47" s="68">
        <f t="shared" si="13"/>
        <v>0</v>
      </c>
    </row>
    <row r="48" spans="1:35" ht="17.25" customHeight="1" x14ac:dyDescent="0.25">
      <c r="A48" s="40">
        <f t="shared" si="12"/>
        <v>25</v>
      </c>
      <c r="B48" s="58" t="s">
        <v>184</v>
      </c>
      <c r="C48" s="59" t="s">
        <v>32</v>
      </c>
      <c r="D48" s="67"/>
      <c r="E48" s="67"/>
      <c r="F48" s="67"/>
      <c r="G48" s="67"/>
      <c r="H48" s="66">
        <f t="shared" si="0"/>
        <v>0</v>
      </c>
      <c r="I48" s="12"/>
      <c r="J48" s="12"/>
      <c r="K48" s="12"/>
      <c r="L48" s="12"/>
      <c r="M48" s="12"/>
      <c r="N48" s="12"/>
      <c r="O48" s="66">
        <f t="shared" si="11"/>
        <v>0</v>
      </c>
      <c r="P48" s="67"/>
      <c r="Q48" s="67"/>
      <c r="R48" s="67"/>
      <c r="S48" s="67"/>
      <c r="T48" s="67"/>
      <c r="U48" s="67"/>
      <c r="V48" s="66">
        <f t="shared" si="6"/>
        <v>0</v>
      </c>
      <c r="W48" s="67"/>
      <c r="X48" s="67"/>
      <c r="Y48" s="67"/>
      <c r="Z48" s="67"/>
      <c r="AA48" s="67"/>
      <c r="AB48" s="67"/>
      <c r="AC48" s="66">
        <f t="shared" si="1"/>
        <v>0</v>
      </c>
      <c r="AD48" s="67"/>
      <c r="AE48" s="67"/>
      <c r="AF48" s="67"/>
      <c r="AG48" s="67">
        <v>19091</v>
      </c>
      <c r="AH48" s="66">
        <f t="shared" si="2"/>
        <v>19091</v>
      </c>
      <c r="AI48" s="68">
        <f t="shared" si="13"/>
        <v>19091</v>
      </c>
    </row>
    <row r="49" spans="1:37" ht="16.5" thickBot="1" x14ac:dyDescent="0.3">
      <c r="A49" s="274" t="s">
        <v>79</v>
      </c>
      <c r="B49" s="274"/>
      <c r="C49" s="274"/>
      <c r="D49" s="92"/>
      <c r="E49" s="92"/>
      <c r="F49" s="92"/>
      <c r="G49" s="92">
        <f>SUM(G24:G48)</f>
        <v>0</v>
      </c>
      <c r="H49" s="91">
        <f t="shared" si="0"/>
        <v>0</v>
      </c>
      <c r="I49" s="92">
        <f t="shared" ref="I49:N49" si="15">SUM(I24:I48)</f>
        <v>0</v>
      </c>
      <c r="J49" s="92">
        <f t="shared" si="15"/>
        <v>0</v>
      </c>
      <c r="K49" s="92">
        <f t="shared" si="15"/>
        <v>0</v>
      </c>
      <c r="L49" s="92">
        <f t="shared" si="15"/>
        <v>0</v>
      </c>
      <c r="M49" s="92">
        <f t="shared" si="15"/>
        <v>0</v>
      </c>
      <c r="N49" s="92">
        <f t="shared" si="15"/>
        <v>0</v>
      </c>
      <c r="O49" s="91">
        <f>SUM(I49:N49)</f>
        <v>0</v>
      </c>
      <c r="P49" s="92">
        <f t="shared" ref="P49:U49" si="16">SUM(P24:P48)</f>
        <v>0</v>
      </c>
      <c r="Q49" s="92">
        <f t="shared" si="16"/>
        <v>0</v>
      </c>
      <c r="R49" s="92">
        <f t="shared" si="16"/>
        <v>0</v>
      </c>
      <c r="S49" s="92">
        <f t="shared" si="16"/>
        <v>0</v>
      </c>
      <c r="T49" s="92">
        <f t="shared" si="16"/>
        <v>0</v>
      </c>
      <c r="U49" s="92">
        <f t="shared" si="16"/>
        <v>0</v>
      </c>
      <c r="V49" s="91">
        <f>SUM(P49:U49)</f>
        <v>0</v>
      </c>
      <c r="W49" s="92">
        <f t="shared" ref="W49:AB49" si="17">SUM(W24:W48)</f>
        <v>0</v>
      </c>
      <c r="X49" s="92">
        <f t="shared" si="17"/>
        <v>0</v>
      </c>
      <c r="Y49" s="92">
        <f t="shared" si="17"/>
        <v>0</v>
      </c>
      <c r="Z49" s="92">
        <f t="shared" si="17"/>
        <v>0</v>
      </c>
      <c r="AA49" s="92">
        <f t="shared" si="17"/>
        <v>0</v>
      </c>
      <c r="AB49" s="92">
        <f t="shared" si="17"/>
        <v>0</v>
      </c>
      <c r="AC49" s="91">
        <f t="shared" si="1"/>
        <v>0</v>
      </c>
      <c r="AD49" s="92">
        <f>SUM(AD24:AD48)</f>
        <v>0</v>
      </c>
      <c r="AE49" s="92">
        <f>SUM(AE24:AE48)</f>
        <v>0</v>
      </c>
      <c r="AF49" s="92">
        <f>SUM(AF24:AF48)</f>
        <v>0</v>
      </c>
      <c r="AG49" s="92">
        <f>SUM(AG24:AG48)</f>
        <v>951722.5</v>
      </c>
      <c r="AH49" s="66">
        <f>SUM(AD49:AG49)</f>
        <v>951722.5</v>
      </c>
      <c r="AI49" s="70">
        <f>SUM(AI24:AI48)</f>
        <v>951722.5</v>
      </c>
    </row>
    <row r="50" spans="1:37" ht="29.25" customHeight="1" thickTop="1" x14ac:dyDescent="0.25">
      <c r="A50" s="269" t="s">
        <v>78</v>
      </c>
      <c r="B50" s="269"/>
      <c r="C50" s="269"/>
      <c r="D50" s="71">
        <f>+D23+D49</f>
        <v>0</v>
      </c>
      <c r="E50" s="71">
        <f>+E23+E49</f>
        <v>0</v>
      </c>
      <c r="F50" s="71">
        <f>+F23+F49</f>
        <v>0</v>
      </c>
      <c r="G50" s="71">
        <f>+G23+G49</f>
        <v>0</v>
      </c>
      <c r="H50" s="66">
        <f t="shared" si="0"/>
        <v>0</v>
      </c>
      <c r="I50" s="71">
        <f t="shared" ref="I50:N50" si="18">+I23+I49</f>
        <v>0</v>
      </c>
      <c r="J50" s="71">
        <f t="shared" si="18"/>
        <v>0</v>
      </c>
      <c r="K50" s="71">
        <f t="shared" si="18"/>
        <v>0</v>
      </c>
      <c r="L50" s="71">
        <f t="shared" si="18"/>
        <v>0</v>
      </c>
      <c r="M50" s="71">
        <f t="shared" si="18"/>
        <v>0</v>
      </c>
      <c r="N50" s="71">
        <f t="shared" si="18"/>
        <v>0</v>
      </c>
      <c r="O50" s="66">
        <f t="shared" si="4"/>
        <v>0</v>
      </c>
      <c r="P50" s="71">
        <f t="shared" ref="P50:U50" si="19">+P23+P49</f>
        <v>0</v>
      </c>
      <c r="Q50" s="71">
        <f t="shared" si="19"/>
        <v>0</v>
      </c>
      <c r="R50" s="71">
        <f t="shared" si="19"/>
        <v>0</v>
      </c>
      <c r="S50" s="71">
        <f t="shared" si="19"/>
        <v>0</v>
      </c>
      <c r="T50" s="71">
        <f t="shared" si="19"/>
        <v>0</v>
      </c>
      <c r="U50" s="71">
        <f t="shared" si="19"/>
        <v>0</v>
      </c>
      <c r="V50" s="66">
        <f>SUM(P50:U50)</f>
        <v>0</v>
      </c>
      <c r="W50" s="71">
        <f t="shared" ref="W50:AB50" si="20">+W23+W49</f>
        <v>0</v>
      </c>
      <c r="X50" s="71">
        <f t="shared" si="20"/>
        <v>0</v>
      </c>
      <c r="Y50" s="71">
        <f t="shared" si="20"/>
        <v>0</v>
      </c>
      <c r="Z50" s="71">
        <f t="shared" si="20"/>
        <v>0</v>
      </c>
      <c r="AA50" s="71">
        <f t="shared" si="20"/>
        <v>0</v>
      </c>
      <c r="AB50" s="71">
        <f t="shared" si="20"/>
        <v>0</v>
      </c>
      <c r="AC50" s="66">
        <f t="shared" si="1"/>
        <v>0</v>
      </c>
      <c r="AD50" s="71">
        <f>+AD23+AD49</f>
        <v>0</v>
      </c>
      <c r="AE50" s="71"/>
      <c r="AF50" s="71"/>
      <c r="AG50" s="71"/>
      <c r="AH50" s="66">
        <f>SUM(AD50:AG50)</f>
        <v>0</v>
      </c>
      <c r="AI50" s="71">
        <f>SUM(AI49,AI23)</f>
        <v>951722.5</v>
      </c>
    </row>
    <row r="51" spans="1:37" x14ac:dyDescent="0.25">
      <c r="A51" s="37"/>
      <c r="B51" s="33"/>
      <c r="C51" s="33"/>
      <c r="AK51" s="49"/>
    </row>
    <row r="52" spans="1:37" x14ac:dyDescent="0.25">
      <c r="A52" s="37"/>
      <c r="B52" s="34"/>
      <c r="C52" s="34"/>
      <c r="AI52" s="49"/>
    </row>
    <row r="53" spans="1:37" x14ac:dyDescent="0.25">
      <c r="A53" s="37"/>
      <c r="B53" s="34"/>
      <c r="C53" s="34"/>
      <c r="M53" s="49"/>
      <c r="N53" s="100"/>
    </row>
    <row r="54" spans="1:37" x14ac:dyDescent="0.25">
      <c r="M54" s="49"/>
      <c r="N54" s="100"/>
      <c r="AI54" s="49"/>
      <c r="AK54" s="49"/>
    </row>
    <row r="55" spans="1:37" x14ac:dyDescent="0.25">
      <c r="M55" s="49"/>
      <c r="N55" s="101"/>
    </row>
    <row r="56" spans="1:37" x14ac:dyDescent="0.25">
      <c r="M56" s="49"/>
      <c r="N56" s="101"/>
    </row>
    <row r="57" spans="1:37" x14ac:dyDescent="0.25">
      <c r="M57" s="49"/>
      <c r="N57" s="101"/>
    </row>
  </sheetData>
  <mergeCells count="7">
    <mergeCell ref="A50:C50"/>
    <mergeCell ref="A6:A7"/>
    <mergeCell ref="B6:B7"/>
    <mergeCell ref="C6:C7"/>
    <mergeCell ref="AI6:AI7"/>
    <mergeCell ref="A23:C23"/>
    <mergeCell ref="A49:C49"/>
  </mergeCells>
  <pageMargins left="0.7" right="0.7" top="0.75" bottom="0.75" header="0.3" footer="0.3"/>
  <pageSetup paperSize="9" scale="24" orientation="landscape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8D32-76DC-4E34-B466-4F576D7A406E}">
  <sheetPr codeName="Hoja24">
    <pageSetUpPr fitToPage="1"/>
  </sheetPr>
  <dimension ref="A1:AK57"/>
  <sheetViews>
    <sheetView topLeftCell="A4" zoomScale="90" zoomScaleNormal="90" workbookViewId="0">
      <pane xSplit="3" ySplit="4" topLeftCell="D39" activePane="bottomRight" state="frozen"/>
      <selection activeCell="F71" sqref="F71"/>
      <selection pane="topRight" activeCell="F71" sqref="F71"/>
      <selection pane="bottomLeft" activeCell="F71" sqref="F71"/>
      <selection pane="bottomRight" activeCell="B52" sqref="B52"/>
    </sheetView>
  </sheetViews>
  <sheetFormatPr baseColWidth="10" defaultColWidth="11.42578125" defaultRowHeight="15.75" x14ac:dyDescent="0.25"/>
  <cols>
    <col min="1" max="1" width="3.5703125" style="2" customWidth="1"/>
    <col min="2" max="2" width="44.5703125" style="1" customWidth="1"/>
    <col min="3" max="3" width="13.140625" style="1" customWidth="1"/>
    <col min="4" max="29" width="15.140625" style="1" hidden="1" customWidth="1"/>
    <col min="30" max="32" width="15.28515625" style="1" hidden="1" customWidth="1"/>
    <col min="33" max="33" width="15.28515625" style="1" customWidth="1"/>
    <col min="34" max="34" width="15.140625" style="1" customWidth="1"/>
    <col min="35" max="35" width="18.140625" style="1" customWidth="1"/>
    <col min="36" max="36" width="11.42578125" style="1"/>
    <col min="37" max="37" width="12.42578125" style="1" bestFit="1" customWidth="1"/>
    <col min="38" max="16384" width="11.42578125" style="1"/>
  </cols>
  <sheetData>
    <row r="1" spans="1:35" ht="15" customHeight="1" x14ac:dyDescent="0.25">
      <c r="B1" s="30"/>
      <c r="C1" s="31"/>
    </row>
    <row r="2" spans="1:35" ht="15" customHeight="1" x14ac:dyDescent="0.25">
      <c r="B2" s="30"/>
      <c r="C2" s="31"/>
    </row>
    <row r="3" spans="1:35" ht="18" x14ac:dyDescent="0.25">
      <c r="A3" s="90" t="s">
        <v>68</v>
      </c>
      <c r="B3" s="90"/>
      <c r="C3" s="90"/>
    </row>
    <row r="4" spans="1:35" ht="18" x14ac:dyDescent="0.25">
      <c r="A4" s="90" t="s">
        <v>362</v>
      </c>
      <c r="B4" s="90"/>
      <c r="C4" s="90"/>
    </row>
    <row r="5" spans="1:35" ht="20.25" customHeight="1" x14ac:dyDescent="0.25">
      <c r="A5" s="111" t="s">
        <v>361</v>
      </c>
      <c r="B5" s="31"/>
      <c r="C5" s="31"/>
    </row>
    <row r="6" spans="1:35" ht="20.25" customHeight="1" x14ac:dyDescent="0.25">
      <c r="A6" s="270" t="s">
        <v>64</v>
      </c>
      <c r="B6" s="270" t="s">
        <v>1</v>
      </c>
      <c r="C6" s="270" t="s">
        <v>2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9"/>
      <c r="AD6" s="88"/>
      <c r="AE6" s="88"/>
      <c r="AF6" s="88"/>
      <c r="AG6" s="88"/>
      <c r="AH6" s="89"/>
      <c r="AI6" s="270" t="s">
        <v>80</v>
      </c>
    </row>
    <row r="7" spans="1:35" s="32" customFormat="1" ht="17.25" customHeight="1" x14ac:dyDescent="0.25">
      <c r="A7" s="270"/>
      <c r="B7" s="270"/>
      <c r="C7" s="270"/>
      <c r="D7" s="62">
        <v>1</v>
      </c>
      <c r="E7" s="62">
        <v>2</v>
      </c>
      <c r="F7" s="62">
        <v>3</v>
      </c>
      <c r="G7" s="62">
        <v>4</v>
      </c>
      <c r="H7" s="99" t="s">
        <v>81</v>
      </c>
      <c r="I7" s="62">
        <v>6</v>
      </c>
      <c r="J7" s="62">
        <v>7</v>
      </c>
      <c r="K7" s="62">
        <v>8</v>
      </c>
      <c r="L7" s="62">
        <v>9</v>
      </c>
      <c r="M7" s="62">
        <v>10</v>
      </c>
      <c r="N7" s="62">
        <v>11</v>
      </c>
      <c r="O7" s="99" t="s">
        <v>82</v>
      </c>
      <c r="P7" s="62">
        <v>13</v>
      </c>
      <c r="Q7" s="62">
        <v>14</v>
      </c>
      <c r="R7" s="62">
        <v>15</v>
      </c>
      <c r="S7" s="62">
        <v>16</v>
      </c>
      <c r="T7" s="62">
        <v>17</v>
      </c>
      <c r="U7" s="62">
        <v>18</v>
      </c>
      <c r="V7" s="99" t="s">
        <v>83</v>
      </c>
      <c r="W7" s="62">
        <v>20</v>
      </c>
      <c r="X7" s="62">
        <v>21</v>
      </c>
      <c r="Y7" s="62">
        <v>22</v>
      </c>
      <c r="Z7" s="62">
        <v>23</v>
      </c>
      <c r="AA7" s="62">
        <v>24</v>
      </c>
      <c r="AB7" s="62">
        <v>25</v>
      </c>
      <c r="AC7" s="99" t="s">
        <v>84</v>
      </c>
      <c r="AD7" s="62">
        <v>27</v>
      </c>
      <c r="AE7" s="62">
        <v>28</v>
      </c>
      <c r="AF7" s="62">
        <v>29</v>
      </c>
      <c r="AG7" s="62">
        <v>31</v>
      </c>
      <c r="AH7" s="99" t="s">
        <v>84</v>
      </c>
      <c r="AI7" s="270"/>
    </row>
    <row r="8" spans="1:35" s="32" customFormat="1" ht="16.5" customHeight="1" x14ac:dyDescent="0.25">
      <c r="A8" s="56">
        <v>1</v>
      </c>
      <c r="B8" s="57" t="s">
        <v>25</v>
      </c>
      <c r="C8" s="54" t="s">
        <v>13</v>
      </c>
      <c r="D8" s="63"/>
      <c r="E8" s="63"/>
      <c r="F8" s="63"/>
      <c r="G8" s="63"/>
      <c r="H8" s="66">
        <f t="shared" ref="H8:H50" si="0">SUM(D8:G8)</f>
        <v>0</v>
      </c>
      <c r="I8" s="63"/>
      <c r="J8" s="63"/>
      <c r="K8" s="63"/>
      <c r="L8" s="63"/>
      <c r="M8" s="63"/>
      <c r="N8" s="63"/>
      <c r="O8" s="66">
        <f>SUM(I8:N8)</f>
        <v>0</v>
      </c>
      <c r="P8" s="63"/>
      <c r="Q8" s="63"/>
      <c r="R8" s="63"/>
      <c r="S8" s="63"/>
      <c r="T8" s="63"/>
      <c r="U8" s="63"/>
      <c r="V8" s="66">
        <f>SUM(P8:U8)</f>
        <v>0</v>
      </c>
      <c r="W8" s="63"/>
      <c r="X8" s="63"/>
      <c r="Y8" s="63"/>
      <c r="Z8" s="63"/>
      <c r="AA8" s="63"/>
      <c r="AB8" s="63"/>
      <c r="AC8" s="66">
        <f t="shared" ref="AC8:AC50" si="1">SUM(W8:AB8)</f>
        <v>0</v>
      </c>
      <c r="AD8" s="63"/>
      <c r="AE8" s="63"/>
      <c r="AF8" s="63"/>
      <c r="AG8" s="63"/>
      <c r="AH8" s="66">
        <f t="shared" ref="AH8:AH48" si="2">SUM(AD8:AG8)</f>
        <v>0</v>
      </c>
      <c r="AI8" s="68">
        <f t="shared" ref="AI8:AI21" si="3">+H8+O8+V8+AH8</f>
        <v>0</v>
      </c>
    </row>
    <row r="9" spans="1:35" ht="16.5" customHeight="1" x14ac:dyDescent="0.25">
      <c r="A9" s="56">
        <f>1+A8</f>
        <v>2</v>
      </c>
      <c r="B9" s="57" t="s">
        <v>11</v>
      </c>
      <c r="C9" s="54" t="s">
        <v>6</v>
      </c>
      <c r="D9" s="64"/>
      <c r="E9" s="64"/>
      <c r="F9" s="64"/>
      <c r="G9" s="64"/>
      <c r="H9" s="66">
        <f t="shared" si="0"/>
        <v>0</v>
      </c>
      <c r="I9" s="64"/>
      <c r="J9" s="64"/>
      <c r="K9" s="64"/>
      <c r="L9" s="64"/>
      <c r="M9" s="64"/>
      <c r="N9" s="64"/>
      <c r="O9" s="66">
        <f t="shared" ref="O9:O50" si="4">SUM(I9:N9)</f>
        <v>0</v>
      </c>
      <c r="P9" s="64"/>
      <c r="Q9" s="64"/>
      <c r="R9" s="64"/>
      <c r="S9" s="64"/>
      <c r="T9" s="64"/>
      <c r="U9" s="64"/>
      <c r="V9" s="66">
        <f>SUM(P9:U9)</f>
        <v>0</v>
      </c>
      <c r="W9" s="64"/>
      <c r="X9" s="64"/>
      <c r="Y9" s="64"/>
      <c r="Z9" s="64"/>
      <c r="AA9" s="64"/>
      <c r="AB9" s="64"/>
      <c r="AC9" s="66">
        <f t="shared" si="1"/>
        <v>0</v>
      </c>
      <c r="AD9" s="64"/>
      <c r="AE9" s="64"/>
      <c r="AF9" s="64"/>
      <c r="AG9" s="64"/>
      <c r="AH9" s="66">
        <f t="shared" si="2"/>
        <v>0</v>
      </c>
      <c r="AI9" s="68">
        <f t="shared" si="3"/>
        <v>0</v>
      </c>
    </row>
    <row r="10" spans="1:35" ht="16.5" customHeight="1" x14ac:dyDescent="0.25">
      <c r="A10" s="56">
        <f t="shared" ref="A10:A21" si="5">1+A9</f>
        <v>3</v>
      </c>
      <c r="B10" s="57" t="s">
        <v>70</v>
      </c>
      <c r="C10" s="54" t="s">
        <v>13</v>
      </c>
      <c r="D10" s="67"/>
      <c r="E10" s="67"/>
      <c r="F10" s="67"/>
      <c r="G10" s="67"/>
      <c r="H10" s="66">
        <f t="shared" si="0"/>
        <v>0</v>
      </c>
      <c r="I10" s="67"/>
      <c r="J10" s="67"/>
      <c r="K10" s="67"/>
      <c r="L10" s="67"/>
      <c r="M10" s="67"/>
      <c r="N10" s="67"/>
      <c r="O10" s="66">
        <f t="shared" si="4"/>
        <v>0</v>
      </c>
      <c r="P10" s="67"/>
      <c r="Q10" s="67"/>
      <c r="R10" s="67"/>
      <c r="S10" s="67"/>
      <c r="T10" s="67"/>
      <c r="U10" s="67"/>
      <c r="V10" s="66">
        <f t="shared" ref="V10:V48" si="6">SUM(P10:U10)</f>
        <v>0</v>
      </c>
      <c r="W10" s="67"/>
      <c r="X10" s="67"/>
      <c r="Y10" s="67"/>
      <c r="Z10" s="67"/>
      <c r="AA10" s="67"/>
      <c r="AB10" s="67"/>
      <c r="AC10" s="66">
        <f t="shared" si="1"/>
        <v>0</v>
      </c>
      <c r="AD10" s="67"/>
      <c r="AE10" s="67"/>
      <c r="AF10" s="67"/>
      <c r="AG10" s="67"/>
      <c r="AH10" s="66">
        <f t="shared" si="2"/>
        <v>0</v>
      </c>
      <c r="AI10" s="68">
        <f t="shared" si="3"/>
        <v>0</v>
      </c>
    </row>
    <row r="11" spans="1:35" ht="16.5" customHeight="1" x14ac:dyDescent="0.25">
      <c r="A11" s="56">
        <f t="shared" si="5"/>
        <v>4</v>
      </c>
      <c r="B11" s="57" t="s">
        <v>23</v>
      </c>
      <c r="C11" s="54" t="s">
        <v>9</v>
      </c>
      <c r="D11" s="67"/>
      <c r="E11" s="67"/>
      <c r="F11" s="67"/>
      <c r="G11" s="67"/>
      <c r="H11" s="66">
        <f t="shared" si="0"/>
        <v>0</v>
      </c>
      <c r="I11" s="67"/>
      <c r="J11" s="67"/>
      <c r="K11" s="67"/>
      <c r="L11" s="67"/>
      <c r="M11" s="67"/>
      <c r="N11" s="67"/>
      <c r="O11" s="66">
        <f t="shared" si="4"/>
        <v>0</v>
      </c>
      <c r="P11" s="67"/>
      <c r="Q11" s="67"/>
      <c r="R11" s="67"/>
      <c r="S11" s="67"/>
      <c r="T11" s="67"/>
      <c r="U11" s="67"/>
      <c r="V11" s="66">
        <f t="shared" si="6"/>
        <v>0</v>
      </c>
      <c r="W11" s="67"/>
      <c r="X11" s="67"/>
      <c r="Y11" s="67"/>
      <c r="Z11" s="67"/>
      <c r="AA11" s="67"/>
      <c r="AB11" s="67"/>
      <c r="AC11" s="66">
        <f t="shared" si="1"/>
        <v>0</v>
      </c>
      <c r="AD11" s="67"/>
      <c r="AE11" s="67"/>
      <c r="AF11" s="67"/>
      <c r="AG11" s="67"/>
      <c r="AH11" s="66">
        <f t="shared" si="2"/>
        <v>0</v>
      </c>
      <c r="AI11" s="68">
        <f t="shared" si="3"/>
        <v>0</v>
      </c>
    </row>
    <row r="12" spans="1:35" ht="16.5" customHeight="1" x14ac:dyDescent="0.25">
      <c r="A12" s="56">
        <f t="shared" si="5"/>
        <v>5</v>
      </c>
      <c r="B12" s="57" t="s">
        <v>24</v>
      </c>
      <c r="C12" s="54" t="s">
        <v>9</v>
      </c>
      <c r="D12" s="67"/>
      <c r="E12" s="67"/>
      <c r="F12" s="67"/>
      <c r="G12" s="67"/>
      <c r="H12" s="66">
        <f t="shared" si="0"/>
        <v>0</v>
      </c>
      <c r="I12" s="67"/>
      <c r="J12" s="67"/>
      <c r="K12" s="67"/>
      <c r="L12" s="67"/>
      <c r="M12" s="67"/>
      <c r="N12" s="67"/>
      <c r="O12" s="66">
        <f t="shared" si="4"/>
        <v>0</v>
      </c>
      <c r="P12" s="67"/>
      <c r="Q12" s="67"/>
      <c r="R12" s="67"/>
      <c r="S12" s="67"/>
      <c r="T12" s="67"/>
      <c r="U12" s="67"/>
      <c r="V12" s="66">
        <f t="shared" si="6"/>
        <v>0</v>
      </c>
      <c r="W12" s="67"/>
      <c r="X12" s="67"/>
      <c r="Y12" s="67"/>
      <c r="Z12" s="67"/>
      <c r="AA12" s="67"/>
      <c r="AB12" s="67"/>
      <c r="AC12" s="66">
        <f t="shared" si="1"/>
        <v>0</v>
      </c>
      <c r="AD12" s="67"/>
      <c r="AE12" s="67"/>
      <c r="AF12" s="67"/>
      <c r="AG12" s="67"/>
      <c r="AH12" s="66">
        <f t="shared" si="2"/>
        <v>0</v>
      </c>
      <c r="AI12" s="68">
        <f t="shared" si="3"/>
        <v>0</v>
      </c>
    </row>
    <row r="13" spans="1:35" ht="16.5" customHeight="1" x14ac:dyDescent="0.25">
      <c r="A13" s="56">
        <f t="shared" si="5"/>
        <v>6</v>
      </c>
      <c r="B13" s="57" t="s">
        <v>12</v>
      </c>
      <c r="C13" s="54" t="s">
        <v>13</v>
      </c>
      <c r="D13" s="67"/>
      <c r="E13" s="67"/>
      <c r="F13" s="67"/>
      <c r="G13" s="67"/>
      <c r="H13" s="66">
        <f t="shared" si="0"/>
        <v>0</v>
      </c>
      <c r="I13" s="67"/>
      <c r="J13" s="67"/>
      <c r="K13" s="67"/>
      <c r="L13" s="67"/>
      <c r="M13" s="67"/>
      <c r="N13" s="67"/>
      <c r="O13" s="66">
        <f t="shared" si="4"/>
        <v>0</v>
      </c>
      <c r="P13" s="67"/>
      <c r="Q13" s="67"/>
      <c r="R13" s="67"/>
      <c r="S13" s="67"/>
      <c r="T13" s="67"/>
      <c r="U13" s="67"/>
      <c r="V13" s="66">
        <f t="shared" si="6"/>
        <v>0</v>
      </c>
      <c r="W13" s="67"/>
      <c r="X13" s="67"/>
      <c r="Y13" s="67"/>
      <c r="Z13" s="67"/>
      <c r="AA13" s="67"/>
      <c r="AB13" s="67"/>
      <c r="AC13" s="66">
        <f t="shared" si="1"/>
        <v>0</v>
      </c>
      <c r="AD13" s="67"/>
      <c r="AE13" s="67"/>
      <c r="AF13" s="67"/>
      <c r="AG13" s="67"/>
      <c r="AH13" s="66">
        <f t="shared" si="2"/>
        <v>0</v>
      </c>
      <c r="AI13" s="68">
        <f t="shared" si="3"/>
        <v>0</v>
      </c>
    </row>
    <row r="14" spans="1:35" ht="16.5" customHeight="1" x14ac:dyDescent="0.25">
      <c r="A14" s="56">
        <f t="shared" si="5"/>
        <v>7</v>
      </c>
      <c r="B14" s="55" t="s">
        <v>5</v>
      </c>
      <c r="C14" s="54" t="s">
        <v>6</v>
      </c>
      <c r="D14" s="67"/>
      <c r="E14" s="67"/>
      <c r="F14" s="67"/>
      <c r="G14" s="67"/>
      <c r="H14" s="66">
        <f t="shared" si="0"/>
        <v>0</v>
      </c>
      <c r="I14" s="67"/>
      <c r="J14" s="67"/>
      <c r="K14" s="67"/>
      <c r="L14" s="67"/>
      <c r="M14" s="67"/>
      <c r="N14" s="67"/>
      <c r="O14" s="66">
        <f t="shared" si="4"/>
        <v>0</v>
      </c>
      <c r="P14" s="67"/>
      <c r="Q14" s="67"/>
      <c r="R14" s="67"/>
      <c r="S14" s="67"/>
      <c r="T14" s="67"/>
      <c r="U14" s="67"/>
      <c r="V14" s="66">
        <f t="shared" si="6"/>
        <v>0</v>
      </c>
      <c r="W14" s="67"/>
      <c r="X14" s="67"/>
      <c r="Y14" s="67"/>
      <c r="Z14" s="67"/>
      <c r="AA14" s="67"/>
      <c r="AB14" s="67"/>
      <c r="AC14" s="66">
        <f t="shared" si="1"/>
        <v>0</v>
      </c>
      <c r="AD14" s="67"/>
      <c r="AE14" s="67"/>
      <c r="AF14" s="67"/>
      <c r="AG14" s="67"/>
      <c r="AH14" s="66">
        <f t="shared" si="2"/>
        <v>0</v>
      </c>
      <c r="AI14" s="68">
        <f t="shared" si="3"/>
        <v>0</v>
      </c>
    </row>
    <row r="15" spans="1:35" ht="16.5" customHeight="1" x14ac:dyDescent="0.25">
      <c r="A15" s="56">
        <f t="shared" si="5"/>
        <v>8</v>
      </c>
      <c r="B15" s="57" t="s">
        <v>21</v>
      </c>
      <c r="C15" s="54" t="s">
        <v>16</v>
      </c>
      <c r="D15" s="67"/>
      <c r="E15" s="67"/>
      <c r="F15" s="67"/>
      <c r="G15" s="67"/>
      <c r="H15" s="66">
        <f t="shared" si="0"/>
        <v>0</v>
      </c>
      <c r="I15" s="67"/>
      <c r="J15" s="67"/>
      <c r="K15" s="67"/>
      <c r="L15" s="67"/>
      <c r="M15" s="67"/>
      <c r="N15" s="67"/>
      <c r="O15" s="66">
        <f t="shared" si="4"/>
        <v>0</v>
      </c>
      <c r="P15" s="67"/>
      <c r="Q15" s="67"/>
      <c r="R15" s="67"/>
      <c r="S15" s="67"/>
      <c r="T15" s="67"/>
      <c r="U15" s="67"/>
      <c r="V15" s="66">
        <f t="shared" si="6"/>
        <v>0</v>
      </c>
      <c r="W15" s="67"/>
      <c r="X15" s="67"/>
      <c r="Y15" s="67"/>
      <c r="Z15" s="67"/>
      <c r="AA15" s="67"/>
      <c r="AB15" s="67"/>
      <c r="AC15" s="66">
        <f t="shared" si="1"/>
        <v>0</v>
      </c>
      <c r="AD15" s="67"/>
      <c r="AE15" s="67"/>
      <c r="AF15" s="67"/>
      <c r="AG15" s="67"/>
      <c r="AH15" s="66">
        <f t="shared" si="2"/>
        <v>0</v>
      </c>
      <c r="AI15" s="68">
        <f t="shared" si="3"/>
        <v>0</v>
      </c>
    </row>
    <row r="16" spans="1:35" ht="16.5" customHeight="1" x14ac:dyDescent="0.25">
      <c r="A16" s="56">
        <f t="shared" si="5"/>
        <v>9</v>
      </c>
      <c r="B16" s="57" t="s">
        <v>15</v>
      </c>
      <c r="C16" s="54" t="s">
        <v>16</v>
      </c>
      <c r="D16" s="67"/>
      <c r="E16" s="67"/>
      <c r="F16" s="67"/>
      <c r="G16" s="67"/>
      <c r="H16" s="66">
        <f t="shared" si="0"/>
        <v>0</v>
      </c>
      <c r="I16" s="67"/>
      <c r="J16" s="67"/>
      <c r="K16" s="67"/>
      <c r="L16" s="67"/>
      <c r="M16" s="67"/>
      <c r="N16" s="67"/>
      <c r="O16" s="66">
        <f t="shared" si="4"/>
        <v>0</v>
      </c>
      <c r="P16" s="67"/>
      <c r="Q16" s="67"/>
      <c r="R16" s="67"/>
      <c r="S16" s="67"/>
      <c r="T16" s="67"/>
      <c r="U16" s="67"/>
      <c r="V16" s="66">
        <f t="shared" si="6"/>
        <v>0</v>
      </c>
      <c r="W16" s="67"/>
      <c r="X16" s="67"/>
      <c r="Y16" s="67"/>
      <c r="Z16" s="67"/>
      <c r="AA16" s="67"/>
      <c r="AB16" s="67"/>
      <c r="AC16" s="66">
        <f t="shared" si="1"/>
        <v>0</v>
      </c>
      <c r="AD16" s="67"/>
      <c r="AE16" s="67"/>
      <c r="AF16" s="67"/>
      <c r="AG16" s="67"/>
      <c r="AH16" s="66">
        <f t="shared" si="2"/>
        <v>0</v>
      </c>
      <c r="AI16" s="68">
        <f t="shared" si="3"/>
        <v>0</v>
      </c>
    </row>
    <row r="17" spans="1:37" ht="16.5" customHeight="1" x14ac:dyDescent="0.25">
      <c r="A17" s="56">
        <f t="shared" si="5"/>
        <v>10</v>
      </c>
      <c r="B17" s="57" t="s">
        <v>27</v>
      </c>
      <c r="C17" s="54" t="s">
        <v>26</v>
      </c>
      <c r="D17" s="67"/>
      <c r="E17" s="67"/>
      <c r="F17" s="67"/>
      <c r="G17" s="67"/>
      <c r="H17" s="66">
        <f t="shared" si="0"/>
        <v>0</v>
      </c>
      <c r="I17" s="67"/>
      <c r="J17" s="67"/>
      <c r="K17" s="67"/>
      <c r="L17" s="67"/>
      <c r="M17" s="67"/>
      <c r="N17" s="67"/>
      <c r="O17" s="66">
        <f t="shared" si="4"/>
        <v>0</v>
      </c>
      <c r="P17" s="67"/>
      <c r="Q17" s="67"/>
      <c r="R17" s="67"/>
      <c r="S17" s="67"/>
      <c r="T17" s="67"/>
      <c r="U17" s="67"/>
      <c r="V17" s="66">
        <f t="shared" si="6"/>
        <v>0</v>
      </c>
      <c r="W17" s="67"/>
      <c r="X17" s="67"/>
      <c r="Y17" s="67"/>
      <c r="Z17" s="67"/>
      <c r="AA17" s="67"/>
      <c r="AB17" s="67"/>
      <c r="AC17" s="66">
        <f t="shared" si="1"/>
        <v>0</v>
      </c>
      <c r="AD17" s="67"/>
      <c r="AE17" s="67"/>
      <c r="AF17" s="67"/>
      <c r="AG17" s="67"/>
      <c r="AH17" s="66">
        <f t="shared" si="2"/>
        <v>0</v>
      </c>
      <c r="AI17" s="68">
        <f t="shared" si="3"/>
        <v>0</v>
      </c>
    </row>
    <row r="18" spans="1:37" ht="16.5" customHeight="1" x14ac:dyDescent="0.25">
      <c r="A18" s="56">
        <f t="shared" si="5"/>
        <v>11</v>
      </c>
      <c r="B18" s="57" t="s">
        <v>8</v>
      </c>
      <c r="C18" s="54" t="s">
        <v>9</v>
      </c>
      <c r="D18" s="67"/>
      <c r="E18" s="67"/>
      <c r="F18" s="67"/>
      <c r="G18" s="67"/>
      <c r="H18" s="66">
        <f t="shared" si="0"/>
        <v>0</v>
      </c>
      <c r="I18" s="67"/>
      <c r="J18" s="67"/>
      <c r="K18" s="67"/>
      <c r="L18" s="67"/>
      <c r="M18" s="67"/>
      <c r="N18" s="67"/>
      <c r="O18" s="66">
        <f t="shared" si="4"/>
        <v>0</v>
      </c>
      <c r="P18" s="67"/>
      <c r="Q18" s="67"/>
      <c r="R18" s="67"/>
      <c r="S18" s="67"/>
      <c r="T18" s="67"/>
      <c r="U18" s="67"/>
      <c r="V18" s="66">
        <f t="shared" si="6"/>
        <v>0</v>
      </c>
      <c r="W18" s="67"/>
      <c r="X18" s="67"/>
      <c r="Y18" s="67"/>
      <c r="Z18" s="67"/>
      <c r="AA18" s="67"/>
      <c r="AB18" s="67"/>
      <c r="AC18" s="66">
        <f t="shared" si="1"/>
        <v>0</v>
      </c>
      <c r="AD18" s="67"/>
      <c r="AE18" s="67"/>
      <c r="AF18" s="67"/>
      <c r="AG18" s="67"/>
      <c r="AH18" s="66">
        <f t="shared" si="2"/>
        <v>0</v>
      </c>
      <c r="AI18" s="68">
        <f t="shared" si="3"/>
        <v>0</v>
      </c>
    </row>
    <row r="19" spans="1:37" ht="16.5" customHeight="1" x14ac:dyDescent="0.25">
      <c r="A19" s="56">
        <f t="shared" si="5"/>
        <v>12</v>
      </c>
      <c r="B19" s="57" t="s">
        <v>28</v>
      </c>
      <c r="C19" s="54" t="s">
        <v>29</v>
      </c>
      <c r="D19" s="67"/>
      <c r="E19" s="67"/>
      <c r="F19" s="67"/>
      <c r="G19" s="67"/>
      <c r="H19" s="66">
        <f t="shared" si="0"/>
        <v>0</v>
      </c>
      <c r="I19" s="67"/>
      <c r="J19" s="67"/>
      <c r="K19" s="67"/>
      <c r="L19" s="67"/>
      <c r="M19" s="67"/>
      <c r="N19" s="67"/>
      <c r="O19" s="66">
        <f t="shared" si="4"/>
        <v>0</v>
      </c>
      <c r="P19" s="67"/>
      <c r="Q19" s="67"/>
      <c r="R19" s="67"/>
      <c r="S19" s="67"/>
      <c r="T19" s="67"/>
      <c r="U19" s="67"/>
      <c r="V19" s="66">
        <f t="shared" si="6"/>
        <v>0</v>
      </c>
      <c r="W19" s="67"/>
      <c r="X19" s="67"/>
      <c r="Y19" s="67"/>
      <c r="Z19" s="67"/>
      <c r="AA19" s="67"/>
      <c r="AB19" s="67"/>
      <c r="AC19" s="66">
        <f t="shared" si="1"/>
        <v>0</v>
      </c>
      <c r="AD19" s="67"/>
      <c r="AE19" s="67"/>
      <c r="AF19" s="67"/>
      <c r="AG19" s="67"/>
      <c r="AH19" s="66">
        <f t="shared" si="2"/>
        <v>0</v>
      </c>
      <c r="AI19" s="68">
        <f t="shared" si="3"/>
        <v>0</v>
      </c>
    </row>
    <row r="20" spans="1:37" ht="16.5" customHeight="1" x14ac:dyDescent="0.25">
      <c r="A20" s="56">
        <f t="shared" si="5"/>
        <v>13</v>
      </c>
      <c r="B20" s="57" t="s">
        <v>10</v>
      </c>
      <c r="C20" s="65" t="s">
        <v>76</v>
      </c>
      <c r="D20" s="67"/>
      <c r="E20" s="67"/>
      <c r="F20" s="67"/>
      <c r="G20" s="67"/>
      <c r="H20" s="66">
        <f t="shared" si="0"/>
        <v>0</v>
      </c>
      <c r="I20" s="67"/>
      <c r="J20" s="67"/>
      <c r="K20" s="67"/>
      <c r="L20" s="67"/>
      <c r="M20" s="67"/>
      <c r="N20" s="67"/>
      <c r="O20" s="66">
        <f t="shared" si="4"/>
        <v>0</v>
      </c>
      <c r="P20" s="67"/>
      <c r="Q20" s="67"/>
      <c r="R20" s="67"/>
      <c r="S20" s="67"/>
      <c r="T20" s="67"/>
      <c r="U20" s="67"/>
      <c r="V20" s="66">
        <f t="shared" si="6"/>
        <v>0</v>
      </c>
      <c r="W20" s="67"/>
      <c r="X20" s="67"/>
      <c r="Y20" s="67"/>
      <c r="Z20" s="67"/>
      <c r="AA20" s="67"/>
      <c r="AB20" s="67"/>
      <c r="AC20" s="66">
        <f t="shared" si="1"/>
        <v>0</v>
      </c>
      <c r="AD20" s="67"/>
      <c r="AE20" s="67"/>
      <c r="AF20" s="67"/>
      <c r="AG20" s="67"/>
      <c r="AH20" s="66">
        <f t="shared" si="2"/>
        <v>0</v>
      </c>
      <c r="AI20" s="68">
        <f t="shared" si="3"/>
        <v>0</v>
      </c>
    </row>
    <row r="21" spans="1:37" ht="16.5" customHeight="1" x14ac:dyDescent="0.25">
      <c r="A21" s="56">
        <f t="shared" si="5"/>
        <v>14</v>
      </c>
      <c r="B21" s="57" t="s">
        <v>7</v>
      </c>
      <c r="C21" s="65" t="s">
        <v>76</v>
      </c>
      <c r="D21" s="67"/>
      <c r="E21" s="67"/>
      <c r="F21" s="67"/>
      <c r="G21" s="67"/>
      <c r="H21" s="66">
        <f t="shared" si="0"/>
        <v>0</v>
      </c>
      <c r="I21" s="67"/>
      <c r="J21" s="67"/>
      <c r="K21" s="67"/>
      <c r="L21" s="67"/>
      <c r="M21" s="67"/>
      <c r="N21" s="67"/>
      <c r="O21" s="66">
        <f t="shared" si="4"/>
        <v>0</v>
      </c>
      <c r="P21" s="67"/>
      <c r="Q21" s="67"/>
      <c r="R21" s="67"/>
      <c r="S21" s="67"/>
      <c r="T21" s="67"/>
      <c r="U21" s="67"/>
      <c r="V21" s="66">
        <f t="shared" si="6"/>
        <v>0</v>
      </c>
      <c r="W21" s="67"/>
      <c r="X21" s="67"/>
      <c r="Y21" s="67"/>
      <c r="Z21" s="67"/>
      <c r="AA21" s="67"/>
      <c r="AB21" s="67"/>
      <c r="AC21" s="66">
        <f t="shared" si="1"/>
        <v>0</v>
      </c>
      <c r="AD21" s="67"/>
      <c r="AE21" s="67"/>
      <c r="AF21" s="67"/>
      <c r="AG21" s="67"/>
      <c r="AH21" s="66">
        <f t="shared" si="2"/>
        <v>0</v>
      </c>
      <c r="AI21" s="68">
        <f t="shared" si="3"/>
        <v>0</v>
      </c>
    </row>
    <row r="22" spans="1:37" ht="27" customHeight="1" x14ac:dyDescent="0.25">
      <c r="A22" s="56">
        <v>15</v>
      </c>
      <c r="B22" s="105" t="s">
        <v>39</v>
      </c>
      <c r="C22" s="54" t="s">
        <v>40</v>
      </c>
      <c r="D22" s="67"/>
      <c r="E22" s="67"/>
      <c r="F22" s="67"/>
      <c r="G22" s="67"/>
      <c r="H22" s="66">
        <f t="shared" si="0"/>
        <v>0</v>
      </c>
      <c r="I22" s="67"/>
      <c r="J22" s="67"/>
      <c r="K22" s="67"/>
      <c r="L22" s="75"/>
      <c r="M22" s="76"/>
      <c r="N22" s="67"/>
      <c r="O22" s="66">
        <f>SUM(I22:N22)</f>
        <v>0</v>
      </c>
      <c r="P22" s="67"/>
      <c r="Q22" s="67"/>
      <c r="R22" s="67"/>
      <c r="S22" s="67"/>
      <c r="T22" s="67"/>
      <c r="U22" s="67"/>
      <c r="V22" s="66">
        <f>SUM(P22:U22)</f>
        <v>0</v>
      </c>
      <c r="W22" s="67"/>
      <c r="X22" s="67"/>
      <c r="Y22" s="67"/>
      <c r="Z22" s="67"/>
      <c r="AA22" s="67"/>
      <c r="AB22" s="67"/>
      <c r="AC22" s="66">
        <f t="shared" si="1"/>
        <v>0</v>
      </c>
      <c r="AD22" s="67"/>
      <c r="AE22" s="67"/>
      <c r="AF22" s="67"/>
      <c r="AG22" s="67"/>
      <c r="AH22" s="66">
        <f t="shared" si="2"/>
        <v>0</v>
      </c>
      <c r="AI22" s="68">
        <f>H22+O22+V22+AH22</f>
        <v>0</v>
      </c>
    </row>
    <row r="23" spans="1:37" ht="17.25" customHeight="1" x14ac:dyDescent="0.25">
      <c r="A23" s="271" t="s">
        <v>77</v>
      </c>
      <c r="B23" s="272"/>
      <c r="C23" s="273"/>
      <c r="D23" s="93"/>
      <c r="E23" s="93"/>
      <c r="F23" s="93"/>
      <c r="G23" s="93">
        <f t="shared" ref="G23" si="7">SUM(G8:G22)</f>
        <v>0</v>
      </c>
      <c r="H23" s="66">
        <f t="shared" si="0"/>
        <v>0</v>
      </c>
      <c r="I23" s="93">
        <f>SUM(I8:I22)</f>
        <v>0</v>
      </c>
      <c r="J23" s="93">
        <f t="shared" ref="J23:N23" si="8">SUM(J8:J22)</f>
        <v>0</v>
      </c>
      <c r="K23" s="93">
        <f t="shared" si="8"/>
        <v>0</v>
      </c>
      <c r="L23" s="93">
        <f t="shared" si="8"/>
        <v>0</v>
      </c>
      <c r="M23" s="93">
        <f t="shared" si="8"/>
        <v>0</v>
      </c>
      <c r="N23" s="93">
        <f t="shared" si="8"/>
        <v>0</v>
      </c>
      <c r="O23" s="91">
        <f t="shared" si="4"/>
        <v>0</v>
      </c>
      <c r="P23" s="93">
        <f>SUM(P8:P22)</f>
        <v>0</v>
      </c>
      <c r="Q23" s="93">
        <f t="shared" ref="Q23:U23" si="9">SUM(Q8:Q22)</f>
        <v>0</v>
      </c>
      <c r="R23" s="93">
        <f t="shared" si="9"/>
        <v>0</v>
      </c>
      <c r="S23" s="93">
        <f t="shared" si="9"/>
        <v>0</v>
      </c>
      <c r="T23" s="93">
        <f t="shared" si="9"/>
        <v>0</v>
      </c>
      <c r="U23" s="93">
        <f t="shared" si="9"/>
        <v>0</v>
      </c>
      <c r="V23" s="91">
        <f t="shared" si="6"/>
        <v>0</v>
      </c>
      <c r="W23" s="93">
        <f>SUM(W8:W22)</f>
        <v>0</v>
      </c>
      <c r="X23" s="93">
        <f>SUM(X8:X22)</f>
        <v>0</v>
      </c>
      <c r="Y23" s="93">
        <f t="shared" ref="Y23:AB23" si="10">SUM(Y8:Y22)</f>
        <v>0</v>
      </c>
      <c r="Z23" s="93">
        <f t="shared" si="10"/>
        <v>0</v>
      </c>
      <c r="AA23" s="93">
        <f t="shared" si="10"/>
        <v>0</v>
      </c>
      <c r="AB23" s="93">
        <f t="shared" si="10"/>
        <v>0</v>
      </c>
      <c r="AC23" s="91">
        <f t="shared" si="1"/>
        <v>0</v>
      </c>
      <c r="AD23" s="93">
        <f>SUM(AD8:AD22)</f>
        <v>0</v>
      </c>
      <c r="AE23" s="93"/>
      <c r="AF23" s="93"/>
      <c r="AG23" s="93">
        <f>SUM(AG8:AG22)</f>
        <v>0</v>
      </c>
      <c r="AH23" s="66">
        <f t="shared" si="2"/>
        <v>0</v>
      </c>
      <c r="AI23" s="69">
        <f>SUM(AI8:AI22)</f>
        <v>0</v>
      </c>
    </row>
    <row r="24" spans="1:37" ht="17.25" hidden="1" customHeight="1" x14ac:dyDescent="0.25">
      <c r="A24" s="40">
        <v>1</v>
      </c>
      <c r="B24" s="41" t="s">
        <v>19</v>
      </c>
      <c r="C24" s="38" t="s">
        <v>18</v>
      </c>
      <c r="D24" s="67"/>
      <c r="E24" s="67"/>
      <c r="F24" s="67"/>
      <c r="G24" s="67"/>
      <c r="H24" s="66">
        <f t="shared" si="0"/>
        <v>0</v>
      </c>
      <c r="I24" s="67"/>
      <c r="J24" s="67"/>
      <c r="K24" s="67"/>
      <c r="L24" s="67"/>
      <c r="M24" s="67"/>
      <c r="N24" s="67"/>
      <c r="O24" s="66">
        <f t="shared" ref="O24:O48" si="11">SUM(I24:N24)</f>
        <v>0</v>
      </c>
      <c r="P24" s="67"/>
      <c r="Q24" s="67"/>
      <c r="R24" s="67"/>
      <c r="S24" s="67"/>
      <c r="T24" s="67"/>
      <c r="U24" s="67"/>
      <c r="V24" s="66">
        <f t="shared" si="6"/>
        <v>0</v>
      </c>
      <c r="W24" s="67"/>
      <c r="X24" s="67"/>
      <c r="Y24" s="67"/>
      <c r="Z24" s="67"/>
      <c r="AA24" s="67"/>
      <c r="AB24" s="67"/>
      <c r="AC24" s="66">
        <f t="shared" si="1"/>
        <v>0</v>
      </c>
      <c r="AD24" s="67"/>
      <c r="AE24" s="67"/>
      <c r="AF24" s="67"/>
      <c r="AG24" s="67"/>
      <c r="AH24" s="66">
        <f t="shared" si="2"/>
        <v>0</v>
      </c>
      <c r="AI24" s="68">
        <f>H24+O24+V24+AC24+AH24</f>
        <v>0</v>
      </c>
    </row>
    <row r="25" spans="1:37" ht="17.25" hidden="1" customHeight="1" x14ac:dyDescent="0.25">
      <c r="A25" s="40">
        <f t="shared" ref="A25:A48" si="12">1+A24</f>
        <v>2</v>
      </c>
      <c r="B25" s="41" t="s">
        <v>31</v>
      </c>
      <c r="C25" s="38" t="s">
        <v>32</v>
      </c>
      <c r="D25" s="67"/>
      <c r="E25" s="67"/>
      <c r="F25" s="67"/>
      <c r="G25" s="67"/>
      <c r="H25" s="66">
        <f t="shared" si="0"/>
        <v>0</v>
      </c>
      <c r="I25" s="67"/>
      <c r="J25" s="12"/>
      <c r="K25" s="67"/>
      <c r="L25" s="12"/>
      <c r="M25" s="67"/>
      <c r="N25" s="67"/>
      <c r="O25" s="66">
        <f t="shared" si="11"/>
        <v>0</v>
      </c>
      <c r="P25" s="67"/>
      <c r="Q25" s="67"/>
      <c r="R25" s="67"/>
      <c r="S25" s="67"/>
      <c r="T25" s="67"/>
      <c r="U25" s="67"/>
      <c r="V25" s="66">
        <f t="shared" si="6"/>
        <v>0</v>
      </c>
      <c r="W25" s="67"/>
      <c r="X25" s="67"/>
      <c r="Y25" s="67"/>
      <c r="Z25" s="67"/>
      <c r="AA25" s="67"/>
      <c r="AB25" s="67"/>
      <c r="AC25" s="66">
        <f t="shared" si="1"/>
        <v>0</v>
      </c>
      <c r="AD25" s="67"/>
      <c r="AE25" s="67"/>
      <c r="AF25" s="67"/>
      <c r="AG25" s="67"/>
      <c r="AH25" s="66">
        <f t="shared" si="2"/>
        <v>0</v>
      </c>
      <c r="AI25" s="68">
        <f>H25+O25+V25+AC25+AH25</f>
        <v>0</v>
      </c>
    </row>
    <row r="26" spans="1:37" ht="17.25" hidden="1" customHeight="1" x14ac:dyDescent="0.25">
      <c r="A26" s="40">
        <f t="shared" si="12"/>
        <v>3</v>
      </c>
      <c r="B26" s="58" t="s">
        <v>73</v>
      </c>
      <c r="C26" s="59" t="s">
        <v>9</v>
      </c>
      <c r="D26" s="67"/>
      <c r="E26" s="67"/>
      <c r="F26" s="67"/>
      <c r="G26" s="67"/>
      <c r="H26" s="66">
        <f t="shared" si="0"/>
        <v>0</v>
      </c>
      <c r="I26" s="67"/>
      <c r="J26" s="67"/>
      <c r="K26" s="67"/>
      <c r="L26" s="67"/>
      <c r="M26" s="67"/>
      <c r="N26" s="67"/>
      <c r="O26" s="66">
        <f t="shared" si="11"/>
        <v>0</v>
      </c>
      <c r="P26" s="67"/>
      <c r="Q26" s="67"/>
      <c r="R26" s="67"/>
      <c r="S26" s="67"/>
      <c r="T26" s="67"/>
      <c r="U26" s="67"/>
      <c r="V26" s="66">
        <f t="shared" si="6"/>
        <v>0</v>
      </c>
      <c r="W26" s="67"/>
      <c r="X26" s="67"/>
      <c r="Y26" s="67"/>
      <c r="Z26" s="67"/>
      <c r="AA26" s="67"/>
      <c r="AB26" s="67"/>
      <c r="AC26" s="66">
        <f t="shared" si="1"/>
        <v>0</v>
      </c>
      <c r="AD26" s="67"/>
      <c r="AE26" s="67"/>
      <c r="AF26" s="67"/>
      <c r="AG26" s="67"/>
      <c r="AH26" s="66">
        <f t="shared" si="2"/>
        <v>0</v>
      </c>
      <c r="AI26" s="68">
        <f t="shared" ref="AI26:AI48" si="13">H26+O26+V26+AC26+AH26</f>
        <v>0</v>
      </c>
    </row>
    <row r="27" spans="1:37" ht="17.25" customHeight="1" x14ac:dyDescent="0.25">
      <c r="A27" s="40">
        <f t="shared" si="12"/>
        <v>4</v>
      </c>
      <c r="B27" s="58" t="s">
        <v>332</v>
      </c>
      <c r="C27" s="59" t="s">
        <v>32</v>
      </c>
      <c r="D27" s="67"/>
      <c r="E27" s="67"/>
      <c r="F27" s="67"/>
      <c r="G27" s="67"/>
      <c r="H27" s="66">
        <f t="shared" si="0"/>
        <v>0</v>
      </c>
      <c r="I27" s="67"/>
      <c r="J27" s="67"/>
      <c r="K27" s="67"/>
      <c r="L27" s="12"/>
      <c r="M27" s="11"/>
      <c r="N27" s="67"/>
      <c r="O27" s="66">
        <f t="shared" si="11"/>
        <v>0</v>
      </c>
      <c r="P27" s="12"/>
      <c r="Q27" s="19"/>
      <c r="R27" s="67"/>
      <c r="S27" s="67"/>
      <c r="T27" s="67"/>
      <c r="U27" s="67"/>
      <c r="V27" s="66">
        <f t="shared" si="6"/>
        <v>0</v>
      </c>
      <c r="W27" s="67"/>
      <c r="X27" s="67"/>
      <c r="Y27" s="67"/>
      <c r="Z27" s="67"/>
      <c r="AA27" s="67"/>
      <c r="AB27" s="67"/>
      <c r="AC27" s="66">
        <f t="shared" si="1"/>
        <v>0</v>
      </c>
      <c r="AD27" s="67"/>
      <c r="AE27" s="67"/>
      <c r="AF27" s="67"/>
      <c r="AG27" s="67">
        <v>81828</v>
      </c>
      <c r="AH27" s="66">
        <f t="shared" si="2"/>
        <v>81828</v>
      </c>
      <c r="AI27" s="68">
        <f t="shared" si="13"/>
        <v>81828</v>
      </c>
    </row>
    <row r="28" spans="1:37" ht="17.25" customHeight="1" x14ac:dyDescent="0.25">
      <c r="A28" s="40">
        <f t="shared" si="12"/>
        <v>5</v>
      </c>
      <c r="B28" s="58" t="s">
        <v>333</v>
      </c>
      <c r="C28" s="59" t="s">
        <v>32</v>
      </c>
      <c r="D28" s="67"/>
      <c r="E28" s="67"/>
      <c r="F28" s="67"/>
      <c r="G28" s="67"/>
      <c r="H28" s="66">
        <f t="shared" si="0"/>
        <v>0</v>
      </c>
      <c r="I28" s="67"/>
      <c r="J28" s="67"/>
      <c r="K28" s="67"/>
      <c r="L28" s="12"/>
      <c r="M28" s="11"/>
      <c r="N28" s="67"/>
      <c r="O28" s="66">
        <f t="shared" si="11"/>
        <v>0</v>
      </c>
      <c r="P28" s="12"/>
      <c r="Q28" s="19"/>
      <c r="R28" s="67"/>
      <c r="S28" s="67"/>
      <c r="T28" s="67"/>
      <c r="U28" s="67"/>
      <c r="V28" s="66">
        <f t="shared" si="6"/>
        <v>0</v>
      </c>
      <c r="W28" s="67"/>
      <c r="X28" s="67"/>
      <c r="Y28" s="67"/>
      <c r="Z28" s="67"/>
      <c r="AA28" s="67"/>
      <c r="AB28" s="67"/>
      <c r="AC28" s="66">
        <f t="shared" si="1"/>
        <v>0</v>
      </c>
      <c r="AD28" s="67"/>
      <c r="AE28" s="67"/>
      <c r="AF28" s="67"/>
      <c r="AG28" s="67">
        <v>4160</v>
      </c>
      <c r="AH28" s="66">
        <f t="shared" si="2"/>
        <v>4160</v>
      </c>
      <c r="AI28" s="68">
        <f t="shared" si="13"/>
        <v>4160</v>
      </c>
    </row>
    <row r="29" spans="1:37" ht="17.25" customHeight="1" x14ac:dyDescent="0.25">
      <c r="A29" s="40">
        <f t="shared" si="12"/>
        <v>6</v>
      </c>
      <c r="B29" s="58" t="s">
        <v>307</v>
      </c>
      <c r="C29" s="59" t="s">
        <v>32</v>
      </c>
      <c r="D29" s="67"/>
      <c r="E29" s="67"/>
      <c r="F29" s="67"/>
      <c r="G29" s="67"/>
      <c r="H29" s="66">
        <f t="shared" si="0"/>
        <v>0</v>
      </c>
      <c r="I29" s="12"/>
      <c r="J29" s="12"/>
      <c r="K29" s="12"/>
      <c r="L29" s="12"/>
      <c r="M29" s="11"/>
      <c r="N29" s="67"/>
      <c r="O29" s="66">
        <f t="shared" si="11"/>
        <v>0</v>
      </c>
      <c r="P29" s="67"/>
      <c r="Q29" s="19"/>
      <c r="R29" s="67"/>
      <c r="S29" s="67"/>
      <c r="T29" s="67"/>
      <c r="U29" s="67"/>
      <c r="V29" s="66">
        <f t="shared" si="6"/>
        <v>0</v>
      </c>
      <c r="W29" s="67"/>
      <c r="X29" s="67"/>
      <c r="Y29" s="67"/>
      <c r="Z29" s="12"/>
      <c r="AA29" s="67"/>
      <c r="AB29" s="67"/>
      <c r="AC29" s="66">
        <f t="shared" si="1"/>
        <v>0</v>
      </c>
      <c r="AD29" s="12"/>
      <c r="AE29" s="12"/>
      <c r="AF29" s="12"/>
      <c r="AG29" s="12">
        <v>20153</v>
      </c>
      <c r="AH29" s="66">
        <f t="shared" si="2"/>
        <v>20153</v>
      </c>
      <c r="AI29" s="68">
        <f t="shared" si="13"/>
        <v>20153</v>
      </c>
    </row>
    <row r="30" spans="1:37" ht="17.25" customHeight="1" x14ac:dyDescent="0.25">
      <c r="A30" s="40">
        <f t="shared" si="12"/>
        <v>7</v>
      </c>
      <c r="B30" s="58" t="s">
        <v>334</v>
      </c>
      <c r="C30" s="59" t="s">
        <v>32</v>
      </c>
      <c r="D30" s="67"/>
      <c r="E30" s="67"/>
      <c r="F30" s="67"/>
      <c r="G30" s="67"/>
      <c r="H30" s="66">
        <f t="shared" si="0"/>
        <v>0</v>
      </c>
      <c r="I30" s="12"/>
      <c r="J30" s="12"/>
      <c r="K30" s="12"/>
      <c r="L30" s="67"/>
      <c r="M30" s="67"/>
      <c r="N30" s="67"/>
      <c r="O30" s="66">
        <f t="shared" si="11"/>
        <v>0</v>
      </c>
      <c r="P30" s="67"/>
      <c r="Q30" s="19"/>
      <c r="R30" s="67"/>
      <c r="S30" s="67"/>
      <c r="T30" s="67"/>
      <c r="U30" s="67"/>
      <c r="V30" s="66">
        <f t="shared" si="6"/>
        <v>0</v>
      </c>
      <c r="W30" s="67"/>
      <c r="X30" s="67"/>
      <c r="Y30" s="67"/>
      <c r="Z30" s="67"/>
      <c r="AA30" s="67"/>
      <c r="AB30" s="67"/>
      <c r="AC30" s="66">
        <f t="shared" si="1"/>
        <v>0</v>
      </c>
      <c r="AD30" s="67"/>
      <c r="AE30" s="67"/>
      <c r="AF30" s="67"/>
      <c r="AG30" s="67"/>
      <c r="AH30" s="66">
        <f t="shared" si="2"/>
        <v>0</v>
      </c>
      <c r="AI30" s="68">
        <f t="shared" si="13"/>
        <v>0</v>
      </c>
    </row>
    <row r="31" spans="1:37" ht="17.25" customHeight="1" x14ac:dyDescent="0.25">
      <c r="A31" s="40">
        <f t="shared" si="12"/>
        <v>8</v>
      </c>
      <c r="B31" s="58" t="s">
        <v>335</v>
      </c>
      <c r="C31" s="59" t="s">
        <v>32</v>
      </c>
      <c r="D31" s="67"/>
      <c r="E31" s="67"/>
      <c r="F31" s="67"/>
      <c r="G31" s="67"/>
      <c r="H31" s="66">
        <f t="shared" si="0"/>
        <v>0</v>
      </c>
      <c r="I31" s="12"/>
      <c r="J31" s="12"/>
      <c r="K31" s="12"/>
      <c r="L31" s="67"/>
      <c r="M31" s="67"/>
      <c r="N31" s="67"/>
      <c r="O31" s="66">
        <f t="shared" si="11"/>
        <v>0</v>
      </c>
      <c r="P31" s="67"/>
      <c r="Q31" s="19"/>
      <c r="R31" s="67"/>
      <c r="S31" s="67"/>
      <c r="T31" s="67"/>
      <c r="U31" s="67"/>
      <c r="V31" s="66">
        <f t="shared" si="6"/>
        <v>0</v>
      </c>
      <c r="W31" s="67"/>
      <c r="X31" s="67"/>
      <c r="Y31" s="67"/>
      <c r="Z31" s="67"/>
      <c r="AA31" s="67"/>
      <c r="AB31" s="67"/>
      <c r="AC31" s="66">
        <f t="shared" si="1"/>
        <v>0</v>
      </c>
      <c r="AD31" s="67"/>
      <c r="AE31" s="67"/>
      <c r="AF31" s="67"/>
      <c r="AG31" s="67">
        <v>764</v>
      </c>
      <c r="AH31" s="66">
        <f t="shared" si="2"/>
        <v>764</v>
      </c>
      <c r="AI31" s="68">
        <f t="shared" si="13"/>
        <v>764</v>
      </c>
    </row>
    <row r="32" spans="1:37" ht="17.25" customHeight="1" x14ac:dyDescent="0.25">
      <c r="A32" s="40">
        <f t="shared" si="12"/>
        <v>9</v>
      </c>
      <c r="B32" s="58" t="s">
        <v>336</v>
      </c>
      <c r="C32" s="59" t="s">
        <v>32</v>
      </c>
      <c r="D32" s="67"/>
      <c r="E32" s="67"/>
      <c r="F32" s="67"/>
      <c r="G32" s="67"/>
      <c r="H32" s="66">
        <f t="shared" si="0"/>
        <v>0</v>
      </c>
      <c r="I32" s="12"/>
      <c r="J32" s="12"/>
      <c r="K32" s="12"/>
      <c r="L32" s="67"/>
      <c r="M32" s="67"/>
      <c r="N32" s="67"/>
      <c r="O32" s="66">
        <f t="shared" si="11"/>
        <v>0</v>
      </c>
      <c r="P32" s="67"/>
      <c r="Q32" s="19"/>
      <c r="R32" s="67"/>
      <c r="S32" s="67"/>
      <c r="T32" s="67"/>
      <c r="U32" s="67"/>
      <c r="V32" s="66">
        <f t="shared" si="6"/>
        <v>0</v>
      </c>
      <c r="W32" s="67"/>
      <c r="X32" s="67"/>
      <c r="Y32" s="67"/>
      <c r="Z32" s="67"/>
      <c r="AA32" s="67"/>
      <c r="AB32" s="67"/>
      <c r="AC32" s="66">
        <f t="shared" si="1"/>
        <v>0</v>
      </c>
      <c r="AD32" s="67"/>
      <c r="AE32" s="67"/>
      <c r="AF32" s="67"/>
      <c r="AG32" s="67"/>
      <c r="AH32" s="66">
        <f t="shared" si="2"/>
        <v>0</v>
      </c>
      <c r="AI32" s="68">
        <f t="shared" si="13"/>
        <v>0</v>
      </c>
      <c r="AK32" s="49"/>
    </row>
    <row r="33" spans="1:35" ht="17.25" customHeight="1" x14ac:dyDescent="0.25">
      <c r="A33" s="40">
        <f t="shared" si="12"/>
        <v>10</v>
      </c>
      <c r="B33" s="58" t="s">
        <v>337</v>
      </c>
      <c r="C33" s="59" t="s">
        <v>32</v>
      </c>
      <c r="D33" s="67"/>
      <c r="E33" s="67"/>
      <c r="F33" s="67"/>
      <c r="G33" s="67"/>
      <c r="H33" s="66">
        <f t="shared" si="0"/>
        <v>0</v>
      </c>
      <c r="I33" s="12"/>
      <c r="J33" s="12"/>
      <c r="K33" s="12"/>
      <c r="L33" s="67"/>
      <c r="M33" s="67"/>
      <c r="N33" s="67"/>
      <c r="O33" s="66">
        <f t="shared" si="11"/>
        <v>0</v>
      </c>
      <c r="P33" s="67"/>
      <c r="Q33" s="19"/>
      <c r="R33" s="67"/>
      <c r="S33" s="67"/>
      <c r="T33" s="67"/>
      <c r="U33" s="67"/>
      <c r="V33" s="66">
        <f t="shared" si="6"/>
        <v>0</v>
      </c>
      <c r="W33" s="67"/>
      <c r="X33" s="67"/>
      <c r="Y33" s="67"/>
      <c r="Z33" s="67"/>
      <c r="AA33" s="67"/>
      <c r="AB33" s="67"/>
      <c r="AC33" s="66">
        <f t="shared" si="1"/>
        <v>0</v>
      </c>
      <c r="AD33" s="67"/>
      <c r="AE33" s="67"/>
      <c r="AF33" s="67"/>
      <c r="AG33" s="67"/>
      <c r="AH33" s="66">
        <f t="shared" si="2"/>
        <v>0</v>
      </c>
      <c r="AI33" s="68">
        <f t="shared" si="13"/>
        <v>0</v>
      </c>
    </row>
    <row r="34" spans="1:35" ht="17.25" customHeight="1" x14ac:dyDescent="0.25">
      <c r="A34" s="40">
        <f t="shared" si="12"/>
        <v>11</v>
      </c>
      <c r="B34" s="43" t="s">
        <v>308</v>
      </c>
      <c r="C34" s="59" t="s">
        <v>32</v>
      </c>
      <c r="D34" s="67"/>
      <c r="E34" s="67"/>
      <c r="F34" s="67"/>
      <c r="G34" s="67"/>
      <c r="H34" s="66">
        <f t="shared" si="0"/>
        <v>0</v>
      </c>
      <c r="I34" s="12"/>
      <c r="J34" s="12"/>
      <c r="K34" s="12"/>
      <c r="L34" s="67"/>
      <c r="M34" s="67"/>
      <c r="N34" s="67"/>
      <c r="O34" s="66">
        <f t="shared" si="11"/>
        <v>0</v>
      </c>
      <c r="P34" s="67"/>
      <c r="Q34" s="19"/>
      <c r="R34" s="67"/>
      <c r="S34" s="67"/>
      <c r="T34" s="67"/>
      <c r="U34" s="67"/>
      <c r="V34" s="66">
        <f t="shared" si="6"/>
        <v>0</v>
      </c>
      <c r="W34" s="67"/>
      <c r="X34" s="67"/>
      <c r="Y34" s="67"/>
      <c r="Z34" s="67"/>
      <c r="AA34" s="67"/>
      <c r="AB34" s="67"/>
      <c r="AC34" s="66">
        <f t="shared" si="1"/>
        <v>0</v>
      </c>
      <c r="AD34" s="67"/>
      <c r="AE34" s="67"/>
      <c r="AF34" s="67"/>
      <c r="AG34" s="67">
        <v>169673</v>
      </c>
      <c r="AH34" s="66">
        <f t="shared" si="2"/>
        <v>169673</v>
      </c>
      <c r="AI34" s="68">
        <f t="shared" si="13"/>
        <v>169673</v>
      </c>
    </row>
    <row r="35" spans="1:35" ht="17.25" customHeight="1" x14ac:dyDescent="0.25">
      <c r="A35" s="40">
        <f t="shared" si="12"/>
        <v>12</v>
      </c>
      <c r="B35" s="10" t="s">
        <v>349</v>
      </c>
      <c r="C35" s="59" t="s">
        <v>32</v>
      </c>
      <c r="D35" s="67"/>
      <c r="E35" s="67"/>
      <c r="F35" s="67"/>
      <c r="G35" s="67"/>
      <c r="H35" s="66">
        <f t="shared" si="0"/>
        <v>0</v>
      </c>
      <c r="I35" s="12"/>
      <c r="J35" s="12"/>
      <c r="K35" s="12"/>
      <c r="L35" s="12"/>
      <c r="M35" s="12"/>
      <c r="N35" s="12"/>
      <c r="O35" s="66">
        <f t="shared" si="11"/>
        <v>0</v>
      </c>
      <c r="P35" s="67"/>
      <c r="Q35" s="19"/>
      <c r="R35" s="67"/>
      <c r="S35" s="67"/>
      <c r="T35" s="12"/>
      <c r="U35" s="12"/>
      <c r="V35" s="66">
        <f t="shared" si="6"/>
        <v>0</v>
      </c>
      <c r="W35" s="67"/>
      <c r="X35" s="12"/>
      <c r="Y35" s="12"/>
      <c r="Z35" s="67"/>
      <c r="AA35" s="67"/>
      <c r="AB35" s="67"/>
      <c r="AC35" s="66">
        <f t="shared" si="1"/>
        <v>0</v>
      </c>
      <c r="AD35" s="67"/>
      <c r="AE35" s="67"/>
      <c r="AF35" s="67"/>
      <c r="AG35" s="67">
        <v>135412.5</v>
      </c>
      <c r="AH35" s="66">
        <f t="shared" si="2"/>
        <v>135412.5</v>
      </c>
      <c r="AI35" s="68">
        <f t="shared" si="13"/>
        <v>135412.5</v>
      </c>
    </row>
    <row r="36" spans="1:35" ht="17.25" customHeight="1" x14ac:dyDescent="0.25">
      <c r="A36" s="40">
        <f t="shared" si="12"/>
        <v>13</v>
      </c>
      <c r="B36" s="58" t="s">
        <v>330</v>
      </c>
      <c r="C36" s="59" t="s">
        <v>347</v>
      </c>
      <c r="D36" s="67"/>
      <c r="E36" s="67"/>
      <c r="F36" s="67"/>
      <c r="G36" s="67"/>
      <c r="H36" s="66">
        <f t="shared" si="0"/>
        <v>0</v>
      </c>
      <c r="I36" s="12"/>
      <c r="J36" s="12"/>
      <c r="K36" s="12"/>
      <c r="L36" s="12"/>
      <c r="M36" s="12"/>
      <c r="N36" s="12"/>
      <c r="O36" s="66">
        <f t="shared" si="11"/>
        <v>0</v>
      </c>
      <c r="P36" s="67"/>
      <c r="Q36" s="67"/>
      <c r="R36" s="67"/>
      <c r="S36" s="67"/>
      <c r="T36" s="12"/>
      <c r="U36" s="12"/>
      <c r="V36" s="66">
        <f t="shared" si="6"/>
        <v>0</v>
      </c>
      <c r="W36" s="67"/>
      <c r="X36" s="12"/>
      <c r="Y36" s="12"/>
      <c r="Z36" s="67"/>
      <c r="AA36" s="67"/>
      <c r="AB36" s="67"/>
      <c r="AC36" s="66">
        <f t="shared" si="1"/>
        <v>0</v>
      </c>
      <c r="AD36" s="67"/>
      <c r="AE36" s="67"/>
      <c r="AF36" s="67"/>
      <c r="AG36" s="67"/>
      <c r="AH36" s="66">
        <f t="shared" si="2"/>
        <v>0</v>
      </c>
      <c r="AI36" s="68">
        <f t="shared" si="13"/>
        <v>0</v>
      </c>
    </row>
    <row r="37" spans="1:35" ht="17.25" customHeight="1" x14ac:dyDescent="0.25">
      <c r="A37" s="40">
        <f t="shared" si="12"/>
        <v>14</v>
      </c>
      <c r="B37" s="58" t="s">
        <v>352</v>
      </c>
      <c r="C37" s="59" t="s">
        <v>32</v>
      </c>
      <c r="D37" s="67"/>
      <c r="E37" s="67"/>
      <c r="F37" s="67"/>
      <c r="G37" s="67"/>
      <c r="H37" s="66">
        <f t="shared" si="0"/>
        <v>0</v>
      </c>
      <c r="I37" s="12"/>
      <c r="J37" s="12"/>
      <c r="K37" s="12"/>
      <c r="L37" s="12"/>
      <c r="M37" s="12"/>
      <c r="N37" s="12"/>
      <c r="O37" s="66">
        <f t="shared" si="11"/>
        <v>0</v>
      </c>
      <c r="P37" s="67"/>
      <c r="Q37" s="67"/>
      <c r="R37" s="67"/>
      <c r="S37" s="67"/>
      <c r="T37" s="12"/>
      <c r="U37" s="12"/>
      <c r="V37" s="66">
        <f t="shared" si="6"/>
        <v>0</v>
      </c>
      <c r="W37" s="12"/>
      <c r="X37" s="11"/>
      <c r="Y37" s="12"/>
      <c r="Z37" s="67"/>
      <c r="AA37" s="67"/>
      <c r="AB37" s="67"/>
      <c r="AC37" s="66">
        <f t="shared" si="1"/>
        <v>0</v>
      </c>
      <c r="AD37" s="67"/>
      <c r="AE37" s="67"/>
      <c r="AF37" s="67"/>
      <c r="AG37" s="67">
        <v>1650</v>
      </c>
      <c r="AH37" s="66">
        <f t="shared" si="2"/>
        <v>1650</v>
      </c>
      <c r="AI37" s="68">
        <f t="shared" si="13"/>
        <v>1650</v>
      </c>
    </row>
    <row r="38" spans="1:35" ht="19.5" customHeight="1" x14ac:dyDescent="0.25">
      <c r="A38" s="40">
        <f t="shared" si="12"/>
        <v>15</v>
      </c>
      <c r="B38" s="64" t="s">
        <v>331</v>
      </c>
      <c r="C38" s="59" t="s">
        <v>26</v>
      </c>
      <c r="D38" s="67"/>
      <c r="E38" s="67"/>
      <c r="F38" s="67"/>
      <c r="G38" s="67"/>
      <c r="H38" s="66"/>
      <c r="I38" s="12"/>
      <c r="J38" s="12"/>
      <c r="K38" s="12"/>
      <c r="L38" s="12"/>
      <c r="M38" s="12"/>
      <c r="N38" s="12"/>
      <c r="O38" s="66"/>
      <c r="P38" s="67"/>
      <c r="Q38" s="67"/>
      <c r="R38" s="67"/>
      <c r="S38" s="67"/>
      <c r="T38" s="12"/>
      <c r="U38" s="12"/>
      <c r="V38" s="66"/>
      <c r="W38" s="12"/>
      <c r="X38" s="11"/>
      <c r="Y38" s="12"/>
      <c r="Z38" s="67"/>
      <c r="AA38" s="67"/>
      <c r="AB38" s="67"/>
      <c r="AC38" s="66"/>
      <c r="AD38" s="67"/>
      <c r="AE38" s="67"/>
      <c r="AF38" s="67"/>
      <c r="AG38" s="67">
        <v>204775</v>
      </c>
      <c r="AH38" s="66">
        <f t="shared" si="2"/>
        <v>204775</v>
      </c>
      <c r="AI38" s="68">
        <f t="shared" si="13"/>
        <v>204775</v>
      </c>
    </row>
    <row r="39" spans="1:35" ht="17.25" customHeight="1" x14ac:dyDescent="0.25">
      <c r="A39" s="40">
        <f t="shared" si="12"/>
        <v>16</v>
      </c>
      <c r="B39" s="58" t="s">
        <v>107</v>
      </c>
      <c r="C39" s="59" t="s">
        <v>32</v>
      </c>
      <c r="D39" s="67"/>
      <c r="E39" s="67"/>
      <c r="F39" s="67"/>
      <c r="G39" s="67"/>
      <c r="H39" s="66"/>
      <c r="I39" s="12"/>
      <c r="J39" s="12"/>
      <c r="K39" s="12"/>
      <c r="L39" s="12"/>
      <c r="M39" s="12"/>
      <c r="N39" s="12"/>
      <c r="O39" s="66"/>
      <c r="P39" s="67"/>
      <c r="Q39" s="67"/>
      <c r="R39" s="67"/>
      <c r="S39" s="67"/>
      <c r="T39" s="12"/>
      <c r="U39" s="12"/>
      <c r="V39" s="66"/>
      <c r="W39" s="12"/>
      <c r="X39" s="11"/>
      <c r="Y39" s="12"/>
      <c r="Z39" s="67"/>
      <c r="AA39" s="67"/>
      <c r="AB39" s="67"/>
      <c r="AC39" s="66"/>
      <c r="AD39" s="67"/>
      <c r="AE39" s="67"/>
      <c r="AF39" s="67"/>
      <c r="AG39" s="67"/>
      <c r="AH39" s="66">
        <f>SUM(AD39:AG39)</f>
        <v>0</v>
      </c>
      <c r="AI39" s="68">
        <f t="shared" si="13"/>
        <v>0</v>
      </c>
    </row>
    <row r="40" spans="1:35" ht="17.25" customHeight="1" x14ac:dyDescent="0.25">
      <c r="A40" s="40">
        <f t="shared" si="12"/>
        <v>17</v>
      </c>
      <c r="B40" s="58" t="s">
        <v>110</v>
      </c>
      <c r="C40" s="59" t="s">
        <v>32</v>
      </c>
      <c r="D40" s="67"/>
      <c r="E40" s="67"/>
      <c r="F40" s="67"/>
      <c r="G40" s="67"/>
      <c r="H40" s="66"/>
      <c r="I40" s="12"/>
      <c r="J40" s="12"/>
      <c r="K40" s="12"/>
      <c r="L40" s="12"/>
      <c r="M40" s="12"/>
      <c r="N40" s="12"/>
      <c r="O40" s="66"/>
      <c r="P40" s="67"/>
      <c r="Q40" s="67"/>
      <c r="R40" s="67"/>
      <c r="S40" s="67"/>
      <c r="T40" s="12"/>
      <c r="U40" s="12"/>
      <c r="V40" s="66"/>
      <c r="W40" s="12"/>
      <c r="X40" s="11"/>
      <c r="Y40" s="12"/>
      <c r="Z40" s="67"/>
      <c r="AA40" s="67"/>
      <c r="AB40" s="67"/>
      <c r="AC40" s="66"/>
      <c r="AD40" s="67"/>
      <c r="AE40" s="67"/>
      <c r="AF40" s="67"/>
      <c r="AG40" s="67"/>
      <c r="AH40" s="66">
        <f t="shared" ref="AH40:AH47" si="14">SUM(AD40:AG40)</f>
        <v>0</v>
      </c>
      <c r="AI40" s="68">
        <f t="shared" si="13"/>
        <v>0</v>
      </c>
    </row>
    <row r="41" spans="1:35" ht="17.25" customHeight="1" x14ac:dyDescent="0.25">
      <c r="A41" s="40">
        <f t="shared" si="12"/>
        <v>18</v>
      </c>
      <c r="B41" s="58" t="s">
        <v>98</v>
      </c>
      <c r="C41" s="59" t="s">
        <v>88</v>
      </c>
      <c r="D41" s="67"/>
      <c r="E41" s="67"/>
      <c r="F41" s="67"/>
      <c r="G41" s="67"/>
      <c r="H41" s="66"/>
      <c r="I41" s="12"/>
      <c r="J41" s="12"/>
      <c r="K41" s="12"/>
      <c r="L41" s="12"/>
      <c r="M41" s="12"/>
      <c r="N41" s="12"/>
      <c r="O41" s="66"/>
      <c r="P41" s="67"/>
      <c r="Q41" s="67"/>
      <c r="R41" s="67"/>
      <c r="S41" s="67"/>
      <c r="T41" s="12"/>
      <c r="U41" s="12"/>
      <c r="V41" s="66"/>
      <c r="W41" s="12"/>
      <c r="X41" s="11"/>
      <c r="Y41" s="12"/>
      <c r="Z41" s="67"/>
      <c r="AA41" s="67"/>
      <c r="AB41" s="67"/>
      <c r="AC41" s="66"/>
      <c r="AD41" s="67"/>
      <c r="AE41" s="67"/>
      <c r="AF41" s="67"/>
      <c r="AG41" s="67"/>
      <c r="AH41" s="66">
        <f t="shared" si="14"/>
        <v>0</v>
      </c>
      <c r="AI41" s="68">
        <f t="shared" si="13"/>
        <v>0</v>
      </c>
    </row>
    <row r="42" spans="1:35" ht="17.25" customHeight="1" x14ac:dyDescent="0.25">
      <c r="A42" s="40">
        <f t="shared" si="12"/>
        <v>19</v>
      </c>
      <c r="B42" s="58" t="s">
        <v>111</v>
      </c>
      <c r="C42" s="59" t="s">
        <v>88</v>
      </c>
      <c r="D42" s="67"/>
      <c r="E42" s="67"/>
      <c r="F42" s="67"/>
      <c r="G42" s="67"/>
      <c r="H42" s="66"/>
      <c r="I42" s="12"/>
      <c r="J42" s="12"/>
      <c r="K42" s="12"/>
      <c r="L42" s="12"/>
      <c r="M42" s="12"/>
      <c r="N42" s="12"/>
      <c r="O42" s="66"/>
      <c r="P42" s="67"/>
      <c r="Q42" s="67"/>
      <c r="R42" s="67"/>
      <c r="S42" s="67"/>
      <c r="T42" s="12"/>
      <c r="U42" s="12"/>
      <c r="V42" s="66"/>
      <c r="W42" s="12"/>
      <c r="X42" s="11"/>
      <c r="Y42" s="12"/>
      <c r="Z42" s="67"/>
      <c r="AA42" s="67"/>
      <c r="AB42" s="67"/>
      <c r="AC42" s="66"/>
      <c r="AD42" s="67"/>
      <c r="AE42" s="67"/>
      <c r="AF42" s="67"/>
      <c r="AG42" s="67"/>
      <c r="AH42" s="66">
        <f t="shared" si="14"/>
        <v>0</v>
      </c>
      <c r="AI42" s="68">
        <f t="shared" si="13"/>
        <v>0</v>
      </c>
    </row>
    <row r="43" spans="1:35" ht="17.25" customHeight="1" x14ac:dyDescent="0.25">
      <c r="A43" s="40">
        <f t="shared" si="12"/>
        <v>20</v>
      </c>
      <c r="B43" s="58" t="s">
        <v>166</v>
      </c>
      <c r="C43" s="59" t="s">
        <v>16</v>
      </c>
      <c r="D43" s="67"/>
      <c r="E43" s="67"/>
      <c r="F43" s="67"/>
      <c r="G43" s="67"/>
      <c r="H43" s="66"/>
      <c r="I43" s="12"/>
      <c r="J43" s="12"/>
      <c r="K43" s="12"/>
      <c r="L43" s="12"/>
      <c r="M43" s="12"/>
      <c r="N43" s="12"/>
      <c r="O43" s="66"/>
      <c r="P43" s="67"/>
      <c r="Q43" s="67"/>
      <c r="R43" s="67"/>
      <c r="S43" s="67"/>
      <c r="T43" s="12"/>
      <c r="U43" s="12"/>
      <c r="V43" s="66"/>
      <c r="W43" s="67"/>
      <c r="X43" s="12"/>
      <c r="Y43" s="11"/>
      <c r="Z43" s="67"/>
      <c r="AA43" s="67"/>
      <c r="AB43" s="67"/>
      <c r="AC43" s="66"/>
      <c r="AD43" s="67"/>
      <c r="AE43" s="67"/>
      <c r="AF43" s="67"/>
      <c r="AG43" s="67">
        <v>234444</v>
      </c>
      <c r="AH43" s="66">
        <f t="shared" si="14"/>
        <v>234444</v>
      </c>
      <c r="AI43" s="68">
        <f t="shared" si="13"/>
        <v>234444</v>
      </c>
    </row>
    <row r="44" spans="1:35" ht="30.75" customHeight="1" x14ac:dyDescent="0.25">
      <c r="A44" s="40">
        <f t="shared" si="12"/>
        <v>21</v>
      </c>
      <c r="B44" s="58" t="s">
        <v>310</v>
      </c>
      <c r="C44" s="59" t="s">
        <v>270</v>
      </c>
      <c r="D44" s="67"/>
      <c r="E44" s="67"/>
      <c r="F44" s="67"/>
      <c r="G44" s="67"/>
      <c r="H44" s="66"/>
      <c r="I44" s="12"/>
      <c r="J44" s="12"/>
      <c r="K44" s="12"/>
      <c r="L44" s="12"/>
      <c r="M44" s="12"/>
      <c r="N44" s="12"/>
      <c r="O44" s="66"/>
      <c r="P44" s="67"/>
      <c r="Q44" s="67"/>
      <c r="R44" s="67"/>
      <c r="S44" s="67"/>
      <c r="T44" s="12"/>
      <c r="U44" s="12"/>
      <c r="V44" s="66"/>
      <c r="W44" s="67"/>
      <c r="X44" s="12"/>
      <c r="Y44" s="11"/>
      <c r="Z44" s="67"/>
      <c r="AA44" s="67"/>
      <c r="AB44" s="67"/>
      <c r="AC44" s="66"/>
      <c r="AD44" s="67"/>
      <c r="AE44" s="67"/>
      <c r="AF44" s="67"/>
      <c r="AG44" s="67"/>
      <c r="AH44" s="66">
        <f t="shared" si="14"/>
        <v>0</v>
      </c>
      <c r="AI44" s="68">
        <f t="shared" si="13"/>
        <v>0</v>
      </c>
    </row>
    <row r="45" spans="1:35" ht="17.25" customHeight="1" x14ac:dyDescent="0.25">
      <c r="A45" s="40">
        <f t="shared" si="12"/>
        <v>22</v>
      </c>
      <c r="B45" s="58" t="s">
        <v>363</v>
      </c>
      <c r="C45" s="59" t="s">
        <v>29</v>
      </c>
      <c r="D45" s="67"/>
      <c r="E45" s="67"/>
      <c r="F45" s="67"/>
      <c r="G45" s="67"/>
      <c r="H45" s="66"/>
      <c r="I45" s="12"/>
      <c r="J45" s="12"/>
      <c r="K45" s="12"/>
      <c r="L45" s="12"/>
      <c r="M45" s="12"/>
      <c r="N45" s="12"/>
      <c r="O45" s="66"/>
      <c r="P45" s="67"/>
      <c r="Q45" s="67"/>
      <c r="R45" s="67"/>
      <c r="S45" s="67"/>
      <c r="T45" s="12"/>
      <c r="U45" s="12"/>
      <c r="V45" s="66"/>
      <c r="W45" s="67"/>
      <c r="X45" s="12"/>
      <c r="Y45" s="11"/>
      <c r="Z45" s="67"/>
      <c r="AA45" s="67"/>
      <c r="AB45" s="67"/>
      <c r="AC45" s="66"/>
      <c r="AD45" s="67"/>
      <c r="AE45" s="67"/>
      <c r="AF45" s="67"/>
      <c r="AG45" s="67">
        <v>25714</v>
      </c>
      <c r="AH45" s="66">
        <f t="shared" si="14"/>
        <v>25714</v>
      </c>
      <c r="AI45" s="68">
        <f t="shared" si="13"/>
        <v>25714</v>
      </c>
    </row>
    <row r="46" spans="1:35" ht="17.25" customHeight="1" x14ac:dyDescent="0.25">
      <c r="A46" s="40">
        <f t="shared" si="12"/>
        <v>23</v>
      </c>
      <c r="B46" s="58" t="s">
        <v>350</v>
      </c>
      <c r="C46" s="59" t="s">
        <v>86</v>
      </c>
      <c r="D46" s="67"/>
      <c r="E46" s="67"/>
      <c r="F46" s="67"/>
      <c r="G46" s="67"/>
      <c r="H46" s="66"/>
      <c r="I46" s="12"/>
      <c r="J46" s="12"/>
      <c r="K46" s="12"/>
      <c r="L46" s="12"/>
      <c r="M46" s="12"/>
      <c r="N46" s="12"/>
      <c r="O46" s="66"/>
      <c r="P46" s="67"/>
      <c r="Q46" s="67"/>
      <c r="R46" s="67"/>
      <c r="S46" s="67"/>
      <c r="T46" s="12"/>
      <c r="U46" s="12"/>
      <c r="V46" s="66"/>
      <c r="W46" s="67"/>
      <c r="X46" s="12"/>
      <c r="Y46" s="11"/>
      <c r="Z46" s="67"/>
      <c r="AA46" s="67"/>
      <c r="AB46" s="67"/>
      <c r="AC46" s="66"/>
      <c r="AD46" s="67"/>
      <c r="AE46" s="67"/>
      <c r="AF46" s="67"/>
      <c r="AG46" s="67">
        <v>77007.149999999994</v>
      </c>
      <c r="AH46" s="66">
        <f t="shared" si="14"/>
        <v>77007.149999999994</v>
      </c>
      <c r="AI46" s="68">
        <f t="shared" si="13"/>
        <v>77007.149999999994</v>
      </c>
    </row>
    <row r="47" spans="1:35" ht="17.25" customHeight="1" x14ac:dyDescent="0.25">
      <c r="A47" s="40">
        <f t="shared" si="12"/>
        <v>24</v>
      </c>
      <c r="B47" s="58" t="s">
        <v>223</v>
      </c>
      <c r="C47" s="59" t="s">
        <v>9</v>
      </c>
      <c r="D47" s="67"/>
      <c r="E47" s="67"/>
      <c r="F47" s="67"/>
      <c r="G47" s="67"/>
      <c r="H47" s="66">
        <f t="shared" si="0"/>
        <v>0</v>
      </c>
      <c r="I47" s="12"/>
      <c r="J47" s="12"/>
      <c r="K47" s="12"/>
      <c r="L47" s="12"/>
      <c r="M47" s="12"/>
      <c r="N47" s="12"/>
      <c r="O47" s="66">
        <f t="shared" si="11"/>
        <v>0</v>
      </c>
      <c r="P47" s="67"/>
      <c r="Q47" s="67"/>
      <c r="R47" s="67"/>
      <c r="S47" s="67"/>
      <c r="T47" s="12"/>
      <c r="U47" s="12"/>
      <c r="V47" s="66">
        <f t="shared" si="6"/>
        <v>0</v>
      </c>
      <c r="W47" s="67"/>
      <c r="X47" s="12"/>
      <c r="Y47" s="11"/>
      <c r="Z47" s="67"/>
      <c r="AA47" s="67"/>
      <c r="AB47" s="67"/>
      <c r="AC47" s="66">
        <f t="shared" si="1"/>
        <v>0</v>
      </c>
      <c r="AD47" s="67"/>
      <c r="AE47" s="67"/>
      <c r="AF47" s="67"/>
      <c r="AG47" s="67">
        <v>222815</v>
      </c>
      <c r="AH47" s="66">
        <f t="shared" si="14"/>
        <v>222815</v>
      </c>
      <c r="AI47" s="68">
        <f t="shared" si="13"/>
        <v>222815</v>
      </c>
    </row>
    <row r="48" spans="1:35" ht="17.25" customHeight="1" x14ac:dyDescent="0.25">
      <c r="A48" s="40">
        <f t="shared" si="12"/>
        <v>25</v>
      </c>
      <c r="B48" s="58" t="s">
        <v>184</v>
      </c>
      <c r="C48" s="59" t="s">
        <v>32</v>
      </c>
      <c r="D48" s="67"/>
      <c r="E48" s="67"/>
      <c r="F48" s="67"/>
      <c r="G48" s="67"/>
      <c r="H48" s="66">
        <f t="shared" si="0"/>
        <v>0</v>
      </c>
      <c r="I48" s="12"/>
      <c r="J48" s="12"/>
      <c r="K48" s="12"/>
      <c r="L48" s="12"/>
      <c r="M48" s="12"/>
      <c r="N48" s="12"/>
      <c r="O48" s="66">
        <f t="shared" si="11"/>
        <v>0</v>
      </c>
      <c r="P48" s="67"/>
      <c r="Q48" s="67"/>
      <c r="R48" s="67"/>
      <c r="S48" s="67"/>
      <c r="T48" s="67"/>
      <c r="U48" s="67"/>
      <c r="V48" s="66">
        <f t="shared" si="6"/>
        <v>0</v>
      </c>
      <c r="W48" s="67"/>
      <c r="X48" s="67"/>
      <c r="Y48" s="67"/>
      <c r="Z48" s="67"/>
      <c r="AA48" s="67"/>
      <c r="AB48" s="67"/>
      <c r="AC48" s="66">
        <f t="shared" si="1"/>
        <v>0</v>
      </c>
      <c r="AD48" s="67"/>
      <c r="AE48" s="67"/>
      <c r="AF48" s="67"/>
      <c r="AG48" s="67">
        <v>31761.5</v>
      </c>
      <c r="AH48" s="66">
        <f t="shared" si="2"/>
        <v>31761.5</v>
      </c>
      <c r="AI48" s="68">
        <f t="shared" si="13"/>
        <v>31761.5</v>
      </c>
    </row>
    <row r="49" spans="1:37" ht="16.5" thickBot="1" x14ac:dyDescent="0.3">
      <c r="A49" s="274" t="s">
        <v>79</v>
      </c>
      <c r="B49" s="274"/>
      <c r="C49" s="274"/>
      <c r="D49" s="92"/>
      <c r="E49" s="92"/>
      <c r="F49" s="92"/>
      <c r="G49" s="92">
        <f>SUM(G24:G48)</f>
        <v>0</v>
      </c>
      <c r="H49" s="91">
        <f t="shared" si="0"/>
        <v>0</v>
      </c>
      <c r="I49" s="92">
        <f t="shared" ref="I49:N49" si="15">SUM(I24:I48)</f>
        <v>0</v>
      </c>
      <c r="J49" s="92">
        <f t="shared" si="15"/>
        <v>0</v>
      </c>
      <c r="K49" s="92">
        <f t="shared" si="15"/>
        <v>0</v>
      </c>
      <c r="L49" s="92">
        <f t="shared" si="15"/>
        <v>0</v>
      </c>
      <c r="M49" s="92">
        <f t="shared" si="15"/>
        <v>0</v>
      </c>
      <c r="N49" s="92">
        <f t="shared" si="15"/>
        <v>0</v>
      </c>
      <c r="O49" s="91">
        <f>SUM(I49:N49)</f>
        <v>0</v>
      </c>
      <c r="P49" s="92">
        <f t="shared" ref="P49:U49" si="16">SUM(P24:P48)</f>
        <v>0</v>
      </c>
      <c r="Q49" s="92">
        <f t="shared" si="16"/>
        <v>0</v>
      </c>
      <c r="R49" s="92">
        <f t="shared" si="16"/>
        <v>0</v>
      </c>
      <c r="S49" s="92">
        <f t="shared" si="16"/>
        <v>0</v>
      </c>
      <c r="T49" s="92">
        <f t="shared" si="16"/>
        <v>0</v>
      </c>
      <c r="U49" s="92">
        <f t="shared" si="16"/>
        <v>0</v>
      </c>
      <c r="V49" s="91">
        <f>SUM(P49:U49)</f>
        <v>0</v>
      </c>
      <c r="W49" s="92">
        <f t="shared" ref="W49:AB49" si="17">SUM(W24:W48)</f>
        <v>0</v>
      </c>
      <c r="X49" s="92">
        <f t="shared" si="17"/>
        <v>0</v>
      </c>
      <c r="Y49" s="92">
        <f t="shared" si="17"/>
        <v>0</v>
      </c>
      <c r="Z49" s="92">
        <f t="shared" si="17"/>
        <v>0</v>
      </c>
      <c r="AA49" s="92">
        <f t="shared" si="17"/>
        <v>0</v>
      </c>
      <c r="AB49" s="92">
        <f t="shared" si="17"/>
        <v>0</v>
      </c>
      <c r="AC49" s="91">
        <f t="shared" si="1"/>
        <v>0</v>
      </c>
      <c r="AD49" s="92">
        <f>SUM(AD24:AD48)</f>
        <v>0</v>
      </c>
      <c r="AE49" s="92">
        <f>SUM(AE24:AE48)</f>
        <v>0</v>
      </c>
      <c r="AF49" s="92">
        <f>SUM(AF24:AF48)</f>
        <v>0</v>
      </c>
      <c r="AG49" s="92">
        <f>SUM(AG24:AG48)</f>
        <v>1210157.1499999999</v>
      </c>
      <c r="AH49" s="66">
        <f>SUM(AD49:AG49)</f>
        <v>1210157.1499999999</v>
      </c>
      <c r="AI49" s="70">
        <f>SUM(AI24:AI48)</f>
        <v>1210157.1499999999</v>
      </c>
    </row>
    <row r="50" spans="1:37" ht="29.25" customHeight="1" thickTop="1" x14ac:dyDescent="0.25">
      <c r="A50" s="269" t="s">
        <v>78</v>
      </c>
      <c r="B50" s="269"/>
      <c r="C50" s="269"/>
      <c r="D50" s="71">
        <f>+D23+D49</f>
        <v>0</v>
      </c>
      <c r="E50" s="71">
        <f>+E23+E49</f>
        <v>0</v>
      </c>
      <c r="F50" s="71">
        <f>+F23+F49</f>
        <v>0</v>
      </c>
      <c r="G50" s="71">
        <f>+G23+G49</f>
        <v>0</v>
      </c>
      <c r="H50" s="66">
        <f t="shared" si="0"/>
        <v>0</v>
      </c>
      <c r="I50" s="71">
        <f t="shared" ref="I50:N50" si="18">+I23+I49</f>
        <v>0</v>
      </c>
      <c r="J50" s="71">
        <f t="shared" si="18"/>
        <v>0</v>
      </c>
      <c r="K50" s="71">
        <f t="shared" si="18"/>
        <v>0</v>
      </c>
      <c r="L50" s="71">
        <f t="shared" si="18"/>
        <v>0</v>
      </c>
      <c r="M50" s="71">
        <f t="shared" si="18"/>
        <v>0</v>
      </c>
      <c r="N50" s="71">
        <f t="shared" si="18"/>
        <v>0</v>
      </c>
      <c r="O50" s="66">
        <f t="shared" si="4"/>
        <v>0</v>
      </c>
      <c r="P50" s="71">
        <f t="shared" ref="P50:U50" si="19">+P23+P49</f>
        <v>0</v>
      </c>
      <c r="Q50" s="71">
        <f t="shared" si="19"/>
        <v>0</v>
      </c>
      <c r="R50" s="71">
        <f t="shared" si="19"/>
        <v>0</v>
      </c>
      <c r="S50" s="71">
        <f t="shared" si="19"/>
        <v>0</v>
      </c>
      <c r="T50" s="71">
        <f t="shared" si="19"/>
        <v>0</v>
      </c>
      <c r="U50" s="71">
        <f t="shared" si="19"/>
        <v>0</v>
      </c>
      <c r="V50" s="66">
        <f>SUM(P50:U50)</f>
        <v>0</v>
      </c>
      <c r="W50" s="71">
        <f t="shared" ref="W50:AB50" si="20">+W23+W49</f>
        <v>0</v>
      </c>
      <c r="X50" s="71">
        <f t="shared" si="20"/>
        <v>0</v>
      </c>
      <c r="Y50" s="71">
        <f t="shared" si="20"/>
        <v>0</v>
      </c>
      <c r="Z50" s="71">
        <f t="shared" si="20"/>
        <v>0</v>
      </c>
      <c r="AA50" s="71">
        <f t="shared" si="20"/>
        <v>0</v>
      </c>
      <c r="AB50" s="71">
        <f t="shared" si="20"/>
        <v>0</v>
      </c>
      <c r="AC50" s="66">
        <f t="shared" si="1"/>
        <v>0</v>
      </c>
      <c r="AD50" s="71">
        <f>+AD23+AD49</f>
        <v>0</v>
      </c>
      <c r="AE50" s="71"/>
      <c r="AF50" s="71"/>
      <c r="AG50" s="71"/>
      <c r="AH50" s="66">
        <f>SUM(AD50:AG50)</f>
        <v>0</v>
      </c>
      <c r="AI50" s="71">
        <f>SUM(AI49,AI23)</f>
        <v>1210157.1499999999</v>
      </c>
    </row>
    <row r="51" spans="1:37" x14ac:dyDescent="0.25">
      <c r="A51" s="37"/>
      <c r="B51" s="33"/>
      <c r="C51" s="33"/>
      <c r="AK51" s="49"/>
    </row>
    <row r="52" spans="1:37" x14ac:dyDescent="0.25">
      <c r="A52" s="37"/>
      <c r="B52" s="34"/>
      <c r="C52" s="34"/>
      <c r="AI52" s="49"/>
    </row>
    <row r="53" spans="1:37" x14ac:dyDescent="0.25">
      <c r="A53" s="37"/>
      <c r="B53" s="34"/>
      <c r="C53" s="34"/>
      <c r="M53" s="49"/>
      <c r="N53" s="100"/>
    </row>
    <row r="54" spans="1:37" x14ac:dyDescent="0.25">
      <c r="M54" s="49"/>
      <c r="N54" s="100"/>
      <c r="AI54" s="49"/>
      <c r="AK54" s="49"/>
    </row>
    <row r="55" spans="1:37" x14ac:dyDescent="0.25">
      <c r="M55" s="49"/>
      <c r="N55" s="101"/>
    </row>
    <row r="56" spans="1:37" x14ac:dyDescent="0.25">
      <c r="M56" s="49"/>
      <c r="N56" s="101"/>
    </row>
    <row r="57" spans="1:37" x14ac:dyDescent="0.25">
      <c r="M57" s="49"/>
      <c r="N57" s="101"/>
    </row>
  </sheetData>
  <mergeCells count="7">
    <mergeCell ref="A50:C50"/>
    <mergeCell ref="A6:A7"/>
    <mergeCell ref="B6:B7"/>
    <mergeCell ref="C6:C7"/>
    <mergeCell ref="AI6:AI7"/>
    <mergeCell ref="A23:C23"/>
    <mergeCell ref="A49:C49"/>
  </mergeCells>
  <pageMargins left="0.7" right="0.7" top="0.75" bottom="0.75" header="0.3" footer="0.3"/>
  <pageSetup paperSize="9" scale="24" orientation="landscape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9EB3-AF06-4B53-BD68-473F66135BCF}">
  <sheetPr>
    <tabColor rgb="FF00B050"/>
    <pageSetUpPr fitToPage="1"/>
  </sheetPr>
  <dimension ref="A1:AK57"/>
  <sheetViews>
    <sheetView topLeftCell="A4" zoomScale="90" zoomScaleNormal="90" workbookViewId="0">
      <pane xSplit="3" ySplit="4" topLeftCell="AG37" activePane="bottomRight" state="frozen"/>
      <selection activeCell="C73" sqref="C73"/>
      <selection pane="topRight" activeCell="C73" sqref="C73"/>
      <selection pane="bottomLeft" activeCell="C73" sqref="C73"/>
      <selection pane="bottomRight" activeCell="AK45" sqref="AK45"/>
    </sheetView>
  </sheetViews>
  <sheetFormatPr baseColWidth="10" defaultColWidth="11.42578125" defaultRowHeight="15.75" x14ac:dyDescent="0.25"/>
  <cols>
    <col min="1" max="1" width="3.5703125" style="2" customWidth="1"/>
    <col min="2" max="2" width="44.5703125" style="1" customWidth="1"/>
    <col min="3" max="3" width="13.140625" style="1" hidden="1" customWidth="1"/>
    <col min="4" max="29" width="15.140625" style="1" hidden="1" customWidth="1"/>
    <col min="30" max="32" width="15.28515625" style="1" hidden="1" customWidth="1"/>
    <col min="33" max="33" width="15.28515625" style="1" customWidth="1"/>
    <col min="34" max="34" width="15.140625" style="1" customWidth="1"/>
    <col min="35" max="35" width="18.140625" style="1" customWidth="1"/>
    <col min="36" max="36" width="11.42578125" style="1"/>
    <col min="37" max="37" width="12.42578125" style="1" bestFit="1" customWidth="1"/>
    <col min="38" max="16384" width="11.42578125" style="1"/>
  </cols>
  <sheetData>
    <row r="1" spans="1:35" ht="15" customHeight="1" x14ac:dyDescent="0.25">
      <c r="B1" s="30"/>
      <c r="C1" s="31"/>
    </row>
    <row r="2" spans="1:35" ht="15" customHeight="1" x14ac:dyDescent="0.25">
      <c r="B2" s="30"/>
      <c r="C2" s="31"/>
    </row>
    <row r="3" spans="1:35" ht="18" x14ac:dyDescent="0.25">
      <c r="A3" s="90" t="s">
        <v>68</v>
      </c>
      <c r="B3" s="90"/>
      <c r="C3" s="90"/>
    </row>
    <row r="4" spans="1:35" ht="18" x14ac:dyDescent="0.25">
      <c r="A4" s="90" t="s">
        <v>362</v>
      </c>
      <c r="B4" s="90"/>
      <c r="C4" s="90"/>
    </row>
    <row r="5" spans="1:35" ht="20.25" customHeight="1" x14ac:dyDescent="0.25">
      <c r="A5" s="111" t="s">
        <v>361</v>
      </c>
      <c r="B5" s="31"/>
      <c r="C5" s="31"/>
    </row>
    <row r="6" spans="1:35" ht="20.25" customHeight="1" x14ac:dyDescent="0.25">
      <c r="A6" s="270" t="s">
        <v>64</v>
      </c>
      <c r="B6" s="270" t="s">
        <v>1</v>
      </c>
      <c r="C6" s="270" t="s">
        <v>2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9"/>
      <c r="AD6" s="88"/>
      <c r="AE6" s="88"/>
      <c r="AF6" s="88"/>
      <c r="AG6" s="88"/>
      <c r="AH6" s="89"/>
      <c r="AI6" s="270" t="s">
        <v>80</v>
      </c>
    </row>
    <row r="7" spans="1:35" s="32" customFormat="1" ht="17.25" customHeight="1" x14ac:dyDescent="0.25">
      <c r="A7" s="270"/>
      <c r="B7" s="270"/>
      <c r="C7" s="270"/>
      <c r="D7" s="62">
        <v>1</v>
      </c>
      <c r="E7" s="62">
        <v>2</v>
      </c>
      <c r="F7" s="62">
        <v>3</v>
      </c>
      <c r="G7" s="62">
        <v>4</v>
      </c>
      <c r="H7" s="99" t="s">
        <v>81</v>
      </c>
      <c r="I7" s="62">
        <v>6</v>
      </c>
      <c r="J7" s="62">
        <v>7</v>
      </c>
      <c r="K7" s="62">
        <v>8</v>
      </c>
      <c r="L7" s="62">
        <v>9</v>
      </c>
      <c r="M7" s="62">
        <v>10</v>
      </c>
      <c r="N7" s="62">
        <v>11</v>
      </c>
      <c r="O7" s="99" t="s">
        <v>82</v>
      </c>
      <c r="P7" s="62">
        <v>13</v>
      </c>
      <c r="Q7" s="62">
        <v>14</v>
      </c>
      <c r="R7" s="62">
        <v>15</v>
      </c>
      <c r="S7" s="62">
        <v>16</v>
      </c>
      <c r="T7" s="62">
        <v>17</v>
      </c>
      <c r="U7" s="62">
        <v>18</v>
      </c>
      <c r="V7" s="99" t="s">
        <v>83</v>
      </c>
      <c r="W7" s="62">
        <v>20</v>
      </c>
      <c r="X7" s="62">
        <v>21</v>
      </c>
      <c r="Y7" s="62">
        <v>22</v>
      </c>
      <c r="Z7" s="62">
        <v>23</v>
      </c>
      <c r="AA7" s="62">
        <v>24</v>
      </c>
      <c r="AB7" s="62">
        <v>25</v>
      </c>
      <c r="AC7" s="99" t="s">
        <v>84</v>
      </c>
      <c r="AD7" s="62">
        <v>27</v>
      </c>
      <c r="AE7" s="62">
        <v>28</v>
      </c>
      <c r="AF7" s="62">
        <v>29</v>
      </c>
      <c r="AG7" s="62">
        <v>31</v>
      </c>
      <c r="AH7" s="99" t="s">
        <v>84</v>
      </c>
      <c r="AI7" s="270"/>
    </row>
    <row r="8" spans="1:35" s="32" customFormat="1" ht="16.5" customHeight="1" x14ac:dyDescent="0.25">
      <c r="A8" s="56">
        <v>1</v>
      </c>
      <c r="B8" s="57" t="s">
        <v>25</v>
      </c>
      <c r="C8" s="54" t="s">
        <v>13</v>
      </c>
      <c r="D8" s="63"/>
      <c r="E8" s="63"/>
      <c r="F8" s="63"/>
      <c r="G8" s="63"/>
      <c r="H8" s="66">
        <f t="shared" ref="H8:H50" si="0">SUM(D8:G8)</f>
        <v>0</v>
      </c>
      <c r="I8" s="63"/>
      <c r="J8" s="63"/>
      <c r="K8" s="63"/>
      <c r="L8" s="63"/>
      <c r="M8" s="63"/>
      <c r="N8" s="63"/>
      <c r="O8" s="66">
        <f>SUM(I8:N8)</f>
        <v>0</v>
      </c>
      <c r="P8" s="63"/>
      <c r="Q8" s="63"/>
      <c r="R8" s="63"/>
      <c r="S8" s="63"/>
      <c r="T8" s="63"/>
      <c r="U8" s="63"/>
      <c r="V8" s="66">
        <f>SUM(P8:U8)</f>
        <v>0</v>
      </c>
      <c r="W8" s="63"/>
      <c r="X8" s="63"/>
      <c r="Y8" s="63"/>
      <c r="Z8" s="63"/>
      <c r="AA8" s="63"/>
      <c r="AB8" s="63"/>
      <c r="AC8" s="66">
        <f t="shared" ref="AC8:AC50" si="1">SUM(W8:AB8)</f>
        <v>0</v>
      </c>
      <c r="AD8" s="63"/>
      <c r="AE8" s="63"/>
      <c r="AF8" s="63"/>
      <c r="AG8" s="63"/>
      <c r="AH8" s="66">
        <f t="shared" ref="AH8:AH48" si="2">SUM(AD8:AG8)</f>
        <v>0</v>
      </c>
      <c r="AI8" s="68">
        <f t="shared" ref="AI8:AI21" si="3">+H8+O8+V8+AH8</f>
        <v>0</v>
      </c>
    </row>
    <row r="9" spans="1:35" ht="16.5" customHeight="1" x14ac:dyDescent="0.25">
      <c r="A9" s="56">
        <f>1+A8</f>
        <v>2</v>
      </c>
      <c r="B9" s="57" t="s">
        <v>11</v>
      </c>
      <c r="C9" s="54" t="s">
        <v>6</v>
      </c>
      <c r="D9" s="64"/>
      <c r="E9" s="64"/>
      <c r="F9" s="64"/>
      <c r="G9" s="64"/>
      <c r="H9" s="66">
        <f t="shared" si="0"/>
        <v>0</v>
      </c>
      <c r="I9" s="64"/>
      <c r="J9" s="64"/>
      <c r="K9" s="64"/>
      <c r="L9" s="64"/>
      <c r="M9" s="64"/>
      <c r="N9" s="64"/>
      <c r="O9" s="66">
        <f t="shared" ref="O9:O50" si="4">SUM(I9:N9)</f>
        <v>0</v>
      </c>
      <c r="P9" s="64"/>
      <c r="Q9" s="64"/>
      <c r="R9" s="64"/>
      <c r="S9" s="64"/>
      <c r="T9" s="64"/>
      <c r="U9" s="64"/>
      <c r="V9" s="66">
        <f>SUM(P9:U9)</f>
        <v>0</v>
      </c>
      <c r="W9" s="64"/>
      <c r="X9" s="64"/>
      <c r="Y9" s="64"/>
      <c r="Z9" s="64"/>
      <c r="AA9" s="64"/>
      <c r="AB9" s="64"/>
      <c r="AC9" s="66">
        <f t="shared" si="1"/>
        <v>0</v>
      </c>
      <c r="AD9" s="64"/>
      <c r="AE9" s="64"/>
      <c r="AF9" s="64"/>
      <c r="AG9" s="64"/>
      <c r="AH9" s="66">
        <f t="shared" si="2"/>
        <v>0</v>
      </c>
      <c r="AI9" s="68">
        <f t="shared" si="3"/>
        <v>0</v>
      </c>
    </row>
    <row r="10" spans="1:35" ht="16.5" customHeight="1" x14ac:dyDescent="0.25">
      <c r="A10" s="56">
        <f t="shared" ref="A10:A21" si="5">1+A9</f>
        <v>3</v>
      </c>
      <c r="B10" s="57" t="s">
        <v>70</v>
      </c>
      <c r="C10" s="54" t="s">
        <v>13</v>
      </c>
      <c r="D10" s="67"/>
      <c r="E10" s="67"/>
      <c r="F10" s="67"/>
      <c r="G10" s="67"/>
      <c r="H10" s="66">
        <f t="shared" si="0"/>
        <v>0</v>
      </c>
      <c r="I10" s="67"/>
      <c r="J10" s="67"/>
      <c r="K10" s="67"/>
      <c r="L10" s="67"/>
      <c r="M10" s="67"/>
      <c r="N10" s="67"/>
      <c r="O10" s="66">
        <f t="shared" si="4"/>
        <v>0</v>
      </c>
      <c r="P10" s="67"/>
      <c r="Q10" s="67"/>
      <c r="R10" s="67"/>
      <c r="S10" s="67"/>
      <c r="T10" s="67"/>
      <c r="U10" s="67"/>
      <c r="V10" s="66">
        <f t="shared" ref="V10:V48" si="6">SUM(P10:U10)</f>
        <v>0</v>
      </c>
      <c r="W10" s="67"/>
      <c r="X10" s="67"/>
      <c r="Y10" s="67"/>
      <c r="Z10" s="67"/>
      <c r="AA10" s="67"/>
      <c r="AB10" s="67"/>
      <c r="AC10" s="66">
        <f t="shared" si="1"/>
        <v>0</v>
      </c>
      <c r="AD10" s="67"/>
      <c r="AE10" s="67"/>
      <c r="AF10" s="67"/>
      <c r="AG10" s="67"/>
      <c r="AH10" s="66">
        <f t="shared" si="2"/>
        <v>0</v>
      </c>
      <c r="AI10" s="68">
        <f t="shared" si="3"/>
        <v>0</v>
      </c>
    </row>
    <row r="11" spans="1:35" ht="16.5" customHeight="1" x14ac:dyDescent="0.25">
      <c r="A11" s="56">
        <f t="shared" si="5"/>
        <v>4</v>
      </c>
      <c r="B11" s="57" t="s">
        <v>23</v>
      </c>
      <c r="C11" s="54" t="s">
        <v>9</v>
      </c>
      <c r="D11" s="67"/>
      <c r="E11" s="67"/>
      <c r="F11" s="67"/>
      <c r="G11" s="67"/>
      <c r="H11" s="66">
        <f t="shared" si="0"/>
        <v>0</v>
      </c>
      <c r="I11" s="67"/>
      <c r="J11" s="67"/>
      <c r="K11" s="67"/>
      <c r="L11" s="67"/>
      <c r="M11" s="67"/>
      <c r="N11" s="67"/>
      <c r="O11" s="66">
        <f t="shared" si="4"/>
        <v>0</v>
      </c>
      <c r="P11" s="67"/>
      <c r="Q11" s="67"/>
      <c r="R11" s="67"/>
      <c r="S11" s="67"/>
      <c r="T11" s="67"/>
      <c r="U11" s="67"/>
      <c r="V11" s="66">
        <f t="shared" si="6"/>
        <v>0</v>
      </c>
      <c r="W11" s="67"/>
      <c r="X11" s="67"/>
      <c r="Y11" s="67"/>
      <c r="Z11" s="67"/>
      <c r="AA11" s="67"/>
      <c r="AB11" s="67"/>
      <c r="AC11" s="66">
        <f t="shared" si="1"/>
        <v>0</v>
      </c>
      <c r="AD11" s="67"/>
      <c r="AE11" s="67"/>
      <c r="AF11" s="67"/>
      <c r="AG11" s="67"/>
      <c r="AH11" s="66">
        <f t="shared" si="2"/>
        <v>0</v>
      </c>
      <c r="AI11" s="68">
        <f t="shared" si="3"/>
        <v>0</v>
      </c>
    </row>
    <row r="12" spans="1:35" ht="16.5" customHeight="1" x14ac:dyDescent="0.25">
      <c r="A12" s="56">
        <f t="shared" si="5"/>
        <v>5</v>
      </c>
      <c r="B12" s="57" t="s">
        <v>24</v>
      </c>
      <c r="C12" s="54" t="s">
        <v>9</v>
      </c>
      <c r="D12" s="67"/>
      <c r="E12" s="67"/>
      <c r="F12" s="67"/>
      <c r="G12" s="67"/>
      <c r="H12" s="66">
        <f t="shared" si="0"/>
        <v>0</v>
      </c>
      <c r="I12" s="67"/>
      <c r="J12" s="67"/>
      <c r="K12" s="67"/>
      <c r="L12" s="67"/>
      <c r="M12" s="67"/>
      <c r="N12" s="67"/>
      <c r="O12" s="66">
        <f t="shared" si="4"/>
        <v>0</v>
      </c>
      <c r="P12" s="67"/>
      <c r="Q12" s="67"/>
      <c r="R12" s="67"/>
      <c r="S12" s="67"/>
      <c r="T12" s="67"/>
      <c r="U12" s="67"/>
      <c r="V12" s="66">
        <f t="shared" si="6"/>
        <v>0</v>
      </c>
      <c r="W12" s="67"/>
      <c r="X12" s="67"/>
      <c r="Y12" s="67"/>
      <c r="Z12" s="67"/>
      <c r="AA12" s="67"/>
      <c r="AB12" s="67"/>
      <c r="AC12" s="66">
        <f t="shared" si="1"/>
        <v>0</v>
      </c>
      <c r="AD12" s="67"/>
      <c r="AE12" s="67"/>
      <c r="AF12" s="67"/>
      <c r="AG12" s="67"/>
      <c r="AH12" s="66">
        <f t="shared" si="2"/>
        <v>0</v>
      </c>
      <c r="AI12" s="68">
        <f t="shared" si="3"/>
        <v>0</v>
      </c>
    </row>
    <row r="13" spans="1:35" ht="16.5" customHeight="1" x14ac:dyDescent="0.25">
      <c r="A13" s="56">
        <f t="shared" si="5"/>
        <v>6</v>
      </c>
      <c r="B13" s="57" t="s">
        <v>12</v>
      </c>
      <c r="C13" s="54" t="s">
        <v>13</v>
      </c>
      <c r="D13" s="67"/>
      <c r="E13" s="67"/>
      <c r="F13" s="67"/>
      <c r="G13" s="67"/>
      <c r="H13" s="66">
        <f t="shared" si="0"/>
        <v>0</v>
      </c>
      <c r="I13" s="67"/>
      <c r="J13" s="67"/>
      <c r="K13" s="67"/>
      <c r="L13" s="67"/>
      <c r="M13" s="67"/>
      <c r="N13" s="67"/>
      <c r="O13" s="66">
        <f t="shared" si="4"/>
        <v>0</v>
      </c>
      <c r="P13" s="67"/>
      <c r="Q13" s="67"/>
      <c r="R13" s="67"/>
      <c r="S13" s="67"/>
      <c r="T13" s="67"/>
      <c r="U13" s="67"/>
      <c r="V13" s="66">
        <f t="shared" si="6"/>
        <v>0</v>
      </c>
      <c r="W13" s="67"/>
      <c r="X13" s="67"/>
      <c r="Y13" s="67"/>
      <c r="Z13" s="67"/>
      <c r="AA13" s="67"/>
      <c r="AB13" s="67"/>
      <c r="AC13" s="66">
        <f t="shared" si="1"/>
        <v>0</v>
      </c>
      <c r="AD13" s="67"/>
      <c r="AE13" s="67"/>
      <c r="AF13" s="67"/>
      <c r="AG13" s="67"/>
      <c r="AH13" s="66">
        <f t="shared" si="2"/>
        <v>0</v>
      </c>
      <c r="AI13" s="68">
        <f t="shared" si="3"/>
        <v>0</v>
      </c>
    </row>
    <row r="14" spans="1:35" ht="16.5" customHeight="1" x14ac:dyDescent="0.25">
      <c r="A14" s="56">
        <f t="shared" si="5"/>
        <v>7</v>
      </c>
      <c r="B14" s="55" t="s">
        <v>5</v>
      </c>
      <c r="C14" s="54" t="s">
        <v>6</v>
      </c>
      <c r="D14" s="67"/>
      <c r="E14" s="67"/>
      <c r="F14" s="67"/>
      <c r="G14" s="67"/>
      <c r="H14" s="66">
        <f t="shared" si="0"/>
        <v>0</v>
      </c>
      <c r="I14" s="67"/>
      <c r="J14" s="67"/>
      <c r="K14" s="67"/>
      <c r="L14" s="67"/>
      <c r="M14" s="67"/>
      <c r="N14" s="67"/>
      <c r="O14" s="66">
        <f t="shared" si="4"/>
        <v>0</v>
      </c>
      <c r="P14" s="67"/>
      <c r="Q14" s="67"/>
      <c r="R14" s="67"/>
      <c r="S14" s="67"/>
      <c r="T14" s="67"/>
      <c r="U14" s="67"/>
      <c r="V14" s="66">
        <f t="shared" si="6"/>
        <v>0</v>
      </c>
      <c r="W14" s="67"/>
      <c r="X14" s="67"/>
      <c r="Y14" s="67"/>
      <c r="Z14" s="67"/>
      <c r="AA14" s="67"/>
      <c r="AB14" s="67"/>
      <c r="AC14" s="66">
        <f t="shared" si="1"/>
        <v>0</v>
      </c>
      <c r="AD14" s="67"/>
      <c r="AE14" s="67"/>
      <c r="AF14" s="67"/>
      <c r="AG14" s="67"/>
      <c r="AH14" s="66">
        <f t="shared" si="2"/>
        <v>0</v>
      </c>
      <c r="AI14" s="68">
        <f t="shared" si="3"/>
        <v>0</v>
      </c>
    </row>
    <row r="15" spans="1:35" ht="16.5" customHeight="1" x14ac:dyDescent="0.25">
      <c r="A15" s="56">
        <f t="shared" si="5"/>
        <v>8</v>
      </c>
      <c r="B15" s="57" t="s">
        <v>21</v>
      </c>
      <c r="C15" s="54" t="s">
        <v>16</v>
      </c>
      <c r="D15" s="67"/>
      <c r="E15" s="67"/>
      <c r="F15" s="67"/>
      <c r="G15" s="67"/>
      <c r="H15" s="66">
        <f t="shared" si="0"/>
        <v>0</v>
      </c>
      <c r="I15" s="67"/>
      <c r="J15" s="67"/>
      <c r="K15" s="67"/>
      <c r="L15" s="67"/>
      <c r="M15" s="67"/>
      <c r="N15" s="67"/>
      <c r="O15" s="66">
        <f t="shared" si="4"/>
        <v>0</v>
      </c>
      <c r="P15" s="67"/>
      <c r="Q15" s="67"/>
      <c r="R15" s="67"/>
      <c r="S15" s="67"/>
      <c r="T15" s="67"/>
      <c r="U15" s="67"/>
      <c r="V15" s="66">
        <f t="shared" si="6"/>
        <v>0</v>
      </c>
      <c r="W15" s="67"/>
      <c r="X15" s="67"/>
      <c r="Y15" s="67"/>
      <c r="Z15" s="67"/>
      <c r="AA15" s="67"/>
      <c r="AB15" s="67"/>
      <c r="AC15" s="66">
        <f t="shared" si="1"/>
        <v>0</v>
      </c>
      <c r="AD15" s="67"/>
      <c r="AE15" s="67"/>
      <c r="AF15" s="67"/>
      <c r="AG15" s="67"/>
      <c r="AH15" s="66">
        <f t="shared" si="2"/>
        <v>0</v>
      </c>
      <c r="AI15" s="68">
        <f t="shared" si="3"/>
        <v>0</v>
      </c>
    </row>
    <row r="16" spans="1:35" ht="16.5" customHeight="1" x14ac:dyDescent="0.25">
      <c r="A16" s="56">
        <f t="shared" si="5"/>
        <v>9</v>
      </c>
      <c r="B16" s="57" t="s">
        <v>15</v>
      </c>
      <c r="C16" s="54" t="s">
        <v>16</v>
      </c>
      <c r="D16" s="67"/>
      <c r="E16" s="67"/>
      <c r="F16" s="67"/>
      <c r="G16" s="67"/>
      <c r="H16" s="66">
        <f t="shared" si="0"/>
        <v>0</v>
      </c>
      <c r="I16" s="67"/>
      <c r="J16" s="67"/>
      <c r="K16" s="67"/>
      <c r="L16" s="67"/>
      <c r="M16" s="67"/>
      <c r="N16" s="67"/>
      <c r="O16" s="66">
        <f t="shared" si="4"/>
        <v>0</v>
      </c>
      <c r="P16" s="67"/>
      <c r="Q16" s="67"/>
      <c r="R16" s="67"/>
      <c r="S16" s="67"/>
      <c r="T16" s="67"/>
      <c r="U16" s="67"/>
      <c r="V16" s="66">
        <f t="shared" si="6"/>
        <v>0</v>
      </c>
      <c r="W16" s="67"/>
      <c r="X16" s="67"/>
      <c r="Y16" s="67"/>
      <c r="Z16" s="67"/>
      <c r="AA16" s="67"/>
      <c r="AB16" s="67"/>
      <c r="AC16" s="66">
        <f t="shared" si="1"/>
        <v>0</v>
      </c>
      <c r="AD16" s="67"/>
      <c r="AE16" s="67"/>
      <c r="AF16" s="67"/>
      <c r="AG16" s="67"/>
      <c r="AH16" s="66">
        <f t="shared" si="2"/>
        <v>0</v>
      </c>
      <c r="AI16" s="68">
        <f t="shared" si="3"/>
        <v>0</v>
      </c>
    </row>
    <row r="17" spans="1:37" ht="16.5" customHeight="1" x14ac:dyDescent="0.25">
      <c r="A17" s="56">
        <f t="shared" si="5"/>
        <v>10</v>
      </c>
      <c r="B17" s="57" t="s">
        <v>27</v>
      </c>
      <c r="C17" s="54" t="s">
        <v>26</v>
      </c>
      <c r="D17" s="67"/>
      <c r="E17" s="67"/>
      <c r="F17" s="67"/>
      <c r="G17" s="67"/>
      <c r="H17" s="66">
        <f t="shared" si="0"/>
        <v>0</v>
      </c>
      <c r="I17" s="67"/>
      <c r="J17" s="67"/>
      <c r="K17" s="67"/>
      <c r="L17" s="67"/>
      <c r="M17" s="67"/>
      <c r="N17" s="67"/>
      <c r="O17" s="66">
        <f t="shared" si="4"/>
        <v>0</v>
      </c>
      <c r="P17" s="67"/>
      <c r="Q17" s="67"/>
      <c r="R17" s="67"/>
      <c r="S17" s="67"/>
      <c r="T17" s="67"/>
      <c r="U17" s="67"/>
      <c r="V17" s="66">
        <f t="shared" si="6"/>
        <v>0</v>
      </c>
      <c r="W17" s="67"/>
      <c r="X17" s="67"/>
      <c r="Y17" s="67"/>
      <c r="Z17" s="67"/>
      <c r="AA17" s="67"/>
      <c r="AB17" s="67"/>
      <c r="AC17" s="66">
        <f t="shared" si="1"/>
        <v>0</v>
      </c>
      <c r="AD17" s="67"/>
      <c r="AE17" s="67"/>
      <c r="AF17" s="67"/>
      <c r="AG17" s="67"/>
      <c r="AH17" s="66">
        <f t="shared" si="2"/>
        <v>0</v>
      </c>
      <c r="AI17" s="68">
        <f t="shared" si="3"/>
        <v>0</v>
      </c>
    </row>
    <row r="18" spans="1:37" ht="16.5" customHeight="1" x14ac:dyDescent="0.25">
      <c r="A18" s="56">
        <f t="shared" si="5"/>
        <v>11</v>
      </c>
      <c r="B18" s="57" t="s">
        <v>8</v>
      </c>
      <c r="C18" s="54" t="s">
        <v>9</v>
      </c>
      <c r="D18" s="67"/>
      <c r="E18" s="67"/>
      <c r="F18" s="67"/>
      <c r="G18" s="67"/>
      <c r="H18" s="66">
        <f t="shared" si="0"/>
        <v>0</v>
      </c>
      <c r="I18" s="67"/>
      <c r="J18" s="67"/>
      <c r="K18" s="67"/>
      <c r="L18" s="67"/>
      <c r="M18" s="67"/>
      <c r="N18" s="67"/>
      <c r="O18" s="66">
        <f t="shared" si="4"/>
        <v>0</v>
      </c>
      <c r="P18" s="67"/>
      <c r="Q18" s="67"/>
      <c r="R18" s="67"/>
      <c r="S18" s="67"/>
      <c r="T18" s="67"/>
      <c r="U18" s="67"/>
      <c r="V18" s="66">
        <f t="shared" si="6"/>
        <v>0</v>
      </c>
      <c r="W18" s="67"/>
      <c r="X18" s="67"/>
      <c r="Y18" s="67"/>
      <c r="Z18" s="67"/>
      <c r="AA18" s="67"/>
      <c r="AB18" s="67"/>
      <c r="AC18" s="66">
        <f t="shared" si="1"/>
        <v>0</v>
      </c>
      <c r="AD18" s="67"/>
      <c r="AE18" s="67"/>
      <c r="AF18" s="67"/>
      <c r="AG18" s="67"/>
      <c r="AH18" s="66">
        <f t="shared" si="2"/>
        <v>0</v>
      </c>
      <c r="AI18" s="68">
        <f t="shared" si="3"/>
        <v>0</v>
      </c>
    </row>
    <row r="19" spans="1:37" ht="16.5" customHeight="1" x14ac:dyDescent="0.25">
      <c r="A19" s="56">
        <f t="shared" si="5"/>
        <v>12</v>
      </c>
      <c r="B19" s="57" t="s">
        <v>28</v>
      </c>
      <c r="C19" s="54" t="s">
        <v>29</v>
      </c>
      <c r="D19" s="67"/>
      <c r="E19" s="67"/>
      <c r="F19" s="67"/>
      <c r="G19" s="67"/>
      <c r="H19" s="66">
        <f t="shared" si="0"/>
        <v>0</v>
      </c>
      <c r="I19" s="67"/>
      <c r="J19" s="67"/>
      <c r="K19" s="67"/>
      <c r="L19" s="67"/>
      <c r="M19" s="67"/>
      <c r="N19" s="67"/>
      <c r="O19" s="66">
        <f t="shared" si="4"/>
        <v>0</v>
      </c>
      <c r="P19" s="67"/>
      <c r="Q19" s="67"/>
      <c r="R19" s="67"/>
      <c r="S19" s="67"/>
      <c r="T19" s="67"/>
      <c r="U19" s="67"/>
      <c r="V19" s="66">
        <f t="shared" si="6"/>
        <v>0</v>
      </c>
      <c r="W19" s="67"/>
      <c r="X19" s="67"/>
      <c r="Y19" s="67"/>
      <c r="Z19" s="67"/>
      <c r="AA19" s="67"/>
      <c r="AB19" s="67"/>
      <c r="AC19" s="66">
        <f t="shared" si="1"/>
        <v>0</v>
      </c>
      <c r="AD19" s="67"/>
      <c r="AE19" s="67"/>
      <c r="AF19" s="67"/>
      <c r="AG19" s="67"/>
      <c r="AH19" s="66">
        <f t="shared" si="2"/>
        <v>0</v>
      </c>
      <c r="AI19" s="68">
        <f t="shared" si="3"/>
        <v>0</v>
      </c>
    </row>
    <row r="20" spans="1:37" ht="16.5" customHeight="1" x14ac:dyDescent="0.25">
      <c r="A20" s="56">
        <f t="shared" si="5"/>
        <v>13</v>
      </c>
      <c r="B20" s="57" t="s">
        <v>10</v>
      </c>
      <c r="C20" s="65" t="s">
        <v>76</v>
      </c>
      <c r="D20" s="67"/>
      <c r="E20" s="67"/>
      <c r="F20" s="67"/>
      <c r="G20" s="67"/>
      <c r="H20" s="66">
        <f t="shared" si="0"/>
        <v>0</v>
      </c>
      <c r="I20" s="67"/>
      <c r="J20" s="67"/>
      <c r="K20" s="67"/>
      <c r="L20" s="67"/>
      <c r="M20" s="67"/>
      <c r="N20" s="67"/>
      <c r="O20" s="66">
        <f t="shared" si="4"/>
        <v>0</v>
      </c>
      <c r="P20" s="67"/>
      <c r="Q20" s="67"/>
      <c r="R20" s="67"/>
      <c r="S20" s="67"/>
      <c r="T20" s="67"/>
      <c r="U20" s="67"/>
      <c r="V20" s="66">
        <f t="shared" si="6"/>
        <v>0</v>
      </c>
      <c r="W20" s="67"/>
      <c r="X20" s="67"/>
      <c r="Y20" s="67"/>
      <c r="Z20" s="67"/>
      <c r="AA20" s="67"/>
      <c r="AB20" s="67"/>
      <c r="AC20" s="66">
        <f t="shared" si="1"/>
        <v>0</v>
      </c>
      <c r="AD20" s="67"/>
      <c r="AE20" s="67"/>
      <c r="AF20" s="67"/>
      <c r="AG20" s="67"/>
      <c r="AH20" s="66">
        <f t="shared" si="2"/>
        <v>0</v>
      </c>
      <c r="AI20" s="68">
        <f t="shared" si="3"/>
        <v>0</v>
      </c>
    </row>
    <row r="21" spans="1:37" ht="16.5" customHeight="1" x14ac:dyDescent="0.25">
      <c r="A21" s="56">
        <f t="shared" si="5"/>
        <v>14</v>
      </c>
      <c r="B21" s="57" t="s">
        <v>7</v>
      </c>
      <c r="C21" s="65" t="s">
        <v>76</v>
      </c>
      <c r="D21" s="67"/>
      <c r="E21" s="67"/>
      <c r="F21" s="67"/>
      <c r="G21" s="67"/>
      <c r="H21" s="66">
        <f t="shared" si="0"/>
        <v>0</v>
      </c>
      <c r="I21" s="67"/>
      <c r="J21" s="67"/>
      <c r="K21" s="67"/>
      <c r="L21" s="67"/>
      <c r="M21" s="67"/>
      <c r="N21" s="67"/>
      <c r="O21" s="66">
        <f t="shared" si="4"/>
        <v>0</v>
      </c>
      <c r="P21" s="67"/>
      <c r="Q21" s="67"/>
      <c r="R21" s="67"/>
      <c r="S21" s="67"/>
      <c r="T21" s="67"/>
      <c r="U21" s="67"/>
      <c r="V21" s="66">
        <f t="shared" si="6"/>
        <v>0</v>
      </c>
      <c r="W21" s="67"/>
      <c r="X21" s="67"/>
      <c r="Y21" s="67"/>
      <c r="Z21" s="67"/>
      <c r="AA21" s="67"/>
      <c r="AB21" s="67"/>
      <c r="AC21" s="66">
        <f t="shared" si="1"/>
        <v>0</v>
      </c>
      <c r="AD21" s="67"/>
      <c r="AE21" s="67"/>
      <c r="AF21" s="67"/>
      <c r="AG21" s="67"/>
      <c r="AH21" s="66">
        <f t="shared" si="2"/>
        <v>0</v>
      </c>
      <c r="AI21" s="68">
        <f t="shared" si="3"/>
        <v>0</v>
      </c>
    </row>
    <row r="22" spans="1:37" ht="27" customHeight="1" x14ac:dyDescent="0.25">
      <c r="A22" s="56">
        <v>15</v>
      </c>
      <c r="B22" s="105" t="s">
        <v>39</v>
      </c>
      <c r="C22" s="54" t="s">
        <v>40</v>
      </c>
      <c r="D22" s="67"/>
      <c r="E22" s="67"/>
      <c r="F22" s="67"/>
      <c r="G22" s="67"/>
      <c r="H22" s="66">
        <f t="shared" si="0"/>
        <v>0</v>
      </c>
      <c r="I22" s="67"/>
      <c r="J22" s="67"/>
      <c r="K22" s="67"/>
      <c r="L22" s="75"/>
      <c r="M22" s="76"/>
      <c r="N22" s="67"/>
      <c r="O22" s="66">
        <f>SUM(I22:N22)</f>
        <v>0</v>
      </c>
      <c r="P22" s="67"/>
      <c r="Q22" s="67"/>
      <c r="R22" s="67"/>
      <c r="S22" s="67"/>
      <c r="T22" s="67"/>
      <c r="U22" s="67"/>
      <c r="V22" s="66">
        <f>SUM(P22:U22)</f>
        <v>0</v>
      </c>
      <c r="W22" s="67"/>
      <c r="X22" s="67"/>
      <c r="Y22" s="67"/>
      <c r="Z22" s="67"/>
      <c r="AA22" s="67"/>
      <c r="AB22" s="67"/>
      <c r="AC22" s="66">
        <f t="shared" si="1"/>
        <v>0</v>
      </c>
      <c r="AD22" s="67"/>
      <c r="AE22" s="67"/>
      <c r="AF22" s="67"/>
      <c r="AG22" s="67"/>
      <c r="AH22" s="66">
        <f t="shared" si="2"/>
        <v>0</v>
      </c>
      <c r="AI22" s="68">
        <f>H22+O22+V22+AH22</f>
        <v>0</v>
      </c>
    </row>
    <row r="23" spans="1:37" ht="17.25" customHeight="1" x14ac:dyDescent="0.25">
      <c r="A23" s="271" t="s">
        <v>77</v>
      </c>
      <c r="B23" s="272"/>
      <c r="C23" s="273"/>
      <c r="D23" s="93"/>
      <c r="E23" s="93"/>
      <c r="F23" s="93"/>
      <c r="G23" s="93">
        <f t="shared" ref="G23" si="7">SUM(G8:G22)</f>
        <v>0</v>
      </c>
      <c r="H23" s="66">
        <f t="shared" si="0"/>
        <v>0</v>
      </c>
      <c r="I23" s="93">
        <f>SUM(I8:I22)</f>
        <v>0</v>
      </c>
      <c r="J23" s="93">
        <f t="shared" ref="J23:N23" si="8">SUM(J8:J22)</f>
        <v>0</v>
      </c>
      <c r="K23" s="93">
        <f t="shared" si="8"/>
        <v>0</v>
      </c>
      <c r="L23" s="93">
        <f t="shared" si="8"/>
        <v>0</v>
      </c>
      <c r="M23" s="93">
        <f t="shared" si="8"/>
        <v>0</v>
      </c>
      <c r="N23" s="93">
        <f t="shared" si="8"/>
        <v>0</v>
      </c>
      <c r="O23" s="91">
        <f t="shared" si="4"/>
        <v>0</v>
      </c>
      <c r="P23" s="93">
        <f>SUM(P8:P22)</f>
        <v>0</v>
      </c>
      <c r="Q23" s="93">
        <f t="shared" ref="Q23:U23" si="9">SUM(Q8:Q22)</f>
        <v>0</v>
      </c>
      <c r="R23" s="93">
        <f t="shared" si="9"/>
        <v>0</v>
      </c>
      <c r="S23" s="93">
        <f t="shared" si="9"/>
        <v>0</v>
      </c>
      <c r="T23" s="93">
        <f t="shared" si="9"/>
        <v>0</v>
      </c>
      <c r="U23" s="93">
        <f t="shared" si="9"/>
        <v>0</v>
      </c>
      <c r="V23" s="91">
        <f t="shared" si="6"/>
        <v>0</v>
      </c>
      <c r="W23" s="93">
        <f>SUM(W8:W22)</f>
        <v>0</v>
      </c>
      <c r="X23" s="93">
        <f>SUM(X8:X22)</f>
        <v>0</v>
      </c>
      <c r="Y23" s="93">
        <f t="shared" ref="Y23:AB23" si="10">SUM(Y8:Y22)</f>
        <v>0</v>
      </c>
      <c r="Z23" s="93">
        <f t="shared" si="10"/>
        <v>0</v>
      </c>
      <c r="AA23" s="93">
        <f t="shared" si="10"/>
        <v>0</v>
      </c>
      <c r="AB23" s="93">
        <f t="shared" si="10"/>
        <v>0</v>
      </c>
      <c r="AC23" s="91">
        <f t="shared" si="1"/>
        <v>0</v>
      </c>
      <c r="AD23" s="93">
        <f>SUM(AD8:AD22)</f>
        <v>0</v>
      </c>
      <c r="AE23" s="93"/>
      <c r="AF23" s="93"/>
      <c r="AG23" s="93">
        <f>SUM(AG8:AG22)</f>
        <v>0</v>
      </c>
      <c r="AH23" s="66">
        <f t="shared" si="2"/>
        <v>0</v>
      </c>
      <c r="AI23" s="69">
        <f>SUM(AI8:AI22)</f>
        <v>0</v>
      </c>
    </row>
    <row r="24" spans="1:37" ht="17.25" hidden="1" customHeight="1" x14ac:dyDescent="0.25">
      <c r="A24" s="40">
        <v>1</v>
      </c>
      <c r="B24" s="41" t="s">
        <v>19</v>
      </c>
      <c r="C24" s="38" t="s">
        <v>18</v>
      </c>
      <c r="D24" s="67"/>
      <c r="E24" s="67"/>
      <c r="F24" s="67"/>
      <c r="G24" s="67"/>
      <c r="H24" s="66">
        <f t="shared" si="0"/>
        <v>0</v>
      </c>
      <c r="I24" s="67"/>
      <c r="J24" s="67"/>
      <c r="K24" s="67"/>
      <c r="L24" s="67"/>
      <c r="M24" s="67"/>
      <c r="N24" s="67"/>
      <c r="O24" s="66">
        <f t="shared" ref="O24:O48" si="11">SUM(I24:N24)</f>
        <v>0</v>
      </c>
      <c r="P24" s="67"/>
      <c r="Q24" s="67"/>
      <c r="R24" s="67"/>
      <c r="S24" s="67"/>
      <c r="T24" s="67"/>
      <c r="U24" s="67"/>
      <c r="V24" s="66">
        <f t="shared" si="6"/>
        <v>0</v>
      </c>
      <c r="W24" s="67"/>
      <c r="X24" s="67"/>
      <c r="Y24" s="67"/>
      <c r="Z24" s="67"/>
      <c r="AA24" s="67"/>
      <c r="AB24" s="67"/>
      <c r="AC24" s="66">
        <f t="shared" si="1"/>
        <v>0</v>
      </c>
      <c r="AD24" s="67"/>
      <c r="AE24" s="67"/>
      <c r="AF24" s="67"/>
      <c r="AG24" s="67"/>
      <c r="AH24" s="66">
        <f t="shared" si="2"/>
        <v>0</v>
      </c>
      <c r="AI24" s="68">
        <f>H24+O24+V24+AC24+AH24</f>
        <v>0</v>
      </c>
    </row>
    <row r="25" spans="1:37" ht="17.25" hidden="1" customHeight="1" x14ac:dyDescent="0.25">
      <c r="A25" s="40">
        <f t="shared" ref="A25:A48" si="12">1+A24</f>
        <v>2</v>
      </c>
      <c r="B25" s="41" t="s">
        <v>31</v>
      </c>
      <c r="C25" s="38" t="s">
        <v>32</v>
      </c>
      <c r="D25" s="67"/>
      <c r="E25" s="67"/>
      <c r="F25" s="67"/>
      <c r="G25" s="67"/>
      <c r="H25" s="66">
        <f t="shared" si="0"/>
        <v>0</v>
      </c>
      <c r="I25" s="67"/>
      <c r="J25" s="12"/>
      <c r="K25" s="67"/>
      <c r="L25" s="12"/>
      <c r="M25" s="67"/>
      <c r="N25" s="67"/>
      <c r="O25" s="66">
        <f t="shared" si="11"/>
        <v>0</v>
      </c>
      <c r="P25" s="67"/>
      <c r="Q25" s="67"/>
      <c r="R25" s="67"/>
      <c r="S25" s="67"/>
      <c r="T25" s="67"/>
      <c r="U25" s="67"/>
      <c r="V25" s="66">
        <f t="shared" si="6"/>
        <v>0</v>
      </c>
      <c r="W25" s="67"/>
      <c r="X25" s="67"/>
      <c r="Y25" s="67"/>
      <c r="Z25" s="67"/>
      <c r="AA25" s="67"/>
      <c r="AB25" s="67"/>
      <c r="AC25" s="66">
        <f t="shared" si="1"/>
        <v>0</v>
      </c>
      <c r="AD25" s="67"/>
      <c r="AE25" s="67"/>
      <c r="AF25" s="67"/>
      <c r="AG25" s="67"/>
      <c r="AH25" s="66">
        <f t="shared" si="2"/>
        <v>0</v>
      </c>
      <c r="AI25" s="68">
        <f>H25+O25+V25+AC25+AH25</f>
        <v>0</v>
      </c>
    </row>
    <row r="26" spans="1:37" ht="17.25" hidden="1" customHeight="1" x14ac:dyDescent="0.25">
      <c r="A26" s="40">
        <f t="shared" si="12"/>
        <v>3</v>
      </c>
      <c r="B26" s="58" t="s">
        <v>73</v>
      </c>
      <c r="C26" s="59" t="s">
        <v>9</v>
      </c>
      <c r="D26" s="67"/>
      <c r="E26" s="67"/>
      <c r="F26" s="67"/>
      <c r="G26" s="67"/>
      <c r="H26" s="66">
        <f t="shared" si="0"/>
        <v>0</v>
      </c>
      <c r="I26" s="67"/>
      <c r="J26" s="67"/>
      <c r="K26" s="67"/>
      <c r="L26" s="67"/>
      <c r="M26" s="67"/>
      <c r="N26" s="67"/>
      <c r="O26" s="66">
        <f t="shared" si="11"/>
        <v>0</v>
      </c>
      <c r="P26" s="67"/>
      <c r="Q26" s="67"/>
      <c r="R26" s="67"/>
      <c r="S26" s="67"/>
      <c r="T26" s="67"/>
      <c r="U26" s="67"/>
      <c r="V26" s="66">
        <f t="shared" si="6"/>
        <v>0</v>
      </c>
      <c r="W26" s="67"/>
      <c r="X26" s="67"/>
      <c r="Y26" s="67"/>
      <c r="Z26" s="67"/>
      <c r="AA26" s="67"/>
      <c r="AB26" s="67"/>
      <c r="AC26" s="66">
        <f t="shared" si="1"/>
        <v>0</v>
      </c>
      <c r="AD26" s="67"/>
      <c r="AE26" s="67"/>
      <c r="AF26" s="67"/>
      <c r="AG26" s="67"/>
      <c r="AH26" s="66">
        <f t="shared" si="2"/>
        <v>0</v>
      </c>
      <c r="AI26" s="68">
        <f t="shared" ref="AI26:AI48" si="13">H26+O26+V26+AC26+AH26</f>
        <v>0</v>
      </c>
    </row>
    <row r="27" spans="1:37" ht="17.25" customHeight="1" x14ac:dyDescent="0.25">
      <c r="A27" s="40">
        <f t="shared" si="12"/>
        <v>4</v>
      </c>
      <c r="B27" s="58" t="s">
        <v>332</v>
      </c>
      <c r="C27" s="59" t="s">
        <v>32</v>
      </c>
      <c r="D27" s="67"/>
      <c r="E27" s="67"/>
      <c r="F27" s="67"/>
      <c r="G27" s="67"/>
      <c r="H27" s="66">
        <f t="shared" si="0"/>
        <v>0</v>
      </c>
      <c r="I27" s="67"/>
      <c r="J27" s="67"/>
      <c r="K27" s="67"/>
      <c r="L27" s="12"/>
      <c r="M27" s="11"/>
      <c r="N27" s="67"/>
      <c r="O27" s="66">
        <f t="shared" si="11"/>
        <v>0</v>
      </c>
      <c r="P27" s="12"/>
      <c r="Q27" s="19"/>
      <c r="R27" s="67"/>
      <c r="S27" s="67"/>
      <c r="T27" s="67"/>
      <c r="U27" s="67"/>
      <c r="V27" s="66">
        <f t="shared" si="6"/>
        <v>0</v>
      </c>
      <c r="W27" s="67"/>
      <c r="X27" s="67"/>
      <c r="Y27" s="67"/>
      <c r="Z27" s="67"/>
      <c r="AA27" s="67"/>
      <c r="AB27" s="67"/>
      <c r="AC27" s="66">
        <f t="shared" si="1"/>
        <v>0</v>
      </c>
      <c r="AD27" s="67"/>
      <c r="AE27" s="67"/>
      <c r="AF27" s="67"/>
      <c r="AG27" s="67" t="e">
        <f>+#REF!</f>
        <v>#REF!</v>
      </c>
      <c r="AH27" s="66" t="e">
        <f t="shared" si="2"/>
        <v>#REF!</v>
      </c>
      <c r="AI27" s="68" t="e">
        <f t="shared" si="13"/>
        <v>#REF!</v>
      </c>
    </row>
    <row r="28" spans="1:37" ht="17.25" customHeight="1" x14ac:dyDescent="0.25">
      <c r="A28" s="40">
        <f t="shared" si="12"/>
        <v>5</v>
      </c>
      <c r="B28" s="58" t="s">
        <v>333</v>
      </c>
      <c r="C28" s="59" t="s">
        <v>32</v>
      </c>
      <c r="D28" s="67"/>
      <c r="E28" s="67"/>
      <c r="F28" s="67"/>
      <c r="G28" s="67"/>
      <c r="H28" s="66">
        <f t="shared" si="0"/>
        <v>0</v>
      </c>
      <c r="I28" s="67"/>
      <c r="J28" s="67"/>
      <c r="K28" s="67"/>
      <c r="L28" s="12"/>
      <c r="M28" s="11"/>
      <c r="N28" s="67"/>
      <c r="O28" s="66">
        <f t="shared" si="11"/>
        <v>0</v>
      </c>
      <c r="P28" s="12"/>
      <c r="Q28" s="19"/>
      <c r="R28" s="67"/>
      <c r="S28" s="67"/>
      <c r="T28" s="67"/>
      <c r="U28" s="67"/>
      <c r="V28" s="66">
        <f t="shared" si="6"/>
        <v>0</v>
      </c>
      <c r="W28" s="67"/>
      <c r="X28" s="67"/>
      <c r="Y28" s="67"/>
      <c r="Z28" s="67"/>
      <c r="AA28" s="67"/>
      <c r="AB28" s="67"/>
      <c r="AC28" s="66">
        <f t="shared" si="1"/>
        <v>0</v>
      </c>
      <c r="AD28" s="67"/>
      <c r="AE28" s="67"/>
      <c r="AF28" s="67"/>
      <c r="AG28" s="67"/>
      <c r="AH28" s="66">
        <f t="shared" si="2"/>
        <v>0</v>
      </c>
      <c r="AI28" s="68">
        <f t="shared" si="13"/>
        <v>0</v>
      </c>
    </row>
    <row r="29" spans="1:37" ht="17.25" customHeight="1" x14ac:dyDescent="0.25">
      <c r="A29" s="40">
        <f t="shared" si="12"/>
        <v>6</v>
      </c>
      <c r="B29" s="58" t="s">
        <v>307</v>
      </c>
      <c r="C29" s="59" t="s">
        <v>32</v>
      </c>
      <c r="D29" s="67"/>
      <c r="E29" s="67"/>
      <c r="F29" s="67"/>
      <c r="G29" s="67"/>
      <c r="H29" s="66">
        <f t="shared" si="0"/>
        <v>0</v>
      </c>
      <c r="I29" s="12"/>
      <c r="J29" s="12"/>
      <c r="K29" s="12"/>
      <c r="L29" s="12"/>
      <c r="M29" s="11"/>
      <c r="N29" s="67"/>
      <c r="O29" s="66">
        <f t="shared" si="11"/>
        <v>0</v>
      </c>
      <c r="P29" s="67"/>
      <c r="Q29" s="19"/>
      <c r="R29" s="67"/>
      <c r="S29" s="67"/>
      <c r="T29" s="67"/>
      <c r="U29" s="67"/>
      <c r="V29" s="66">
        <f t="shared" si="6"/>
        <v>0</v>
      </c>
      <c r="W29" s="67"/>
      <c r="X29" s="67"/>
      <c r="Y29" s="67"/>
      <c r="Z29" s="12"/>
      <c r="AA29" s="67"/>
      <c r="AB29" s="67"/>
      <c r="AC29" s="66">
        <f t="shared" si="1"/>
        <v>0</v>
      </c>
      <c r="AD29" s="12"/>
      <c r="AE29" s="12"/>
      <c r="AF29" s="12"/>
      <c r="AG29" s="12">
        <f>+'Supermencado SAS'!F23+'Supermencado SAS'!F22+'Supermencado SAS'!F24+'Supermencado SAS'!F25+'Supermencado SAS'!F26</f>
        <v>23553</v>
      </c>
      <c r="AH29" s="66">
        <f t="shared" si="2"/>
        <v>23553</v>
      </c>
      <c r="AI29" s="68">
        <f t="shared" si="13"/>
        <v>23553</v>
      </c>
    </row>
    <row r="30" spans="1:37" ht="17.25" customHeight="1" x14ac:dyDescent="0.25">
      <c r="A30" s="40">
        <f t="shared" si="12"/>
        <v>7</v>
      </c>
      <c r="B30" s="58" t="s">
        <v>334</v>
      </c>
      <c r="C30" s="59" t="s">
        <v>32</v>
      </c>
      <c r="D30" s="67"/>
      <c r="E30" s="67"/>
      <c r="F30" s="67"/>
      <c r="G30" s="67"/>
      <c r="H30" s="66">
        <f t="shared" si="0"/>
        <v>0</v>
      </c>
      <c r="I30" s="12"/>
      <c r="J30" s="12"/>
      <c r="K30" s="12"/>
      <c r="L30" s="67"/>
      <c r="M30" s="67"/>
      <c r="N30" s="67"/>
      <c r="O30" s="66">
        <f t="shared" si="11"/>
        <v>0</v>
      </c>
      <c r="P30" s="67"/>
      <c r="Q30" s="19"/>
      <c r="R30" s="67"/>
      <c r="S30" s="67"/>
      <c r="T30" s="67"/>
      <c r="U30" s="67"/>
      <c r="V30" s="66">
        <f t="shared" si="6"/>
        <v>0</v>
      </c>
      <c r="W30" s="67"/>
      <c r="X30" s="67"/>
      <c r="Y30" s="67"/>
      <c r="Z30" s="67"/>
      <c r="AA30" s="67"/>
      <c r="AB30" s="67"/>
      <c r="AC30" s="66">
        <f t="shared" si="1"/>
        <v>0</v>
      </c>
      <c r="AD30" s="67"/>
      <c r="AE30" s="67"/>
      <c r="AF30" s="67"/>
      <c r="AG30" s="67">
        <f>+'SOLAR Supermercado'!F12</f>
        <v>2034</v>
      </c>
      <c r="AH30" s="66">
        <f t="shared" si="2"/>
        <v>2034</v>
      </c>
      <c r="AI30" s="68">
        <f t="shared" si="13"/>
        <v>2034</v>
      </c>
    </row>
    <row r="31" spans="1:37" ht="17.25" customHeight="1" x14ac:dyDescent="0.25">
      <c r="A31" s="40">
        <f t="shared" si="12"/>
        <v>8</v>
      </c>
      <c r="B31" s="58" t="s">
        <v>335</v>
      </c>
      <c r="C31" s="59" t="s">
        <v>32</v>
      </c>
      <c r="D31" s="67"/>
      <c r="E31" s="67"/>
      <c r="F31" s="67"/>
      <c r="G31" s="67"/>
      <c r="H31" s="66">
        <f t="shared" si="0"/>
        <v>0</v>
      </c>
      <c r="I31" s="12"/>
      <c r="J31" s="12"/>
      <c r="K31" s="12"/>
      <c r="L31" s="67"/>
      <c r="M31" s="67"/>
      <c r="N31" s="67"/>
      <c r="O31" s="66">
        <f t="shared" si="11"/>
        <v>0</v>
      </c>
      <c r="P31" s="67"/>
      <c r="Q31" s="19"/>
      <c r="R31" s="67"/>
      <c r="S31" s="67"/>
      <c r="T31" s="67"/>
      <c r="U31" s="67"/>
      <c r="V31" s="66">
        <f t="shared" si="6"/>
        <v>0</v>
      </c>
      <c r="W31" s="67"/>
      <c r="X31" s="67"/>
      <c r="Y31" s="67"/>
      <c r="Z31" s="67"/>
      <c r="AA31" s="67"/>
      <c r="AB31" s="67"/>
      <c r="AC31" s="66">
        <f t="shared" si="1"/>
        <v>0</v>
      </c>
      <c r="AD31" s="67"/>
      <c r="AE31" s="67"/>
      <c r="AF31" s="67"/>
      <c r="AG31" s="67">
        <f>+'LIDER Supermercado'!F14</f>
        <v>1344</v>
      </c>
      <c r="AH31" s="66">
        <f t="shared" si="2"/>
        <v>1344</v>
      </c>
      <c r="AI31" s="68">
        <f t="shared" si="13"/>
        <v>1344</v>
      </c>
    </row>
    <row r="32" spans="1:37" ht="17.25" customHeight="1" x14ac:dyDescent="0.25">
      <c r="A32" s="40">
        <f t="shared" si="12"/>
        <v>9</v>
      </c>
      <c r="B32" s="58" t="s">
        <v>336</v>
      </c>
      <c r="C32" s="59" t="s">
        <v>32</v>
      </c>
      <c r="D32" s="67"/>
      <c r="E32" s="67"/>
      <c r="F32" s="67"/>
      <c r="G32" s="67"/>
      <c r="H32" s="66">
        <f t="shared" si="0"/>
        <v>0</v>
      </c>
      <c r="I32" s="12"/>
      <c r="J32" s="12"/>
      <c r="K32" s="12"/>
      <c r="L32" s="67"/>
      <c r="M32" s="67"/>
      <c r="N32" s="67"/>
      <c r="O32" s="66">
        <f t="shared" si="11"/>
        <v>0</v>
      </c>
      <c r="P32" s="67"/>
      <c r="Q32" s="19"/>
      <c r="R32" s="67"/>
      <c r="S32" s="67"/>
      <c r="T32" s="67"/>
      <c r="U32" s="67"/>
      <c r="V32" s="66">
        <f t="shared" si="6"/>
        <v>0</v>
      </c>
      <c r="W32" s="67"/>
      <c r="X32" s="67"/>
      <c r="Y32" s="67"/>
      <c r="Z32" s="67"/>
      <c r="AA32" s="67"/>
      <c r="AB32" s="67"/>
      <c r="AC32" s="66">
        <f t="shared" si="1"/>
        <v>0</v>
      </c>
      <c r="AD32" s="67"/>
      <c r="AE32" s="67"/>
      <c r="AF32" s="67"/>
      <c r="AG32" s="67">
        <f>+'FARMACIA SAN AGUSTIN'!F13</f>
        <v>1798</v>
      </c>
      <c r="AH32" s="66">
        <f t="shared" si="2"/>
        <v>1798</v>
      </c>
      <c r="AI32" s="68">
        <f t="shared" si="13"/>
        <v>1798</v>
      </c>
      <c r="AK32" s="49"/>
    </row>
    <row r="33" spans="1:35" ht="17.25" customHeight="1" x14ac:dyDescent="0.25">
      <c r="A33" s="40">
        <f t="shared" si="12"/>
        <v>10</v>
      </c>
      <c r="B33" s="58" t="s">
        <v>337</v>
      </c>
      <c r="C33" s="59" t="s">
        <v>32</v>
      </c>
      <c r="D33" s="67"/>
      <c r="E33" s="67"/>
      <c r="F33" s="67"/>
      <c r="G33" s="67"/>
      <c r="H33" s="66">
        <f t="shared" si="0"/>
        <v>0</v>
      </c>
      <c r="I33" s="12"/>
      <c r="J33" s="12"/>
      <c r="K33" s="12"/>
      <c r="L33" s="67"/>
      <c r="M33" s="67"/>
      <c r="N33" s="67"/>
      <c r="O33" s="66">
        <f t="shared" si="11"/>
        <v>0</v>
      </c>
      <c r="P33" s="67"/>
      <c r="Q33" s="19"/>
      <c r="R33" s="67"/>
      <c r="S33" s="67"/>
      <c r="T33" s="67"/>
      <c r="U33" s="67"/>
      <c r="V33" s="66">
        <f t="shared" si="6"/>
        <v>0</v>
      </c>
      <c r="W33" s="67"/>
      <c r="X33" s="67"/>
      <c r="Y33" s="67"/>
      <c r="Z33" s="67"/>
      <c r="AA33" s="67"/>
      <c r="AB33" s="67"/>
      <c r="AC33" s="66">
        <f t="shared" si="1"/>
        <v>0</v>
      </c>
      <c r="AD33" s="67"/>
      <c r="AE33" s="67"/>
      <c r="AF33" s="67"/>
      <c r="AG33" s="67">
        <f>+'Supermercado POMPEYA'!F11+'Supermercado POMPEYA'!F12</f>
        <v>10990</v>
      </c>
      <c r="AH33" s="66">
        <f t="shared" si="2"/>
        <v>10990</v>
      </c>
      <c r="AI33" s="68">
        <f t="shared" si="13"/>
        <v>10990</v>
      </c>
    </row>
    <row r="34" spans="1:35" ht="17.25" customHeight="1" x14ac:dyDescent="0.25">
      <c r="A34" s="40">
        <f t="shared" si="12"/>
        <v>11</v>
      </c>
      <c r="B34" s="43" t="s">
        <v>308</v>
      </c>
      <c r="C34" s="59" t="s">
        <v>32</v>
      </c>
      <c r="D34" s="67"/>
      <c r="E34" s="67"/>
      <c r="F34" s="67"/>
      <c r="G34" s="67"/>
      <c r="H34" s="66">
        <f t="shared" si="0"/>
        <v>0</v>
      </c>
      <c r="I34" s="12"/>
      <c r="J34" s="12"/>
      <c r="K34" s="12"/>
      <c r="L34" s="67"/>
      <c r="M34" s="67"/>
      <c r="N34" s="67"/>
      <c r="O34" s="66">
        <f t="shared" si="11"/>
        <v>0</v>
      </c>
      <c r="P34" s="67"/>
      <c r="Q34" s="19"/>
      <c r="R34" s="67"/>
      <c r="S34" s="67"/>
      <c r="T34" s="67"/>
      <c r="U34" s="67"/>
      <c r="V34" s="66">
        <f t="shared" si="6"/>
        <v>0</v>
      </c>
      <c r="W34" s="67"/>
      <c r="X34" s="67"/>
      <c r="Y34" s="67"/>
      <c r="Z34" s="67"/>
      <c r="AA34" s="67"/>
      <c r="AB34" s="67"/>
      <c r="AC34" s="66">
        <f t="shared" si="1"/>
        <v>0</v>
      </c>
      <c r="AD34" s="67"/>
      <c r="AE34" s="67"/>
      <c r="AF34" s="67"/>
      <c r="AG34" s="67" t="e">
        <f>+#REF!</f>
        <v>#REF!</v>
      </c>
      <c r="AH34" s="66" t="e">
        <f t="shared" si="2"/>
        <v>#REF!</v>
      </c>
      <c r="AI34" s="68" t="e">
        <f t="shared" si="13"/>
        <v>#REF!</v>
      </c>
    </row>
    <row r="35" spans="1:35" ht="17.25" customHeight="1" x14ac:dyDescent="0.25">
      <c r="A35" s="40">
        <f t="shared" si="12"/>
        <v>12</v>
      </c>
      <c r="B35" s="10" t="s">
        <v>349</v>
      </c>
      <c r="C35" s="59" t="s">
        <v>32</v>
      </c>
      <c r="D35" s="67"/>
      <c r="E35" s="67"/>
      <c r="F35" s="67"/>
      <c r="G35" s="67"/>
      <c r="H35" s="66">
        <f t="shared" si="0"/>
        <v>0</v>
      </c>
      <c r="I35" s="12"/>
      <c r="J35" s="12"/>
      <c r="K35" s="12"/>
      <c r="L35" s="12"/>
      <c r="M35" s="12"/>
      <c r="N35" s="12"/>
      <c r="O35" s="66">
        <f t="shared" si="11"/>
        <v>0</v>
      </c>
      <c r="P35" s="67"/>
      <c r="Q35" s="19"/>
      <c r="R35" s="67"/>
      <c r="S35" s="67"/>
      <c r="T35" s="12"/>
      <c r="U35" s="12"/>
      <c r="V35" s="66">
        <f t="shared" si="6"/>
        <v>0</v>
      </c>
      <c r="W35" s="67"/>
      <c r="X35" s="12"/>
      <c r="Y35" s="12"/>
      <c r="Z35" s="67"/>
      <c r="AA35" s="67"/>
      <c r="AB35" s="67"/>
      <c r="AC35" s="66">
        <f t="shared" si="1"/>
        <v>0</v>
      </c>
      <c r="AD35" s="67"/>
      <c r="AE35" s="67"/>
      <c r="AF35" s="67"/>
      <c r="AG35" s="67" t="e">
        <f>+#REF!</f>
        <v>#REF!</v>
      </c>
      <c r="AH35" s="66" t="e">
        <f t="shared" si="2"/>
        <v>#REF!</v>
      </c>
      <c r="AI35" s="68" t="e">
        <f t="shared" si="13"/>
        <v>#REF!</v>
      </c>
    </row>
    <row r="36" spans="1:35" ht="17.25" customHeight="1" x14ac:dyDescent="0.25">
      <c r="A36" s="40">
        <f t="shared" si="12"/>
        <v>13</v>
      </c>
      <c r="B36" s="58" t="s">
        <v>375</v>
      </c>
      <c r="C36" s="59" t="s">
        <v>347</v>
      </c>
      <c r="D36" s="67"/>
      <c r="E36" s="67"/>
      <c r="F36" s="67"/>
      <c r="G36" s="67"/>
      <c r="H36" s="66">
        <f t="shared" si="0"/>
        <v>0</v>
      </c>
      <c r="I36" s="12"/>
      <c r="J36" s="12"/>
      <c r="K36" s="12"/>
      <c r="L36" s="12"/>
      <c r="M36" s="12"/>
      <c r="N36" s="12"/>
      <c r="O36" s="66">
        <f t="shared" si="11"/>
        <v>0</v>
      </c>
      <c r="P36" s="67"/>
      <c r="Q36" s="67"/>
      <c r="R36" s="67"/>
      <c r="S36" s="67"/>
      <c r="T36" s="12"/>
      <c r="U36" s="12"/>
      <c r="V36" s="66">
        <f t="shared" si="6"/>
        <v>0</v>
      </c>
      <c r="W36" s="67"/>
      <c r="X36" s="12"/>
      <c r="Y36" s="12"/>
      <c r="Z36" s="67"/>
      <c r="AA36" s="67"/>
      <c r="AB36" s="67"/>
      <c r="AC36" s="66">
        <f t="shared" si="1"/>
        <v>0</v>
      </c>
      <c r="AD36" s="67"/>
      <c r="AE36" s="67"/>
      <c r="AF36" s="67"/>
      <c r="AG36" s="67">
        <f>+'MERCAMAX SRL'!F11</f>
        <v>1257</v>
      </c>
      <c r="AH36" s="66">
        <f t="shared" si="2"/>
        <v>1257</v>
      </c>
      <c r="AI36" s="68">
        <f t="shared" si="13"/>
        <v>1257</v>
      </c>
    </row>
    <row r="37" spans="1:35" ht="17.25" customHeight="1" x14ac:dyDescent="0.25">
      <c r="A37" s="40">
        <f t="shared" si="12"/>
        <v>14</v>
      </c>
      <c r="B37" s="58" t="s">
        <v>352</v>
      </c>
      <c r="C37" s="59" t="s">
        <v>32</v>
      </c>
      <c r="D37" s="67"/>
      <c r="E37" s="67"/>
      <c r="F37" s="67"/>
      <c r="G37" s="67"/>
      <c r="H37" s="66">
        <f t="shared" si="0"/>
        <v>0</v>
      </c>
      <c r="I37" s="12"/>
      <c r="J37" s="12"/>
      <c r="K37" s="12"/>
      <c r="L37" s="12"/>
      <c r="M37" s="12"/>
      <c r="N37" s="12"/>
      <c r="O37" s="66">
        <f t="shared" si="11"/>
        <v>0</v>
      </c>
      <c r="P37" s="67"/>
      <c r="Q37" s="67"/>
      <c r="R37" s="67"/>
      <c r="S37" s="67"/>
      <c r="T37" s="12"/>
      <c r="U37" s="12"/>
      <c r="V37" s="66">
        <f t="shared" si="6"/>
        <v>0</v>
      </c>
      <c r="W37" s="12"/>
      <c r="X37" s="11"/>
      <c r="Y37" s="12"/>
      <c r="Z37" s="67"/>
      <c r="AA37" s="67"/>
      <c r="AB37" s="67"/>
      <c r="AC37" s="66">
        <f t="shared" si="1"/>
        <v>0</v>
      </c>
      <c r="AD37" s="67"/>
      <c r="AE37" s="67"/>
      <c r="AF37" s="67"/>
      <c r="AG37" s="67">
        <f>+'Oscar G. Paceña SUCRE'!K12</f>
        <v>1650</v>
      </c>
      <c r="AH37" s="66">
        <f t="shared" si="2"/>
        <v>1650</v>
      </c>
      <c r="AI37" s="68">
        <f t="shared" si="13"/>
        <v>1650</v>
      </c>
    </row>
    <row r="38" spans="1:35" ht="19.5" customHeight="1" x14ac:dyDescent="0.25">
      <c r="A38" s="40">
        <f t="shared" si="12"/>
        <v>15</v>
      </c>
      <c r="B38" s="64" t="s">
        <v>331</v>
      </c>
      <c r="C38" s="59" t="s">
        <v>26</v>
      </c>
      <c r="D38" s="67"/>
      <c r="E38" s="67"/>
      <c r="F38" s="67"/>
      <c r="G38" s="67"/>
      <c r="H38" s="66"/>
      <c r="I38" s="12"/>
      <c r="J38" s="12"/>
      <c r="K38" s="12"/>
      <c r="L38" s="12"/>
      <c r="M38" s="12"/>
      <c r="N38" s="12"/>
      <c r="O38" s="66"/>
      <c r="P38" s="67"/>
      <c r="Q38" s="67"/>
      <c r="R38" s="67"/>
      <c r="S38" s="67"/>
      <c r="T38" s="12"/>
      <c r="U38" s="12"/>
      <c r="V38" s="66"/>
      <c r="W38" s="12"/>
      <c r="X38" s="11"/>
      <c r="Y38" s="12"/>
      <c r="Z38" s="67"/>
      <c r="AA38" s="67"/>
      <c r="AB38" s="67"/>
      <c r="AC38" s="66"/>
      <c r="AD38" s="67"/>
      <c r="AE38" s="67"/>
      <c r="AF38" s="67"/>
      <c r="AG38" s="67" t="e">
        <f>+#REF!</f>
        <v>#REF!</v>
      </c>
      <c r="AH38" s="66" t="e">
        <f t="shared" si="2"/>
        <v>#REF!</v>
      </c>
      <c r="AI38" s="68" t="e">
        <f t="shared" si="13"/>
        <v>#REF!</v>
      </c>
    </row>
    <row r="39" spans="1:35" ht="17.25" customHeight="1" x14ac:dyDescent="0.25">
      <c r="A39" s="40">
        <f t="shared" si="12"/>
        <v>16</v>
      </c>
      <c r="B39" s="97" t="s">
        <v>107</v>
      </c>
      <c r="C39" s="59" t="s">
        <v>32</v>
      </c>
      <c r="D39" s="67"/>
      <c r="E39" s="67"/>
      <c r="F39" s="67"/>
      <c r="G39" s="67"/>
      <c r="H39" s="66"/>
      <c r="I39" s="12"/>
      <c r="J39" s="12"/>
      <c r="K39" s="12"/>
      <c r="L39" s="12"/>
      <c r="M39" s="12"/>
      <c r="N39" s="12"/>
      <c r="O39" s="66"/>
      <c r="P39" s="67"/>
      <c r="Q39" s="67"/>
      <c r="R39" s="67"/>
      <c r="S39" s="67"/>
      <c r="T39" s="12"/>
      <c r="U39" s="12"/>
      <c r="V39" s="66"/>
      <c r="W39" s="12"/>
      <c r="X39" s="11"/>
      <c r="Y39" s="12"/>
      <c r="Z39" s="67"/>
      <c r="AA39" s="67"/>
      <c r="AB39" s="67"/>
      <c r="AC39" s="66"/>
      <c r="AD39" s="67"/>
      <c r="AE39" s="67"/>
      <c r="AF39" s="67"/>
      <c r="AG39" s="67"/>
      <c r="AH39" s="66">
        <f>SUM(AD39:AG39)</f>
        <v>0</v>
      </c>
      <c r="AI39" s="68">
        <f t="shared" si="13"/>
        <v>0</v>
      </c>
    </row>
    <row r="40" spans="1:35" ht="17.25" customHeight="1" x14ac:dyDescent="0.25">
      <c r="A40" s="40">
        <f t="shared" si="12"/>
        <v>17</v>
      </c>
      <c r="B40" s="97" t="s">
        <v>110</v>
      </c>
      <c r="C40" s="59" t="s">
        <v>32</v>
      </c>
      <c r="D40" s="67"/>
      <c r="E40" s="67"/>
      <c r="F40" s="67"/>
      <c r="G40" s="67"/>
      <c r="H40" s="66"/>
      <c r="I40" s="12"/>
      <c r="J40" s="12"/>
      <c r="K40" s="12"/>
      <c r="L40" s="12"/>
      <c r="M40" s="12"/>
      <c r="N40" s="12"/>
      <c r="O40" s="66"/>
      <c r="P40" s="67"/>
      <c r="Q40" s="67"/>
      <c r="R40" s="67"/>
      <c r="S40" s="67"/>
      <c r="T40" s="12"/>
      <c r="U40" s="12"/>
      <c r="V40" s="66"/>
      <c r="W40" s="12"/>
      <c r="X40" s="11"/>
      <c r="Y40" s="12"/>
      <c r="Z40" s="67"/>
      <c r="AA40" s="67"/>
      <c r="AB40" s="67"/>
      <c r="AC40" s="66"/>
      <c r="AD40" s="67"/>
      <c r="AE40" s="67"/>
      <c r="AF40" s="67"/>
      <c r="AG40" s="67"/>
      <c r="AH40" s="66">
        <f t="shared" ref="AH40:AH47" si="14">SUM(AD40:AG40)</f>
        <v>0</v>
      </c>
      <c r="AI40" s="68">
        <f t="shared" si="13"/>
        <v>0</v>
      </c>
    </row>
    <row r="41" spans="1:35" ht="17.25" customHeight="1" x14ac:dyDescent="0.25">
      <c r="A41" s="40">
        <f t="shared" si="12"/>
        <v>18</v>
      </c>
      <c r="B41" s="58" t="s">
        <v>98</v>
      </c>
      <c r="C41" s="59" t="s">
        <v>88</v>
      </c>
      <c r="D41" s="67"/>
      <c r="E41" s="67"/>
      <c r="F41" s="67"/>
      <c r="G41" s="67"/>
      <c r="H41" s="66"/>
      <c r="I41" s="12"/>
      <c r="J41" s="12"/>
      <c r="K41" s="12"/>
      <c r="L41" s="12"/>
      <c r="M41" s="12"/>
      <c r="N41" s="12"/>
      <c r="O41" s="66"/>
      <c r="P41" s="67"/>
      <c r="Q41" s="67"/>
      <c r="R41" s="67"/>
      <c r="S41" s="67"/>
      <c r="T41" s="12"/>
      <c r="U41" s="12"/>
      <c r="V41" s="66"/>
      <c r="W41" s="12"/>
      <c r="X41" s="11"/>
      <c r="Y41" s="12"/>
      <c r="Z41" s="67"/>
      <c r="AA41" s="67"/>
      <c r="AB41" s="67"/>
      <c r="AC41" s="66"/>
      <c r="AD41" s="67"/>
      <c r="AE41" s="67"/>
      <c r="AF41" s="67"/>
      <c r="AG41" s="67" t="e">
        <f>+#REF!</f>
        <v>#REF!</v>
      </c>
      <c r="AH41" s="66" t="e">
        <f t="shared" si="14"/>
        <v>#REF!</v>
      </c>
      <c r="AI41" s="68" t="e">
        <f t="shared" si="13"/>
        <v>#REF!</v>
      </c>
    </row>
    <row r="42" spans="1:35" ht="17.25" customHeight="1" x14ac:dyDescent="0.25">
      <c r="A42" s="40">
        <f t="shared" si="12"/>
        <v>19</v>
      </c>
      <c r="B42" s="58" t="s">
        <v>103</v>
      </c>
      <c r="C42" s="59" t="s">
        <v>88</v>
      </c>
      <c r="D42" s="67"/>
      <c r="E42" s="67"/>
      <c r="F42" s="67"/>
      <c r="G42" s="67"/>
      <c r="H42" s="66"/>
      <c r="I42" s="12"/>
      <c r="J42" s="12"/>
      <c r="K42" s="12"/>
      <c r="L42" s="12"/>
      <c r="M42" s="12"/>
      <c r="N42" s="12"/>
      <c r="O42" s="66"/>
      <c r="P42" s="67"/>
      <c r="Q42" s="67"/>
      <c r="R42" s="67"/>
      <c r="S42" s="67"/>
      <c r="T42" s="12"/>
      <c r="U42" s="12"/>
      <c r="V42" s="66"/>
      <c r="W42" s="12"/>
      <c r="X42" s="11"/>
      <c r="Y42" s="12"/>
      <c r="Z42" s="67"/>
      <c r="AA42" s="67"/>
      <c r="AB42" s="67"/>
      <c r="AC42" s="66"/>
      <c r="AD42" s="67"/>
      <c r="AE42" s="67"/>
      <c r="AF42" s="67"/>
      <c r="AG42" s="67" t="e">
        <f>+#REF!</f>
        <v>#REF!</v>
      </c>
      <c r="AH42" s="66" t="e">
        <f t="shared" si="14"/>
        <v>#REF!</v>
      </c>
      <c r="AI42" s="68" t="e">
        <f t="shared" si="13"/>
        <v>#REF!</v>
      </c>
    </row>
    <row r="43" spans="1:35" ht="17.25" customHeight="1" x14ac:dyDescent="0.25">
      <c r="A43" s="40">
        <f t="shared" si="12"/>
        <v>20</v>
      </c>
      <c r="B43" s="58" t="s">
        <v>166</v>
      </c>
      <c r="C43" s="59" t="s">
        <v>16</v>
      </c>
      <c r="D43" s="67"/>
      <c r="E43" s="67"/>
      <c r="F43" s="67"/>
      <c r="G43" s="67"/>
      <c r="H43" s="66"/>
      <c r="I43" s="12"/>
      <c r="J43" s="12"/>
      <c r="K43" s="12"/>
      <c r="L43" s="12"/>
      <c r="M43" s="12"/>
      <c r="N43" s="12"/>
      <c r="O43" s="66"/>
      <c r="P43" s="67"/>
      <c r="Q43" s="67"/>
      <c r="R43" s="67"/>
      <c r="S43" s="67"/>
      <c r="T43" s="12"/>
      <c r="U43" s="12"/>
      <c r="V43" s="66"/>
      <c r="W43" s="67"/>
      <c r="X43" s="12"/>
      <c r="Y43" s="11"/>
      <c r="Z43" s="67"/>
      <c r="AA43" s="67"/>
      <c r="AB43" s="67"/>
      <c r="AC43" s="66"/>
      <c r="AD43" s="67"/>
      <c r="AE43" s="67"/>
      <c r="AF43" s="67"/>
      <c r="AG43" s="67" t="e">
        <f>+#REF!</f>
        <v>#REF!</v>
      </c>
      <c r="AH43" s="66" t="e">
        <f t="shared" si="14"/>
        <v>#REF!</v>
      </c>
      <c r="AI43" s="68" t="e">
        <f t="shared" si="13"/>
        <v>#REF!</v>
      </c>
    </row>
    <row r="44" spans="1:35" ht="30.75" customHeight="1" x14ac:dyDescent="0.25">
      <c r="A44" s="40">
        <f t="shared" si="12"/>
        <v>21</v>
      </c>
      <c r="B44" s="58" t="s">
        <v>376</v>
      </c>
      <c r="C44" s="59" t="s">
        <v>270</v>
      </c>
      <c r="D44" s="67"/>
      <c r="E44" s="67"/>
      <c r="F44" s="67"/>
      <c r="G44" s="67"/>
      <c r="H44" s="66"/>
      <c r="I44" s="12"/>
      <c r="J44" s="12"/>
      <c r="K44" s="12"/>
      <c r="L44" s="12"/>
      <c r="M44" s="12"/>
      <c r="N44" s="12"/>
      <c r="O44" s="66"/>
      <c r="P44" s="67"/>
      <c r="Q44" s="67"/>
      <c r="R44" s="67"/>
      <c r="S44" s="67"/>
      <c r="T44" s="12"/>
      <c r="U44" s="12"/>
      <c r="V44" s="66"/>
      <c r="W44" s="67"/>
      <c r="X44" s="12"/>
      <c r="Y44" s="11"/>
      <c r="Z44" s="67"/>
      <c r="AA44" s="67"/>
      <c r="AB44" s="67"/>
      <c r="AC44" s="66"/>
      <c r="AD44" s="67"/>
      <c r="AE44" s="67"/>
      <c r="AF44" s="67"/>
      <c r="AG44" s="67">
        <f>+'Pulperia USFX'!F11</f>
        <v>2595</v>
      </c>
      <c r="AH44" s="66">
        <f t="shared" si="14"/>
        <v>2595</v>
      </c>
      <c r="AI44" s="68">
        <f t="shared" si="13"/>
        <v>2595</v>
      </c>
    </row>
    <row r="45" spans="1:35" ht="17.25" customHeight="1" x14ac:dyDescent="0.25">
      <c r="A45" s="40">
        <f t="shared" si="12"/>
        <v>22</v>
      </c>
      <c r="B45" s="58" t="s">
        <v>377</v>
      </c>
      <c r="C45" s="59" t="s">
        <v>29</v>
      </c>
      <c r="D45" s="67"/>
      <c r="E45" s="67"/>
      <c r="F45" s="67"/>
      <c r="G45" s="67"/>
      <c r="H45" s="66"/>
      <c r="I45" s="12"/>
      <c r="J45" s="12"/>
      <c r="K45" s="12"/>
      <c r="L45" s="12"/>
      <c r="M45" s="12"/>
      <c r="N45" s="12"/>
      <c r="O45" s="66"/>
      <c r="P45" s="67"/>
      <c r="Q45" s="67"/>
      <c r="R45" s="67"/>
      <c r="S45" s="67"/>
      <c r="T45" s="12"/>
      <c r="U45" s="12"/>
      <c r="V45" s="66"/>
      <c r="W45" s="67"/>
      <c r="X45" s="12"/>
      <c r="Y45" s="11"/>
      <c r="Z45" s="67"/>
      <c r="AA45" s="67"/>
      <c r="AB45" s="67"/>
      <c r="AC45" s="66"/>
      <c r="AD45" s="67"/>
      <c r="AE45" s="67"/>
      <c r="AF45" s="67"/>
      <c r="AG45" s="67"/>
      <c r="AH45" s="66">
        <f t="shared" si="14"/>
        <v>0</v>
      </c>
      <c r="AI45" s="68">
        <f t="shared" si="13"/>
        <v>0</v>
      </c>
    </row>
    <row r="46" spans="1:35" ht="17.25" customHeight="1" x14ac:dyDescent="0.25">
      <c r="A46" s="40">
        <f t="shared" si="12"/>
        <v>23</v>
      </c>
      <c r="B46" s="58" t="s">
        <v>350</v>
      </c>
      <c r="C46" s="59" t="s">
        <v>86</v>
      </c>
      <c r="D46" s="67"/>
      <c r="E46" s="67"/>
      <c r="F46" s="67"/>
      <c r="G46" s="67"/>
      <c r="H46" s="66"/>
      <c r="I46" s="12"/>
      <c r="J46" s="12"/>
      <c r="K46" s="12"/>
      <c r="L46" s="12"/>
      <c r="M46" s="12"/>
      <c r="N46" s="12"/>
      <c r="O46" s="66"/>
      <c r="P46" s="67"/>
      <c r="Q46" s="67"/>
      <c r="R46" s="67"/>
      <c r="S46" s="67"/>
      <c r="T46" s="12"/>
      <c r="U46" s="12"/>
      <c r="V46" s="66"/>
      <c r="W46" s="67"/>
      <c r="X46" s="12"/>
      <c r="Y46" s="11"/>
      <c r="Z46" s="67"/>
      <c r="AA46" s="67"/>
      <c r="AB46" s="67"/>
      <c r="AC46" s="66"/>
      <c r="AD46" s="67"/>
      <c r="AE46" s="67"/>
      <c r="AF46" s="67"/>
      <c r="AG46" s="67"/>
      <c r="AH46" s="66">
        <f t="shared" si="14"/>
        <v>0</v>
      </c>
      <c r="AI46" s="68">
        <f t="shared" si="13"/>
        <v>0</v>
      </c>
    </row>
    <row r="47" spans="1:35" ht="17.25" customHeight="1" x14ac:dyDescent="0.25">
      <c r="A47" s="40">
        <f t="shared" si="12"/>
        <v>24</v>
      </c>
      <c r="B47" s="58" t="s">
        <v>223</v>
      </c>
      <c r="C47" s="59" t="s">
        <v>9</v>
      </c>
      <c r="D47" s="67"/>
      <c r="E47" s="67"/>
      <c r="F47" s="67"/>
      <c r="G47" s="67"/>
      <c r="H47" s="66">
        <f t="shared" si="0"/>
        <v>0</v>
      </c>
      <c r="I47" s="12"/>
      <c r="J47" s="12"/>
      <c r="K47" s="12"/>
      <c r="L47" s="12"/>
      <c r="M47" s="12"/>
      <c r="N47" s="12"/>
      <c r="O47" s="66">
        <f t="shared" si="11"/>
        <v>0</v>
      </c>
      <c r="P47" s="67"/>
      <c r="Q47" s="67"/>
      <c r="R47" s="67"/>
      <c r="S47" s="67"/>
      <c r="T47" s="12"/>
      <c r="U47" s="12"/>
      <c r="V47" s="66">
        <f t="shared" si="6"/>
        <v>0</v>
      </c>
      <c r="W47" s="67"/>
      <c r="X47" s="12"/>
      <c r="Y47" s="11"/>
      <c r="Z47" s="67"/>
      <c r="AA47" s="67"/>
      <c r="AB47" s="67"/>
      <c r="AC47" s="66">
        <f t="shared" si="1"/>
        <v>0</v>
      </c>
      <c r="AD47" s="67"/>
      <c r="AE47" s="67"/>
      <c r="AF47" s="67"/>
      <c r="AG47" s="67"/>
      <c r="AH47" s="66">
        <f t="shared" si="14"/>
        <v>0</v>
      </c>
      <c r="AI47" s="68">
        <f t="shared" si="13"/>
        <v>0</v>
      </c>
    </row>
    <row r="48" spans="1:35" ht="17.25" customHeight="1" x14ac:dyDescent="0.25">
      <c r="A48" s="40">
        <f t="shared" si="12"/>
        <v>25</v>
      </c>
      <c r="B48" s="58" t="s">
        <v>184</v>
      </c>
      <c r="C48" s="59" t="s">
        <v>32</v>
      </c>
      <c r="D48" s="67"/>
      <c r="E48" s="67"/>
      <c r="F48" s="67"/>
      <c r="G48" s="67"/>
      <c r="H48" s="66">
        <f t="shared" si="0"/>
        <v>0</v>
      </c>
      <c r="I48" s="12"/>
      <c r="J48" s="12"/>
      <c r="K48" s="12"/>
      <c r="L48" s="12"/>
      <c r="M48" s="12"/>
      <c r="N48" s="12"/>
      <c r="O48" s="66">
        <f t="shared" si="11"/>
        <v>0</v>
      </c>
      <c r="P48" s="67"/>
      <c r="Q48" s="67"/>
      <c r="R48" s="67"/>
      <c r="S48" s="67"/>
      <c r="T48" s="67"/>
      <c r="U48" s="67"/>
      <c r="V48" s="66">
        <f t="shared" si="6"/>
        <v>0</v>
      </c>
      <c r="W48" s="67"/>
      <c r="X48" s="67"/>
      <c r="Y48" s="67"/>
      <c r="Z48" s="67"/>
      <c r="AA48" s="67"/>
      <c r="AB48" s="67"/>
      <c r="AC48" s="66">
        <f t="shared" si="1"/>
        <v>0</v>
      </c>
      <c r="AD48" s="67"/>
      <c r="AE48" s="67"/>
      <c r="AF48" s="67"/>
      <c r="AG48" s="67">
        <v>38730</v>
      </c>
      <c r="AH48" s="66">
        <f t="shared" si="2"/>
        <v>38730</v>
      </c>
      <c r="AI48" s="68">
        <f t="shared" si="13"/>
        <v>38730</v>
      </c>
    </row>
    <row r="49" spans="1:37" ht="16.5" thickBot="1" x14ac:dyDescent="0.3">
      <c r="A49" s="274" t="s">
        <v>79</v>
      </c>
      <c r="B49" s="274"/>
      <c r="C49" s="274"/>
      <c r="D49" s="92"/>
      <c r="E49" s="92"/>
      <c r="F49" s="92"/>
      <c r="G49" s="92">
        <f>SUM(G24:G48)</f>
        <v>0</v>
      </c>
      <c r="H49" s="91">
        <f t="shared" si="0"/>
        <v>0</v>
      </c>
      <c r="I49" s="92">
        <f t="shared" ref="I49:N49" si="15">SUM(I24:I48)</f>
        <v>0</v>
      </c>
      <c r="J49" s="92">
        <f t="shared" si="15"/>
        <v>0</v>
      </c>
      <c r="K49" s="92">
        <f t="shared" si="15"/>
        <v>0</v>
      </c>
      <c r="L49" s="92">
        <f t="shared" si="15"/>
        <v>0</v>
      </c>
      <c r="M49" s="92">
        <f t="shared" si="15"/>
        <v>0</v>
      </c>
      <c r="N49" s="92">
        <f t="shared" si="15"/>
        <v>0</v>
      </c>
      <c r="O49" s="91">
        <f>SUM(I49:N49)</f>
        <v>0</v>
      </c>
      <c r="P49" s="92">
        <f t="shared" ref="P49:U49" si="16">SUM(P24:P48)</f>
        <v>0</v>
      </c>
      <c r="Q49" s="92">
        <f t="shared" si="16"/>
        <v>0</v>
      </c>
      <c r="R49" s="92">
        <f t="shared" si="16"/>
        <v>0</v>
      </c>
      <c r="S49" s="92">
        <f t="shared" si="16"/>
        <v>0</v>
      </c>
      <c r="T49" s="92">
        <f t="shared" si="16"/>
        <v>0</v>
      </c>
      <c r="U49" s="92">
        <f t="shared" si="16"/>
        <v>0</v>
      </c>
      <c r="V49" s="91">
        <f>SUM(P49:U49)</f>
        <v>0</v>
      </c>
      <c r="W49" s="92">
        <f t="shared" ref="W49:AB49" si="17">SUM(W24:W48)</f>
        <v>0</v>
      </c>
      <c r="X49" s="92">
        <f t="shared" si="17"/>
        <v>0</v>
      </c>
      <c r="Y49" s="92">
        <f t="shared" si="17"/>
        <v>0</v>
      </c>
      <c r="Z49" s="92">
        <f t="shared" si="17"/>
        <v>0</v>
      </c>
      <c r="AA49" s="92">
        <f t="shared" si="17"/>
        <v>0</v>
      </c>
      <c r="AB49" s="92">
        <f t="shared" si="17"/>
        <v>0</v>
      </c>
      <c r="AC49" s="91">
        <f t="shared" si="1"/>
        <v>0</v>
      </c>
      <c r="AD49" s="92">
        <f>SUM(AD24:AD48)</f>
        <v>0</v>
      </c>
      <c r="AE49" s="92">
        <f>SUM(AE24:AE48)</f>
        <v>0</v>
      </c>
      <c r="AF49" s="92">
        <f>SUM(AF24:AF48)</f>
        <v>0</v>
      </c>
      <c r="AG49" s="92" t="e">
        <f>SUM(AG24:AG48)</f>
        <v>#REF!</v>
      </c>
      <c r="AH49" s="66" t="e">
        <f>SUM(AD49:AG49)</f>
        <v>#REF!</v>
      </c>
      <c r="AI49" s="70" t="e">
        <f>SUM(AI24:AI48)</f>
        <v>#REF!</v>
      </c>
    </row>
    <row r="50" spans="1:37" ht="29.25" customHeight="1" thickTop="1" x14ac:dyDescent="0.25">
      <c r="A50" s="269" t="s">
        <v>78</v>
      </c>
      <c r="B50" s="269"/>
      <c r="C50" s="269"/>
      <c r="D50" s="71">
        <f>+D23+D49</f>
        <v>0</v>
      </c>
      <c r="E50" s="71">
        <f>+E23+E49</f>
        <v>0</v>
      </c>
      <c r="F50" s="71">
        <f>+F23+F49</f>
        <v>0</v>
      </c>
      <c r="G50" s="71">
        <f>+G23+G49</f>
        <v>0</v>
      </c>
      <c r="H50" s="66">
        <f t="shared" si="0"/>
        <v>0</v>
      </c>
      <c r="I50" s="71">
        <f t="shared" ref="I50:N50" si="18">+I23+I49</f>
        <v>0</v>
      </c>
      <c r="J50" s="71">
        <f t="shared" si="18"/>
        <v>0</v>
      </c>
      <c r="K50" s="71">
        <f t="shared" si="18"/>
        <v>0</v>
      </c>
      <c r="L50" s="71">
        <f t="shared" si="18"/>
        <v>0</v>
      </c>
      <c r="M50" s="71">
        <f t="shared" si="18"/>
        <v>0</v>
      </c>
      <c r="N50" s="71">
        <f t="shared" si="18"/>
        <v>0</v>
      </c>
      <c r="O50" s="66">
        <f t="shared" si="4"/>
        <v>0</v>
      </c>
      <c r="P50" s="71">
        <f t="shared" ref="P50:U50" si="19">+P23+P49</f>
        <v>0</v>
      </c>
      <c r="Q50" s="71">
        <f t="shared" si="19"/>
        <v>0</v>
      </c>
      <c r="R50" s="71">
        <f t="shared" si="19"/>
        <v>0</v>
      </c>
      <c r="S50" s="71">
        <f t="shared" si="19"/>
        <v>0</v>
      </c>
      <c r="T50" s="71">
        <f t="shared" si="19"/>
        <v>0</v>
      </c>
      <c r="U50" s="71">
        <f t="shared" si="19"/>
        <v>0</v>
      </c>
      <c r="V50" s="66">
        <f>SUM(P50:U50)</f>
        <v>0</v>
      </c>
      <c r="W50" s="71">
        <f t="shared" ref="W50:AB50" si="20">+W23+W49</f>
        <v>0</v>
      </c>
      <c r="X50" s="71">
        <f t="shared" si="20"/>
        <v>0</v>
      </c>
      <c r="Y50" s="71">
        <f t="shared" si="20"/>
        <v>0</v>
      </c>
      <c r="Z50" s="71">
        <f t="shared" si="20"/>
        <v>0</v>
      </c>
      <c r="AA50" s="71">
        <f t="shared" si="20"/>
        <v>0</v>
      </c>
      <c r="AB50" s="71">
        <f t="shared" si="20"/>
        <v>0</v>
      </c>
      <c r="AC50" s="66">
        <f t="shared" si="1"/>
        <v>0</v>
      </c>
      <c r="AD50" s="71">
        <f>+AD23+AD49</f>
        <v>0</v>
      </c>
      <c r="AE50" s="71"/>
      <c r="AF50" s="71"/>
      <c r="AG50" s="71"/>
      <c r="AH50" s="66">
        <f>SUM(AD50:AG50)</f>
        <v>0</v>
      </c>
      <c r="AI50" s="71" t="e">
        <f>SUM(AI49,AI23)</f>
        <v>#REF!</v>
      </c>
    </row>
    <row r="51" spans="1:37" x14ac:dyDescent="0.25">
      <c r="A51" s="37"/>
      <c r="B51" s="33"/>
      <c r="C51" s="33"/>
      <c r="AK51" s="49"/>
    </row>
    <row r="52" spans="1:37" x14ac:dyDescent="0.25">
      <c r="A52" s="37"/>
      <c r="B52" s="34"/>
      <c r="C52" s="34"/>
      <c r="AI52" s="49"/>
    </row>
    <row r="53" spans="1:37" x14ac:dyDescent="0.25">
      <c r="A53" s="37"/>
      <c r="B53" s="34"/>
      <c r="C53" s="34"/>
      <c r="M53" s="49"/>
      <c r="N53" s="100"/>
    </row>
    <row r="54" spans="1:37" x14ac:dyDescent="0.25">
      <c r="M54" s="49"/>
      <c r="N54" s="100"/>
      <c r="AI54" s="49"/>
      <c r="AK54" s="49"/>
    </row>
    <row r="55" spans="1:37" x14ac:dyDescent="0.25">
      <c r="M55" s="49"/>
      <c r="N55" s="101"/>
    </row>
    <row r="56" spans="1:37" x14ac:dyDescent="0.25">
      <c r="M56" s="49"/>
      <c r="N56" s="101"/>
    </row>
    <row r="57" spans="1:37" x14ac:dyDescent="0.25">
      <c r="M57" s="49"/>
      <c r="N57" s="101"/>
    </row>
  </sheetData>
  <mergeCells count="7">
    <mergeCell ref="A50:C50"/>
    <mergeCell ref="A6:A7"/>
    <mergeCell ref="B6:B7"/>
    <mergeCell ref="C6:C7"/>
    <mergeCell ref="AI6:AI7"/>
    <mergeCell ref="A23:C23"/>
    <mergeCell ref="A49:C49"/>
  </mergeCells>
  <pageMargins left="0.7" right="0.7" top="0.75" bottom="0.75" header="0.3" footer="0.3"/>
  <pageSetup paperSize="9" scale="24" orientation="landscape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5"/>
  <dimension ref="A1:N63"/>
  <sheetViews>
    <sheetView topLeftCell="A16" workbookViewId="0">
      <selection activeCell="F26" sqref="F26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3.85546875" style="1" customWidth="1"/>
    <col min="10" max="10" width="16.5703125" style="1" customWidth="1"/>
    <col min="11" max="11" width="5" style="1" customWidth="1"/>
    <col min="12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3" x14ac:dyDescent="0.25">
      <c r="A5" s="5"/>
      <c r="B5" s="7"/>
      <c r="C5" s="8" t="s">
        <v>49</v>
      </c>
      <c r="D5" s="5" t="s">
        <v>107</v>
      </c>
      <c r="E5" s="9"/>
      <c r="F5" s="9"/>
      <c r="G5" s="9"/>
      <c r="H5" s="9"/>
      <c r="I5" s="9"/>
      <c r="J5" s="9"/>
      <c r="K5" s="5"/>
    </row>
    <row r="6" spans="1:13" x14ac:dyDescent="0.25">
      <c r="A6" s="5"/>
      <c r="B6" s="7"/>
      <c r="C6" s="8" t="s">
        <v>97</v>
      </c>
      <c r="D6" s="13" t="s">
        <v>373</v>
      </c>
      <c r="E6" s="9"/>
      <c r="F6" s="9"/>
      <c r="G6" s="9"/>
      <c r="H6" s="9"/>
      <c r="I6" s="9"/>
      <c r="J6" s="9"/>
      <c r="K6" s="5"/>
    </row>
    <row r="7" spans="1:13" x14ac:dyDescent="0.25">
      <c r="A7" s="5"/>
      <c r="B7" s="7"/>
      <c r="C7" s="8" t="s">
        <v>45</v>
      </c>
      <c r="D7" s="13">
        <v>60303650</v>
      </c>
      <c r="E7" s="9"/>
      <c r="F7" s="9"/>
      <c r="G7" s="9"/>
      <c r="H7" s="9"/>
      <c r="I7" s="9"/>
      <c r="J7" s="9"/>
      <c r="K7" s="5"/>
    </row>
    <row r="8" spans="1:13" x14ac:dyDescent="0.25">
      <c r="A8" s="5"/>
      <c r="B8" s="7"/>
      <c r="C8" s="8" t="s">
        <v>48</v>
      </c>
      <c r="D8" s="5" t="s">
        <v>32</v>
      </c>
      <c r="E8" s="9"/>
      <c r="F8" s="9"/>
      <c r="G8" s="9"/>
      <c r="H8" s="9"/>
      <c r="I8" s="9"/>
      <c r="J8" s="9"/>
      <c r="K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3" x14ac:dyDescent="0.25">
      <c r="A11" s="5"/>
      <c r="B11" s="14">
        <v>250407</v>
      </c>
      <c r="C11" s="14">
        <v>1700</v>
      </c>
      <c r="D11" s="96">
        <v>45756</v>
      </c>
      <c r="E11" s="12">
        <v>19980</v>
      </c>
      <c r="F11" s="12">
        <v>19980</v>
      </c>
      <c r="G11" s="96">
        <v>45764</v>
      </c>
      <c r="H11" s="12">
        <f>+E11-F11</f>
        <v>0</v>
      </c>
      <c r="I11" s="10"/>
      <c r="J11" s="21"/>
      <c r="K11" s="5"/>
    </row>
    <row r="12" spans="1:13" ht="16.5" thickBot="1" x14ac:dyDescent="0.3">
      <c r="A12" s="5"/>
      <c r="B12" s="83">
        <v>250721</v>
      </c>
      <c r="C12" s="83">
        <v>1817</v>
      </c>
      <c r="D12" s="115">
        <v>45853</v>
      </c>
      <c r="E12" s="85">
        <v>11745</v>
      </c>
      <c r="F12" s="85">
        <v>11745</v>
      </c>
      <c r="G12" s="115">
        <v>45866</v>
      </c>
      <c r="H12" s="85">
        <f>+H11+E12-F12</f>
        <v>0</v>
      </c>
      <c r="I12" s="87"/>
      <c r="J12" s="120"/>
      <c r="K12" s="5"/>
    </row>
    <row r="13" spans="1:13" ht="16.5" thickTop="1" x14ac:dyDescent="0.25">
      <c r="A13" s="5"/>
      <c r="B13" s="118">
        <v>250831</v>
      </c>
      <c r="C13" s="118">
        <v>18</v>
      </c>
      <c r="D13" s="116">
        <v>45901</v>
      </c>
      <c r="E13" s="80">
        <v>8091</v>
      </c>
      <c r="F13" s="80"/>
      <c r="G13" s="116"/>
      <c r="H13" s="80">
        <f t="shared" ref="H13:H19" si="0">+H12+E13-F13</f>
        <v>8091</v>
      </c>
      <c r="I13" s="82"/>
      <c r="J13" s="119"/>
      <c r="K13" s="5"/>
    </row>
    <row r="14" spans="1:13" x14ac:dyDescent="0.25">
      <c r="A14" s="5"/>
      <c r="B14" s="14">
        <v>250936</v>
      </c>
      <c r="C14" s="14">
        <v>1916</v>
      </c>
      <c r="D14" s="96">
        <v>45930</v>
      </c>
      <c r="E14" s="12">
        <v>4350</v>
      </c>
      <c r="F14" s="12"/>
      <c r="G14" s="11"/>
      <c r="H14" s="12">
        <f t="shared" si="0"/>
        <v>12441</v>
      </c>
      <c r="I14" s="10"/>
      <c r="J14" s="10"/>
      <c r="K14" s="5"/>
    </row>
    <row r="15" spans="1:13" x14ac:dyDescent="0.25">
      <c r="A15" s="5"/>
      <c r="B15" s="14">
        <v>251016</v>
      </c>
      <c r="C15" s="14">
        <v>1943</v>
      </c>
      <c r="D15" s="96">
        <v>45941</v>
      </c>
      <c r="E15" s="12">
        <v>2900</v>
      </c>
      <c r="F15" s="12"/>
      <c r="G15" s="11"/>
      <c r="H15" s="12">
        <f>+H14+E15-F15</f>
        <v>15341</v>
      </c>
      <c r="I15" s="10"/>
      <c r="J15" s="10"/>
      <c r="K15" s="5"/>
    </row>
    <row r="16" spans="1:13" ht="16.5" thickBot="1" x14ac:dyDescent="0.3">
      <c r="A16" s="5"/>
      <c r="B16" s="83">
        <v>251035</v>
      </c>
      <c r="C16" s="83">
        <v>1974</v>
      </c>
      <c r="D16" s="115">
        <v>45954</v>
      </c>
      <c r="E16" s="85">
        <v>2291</v>
      </c>
      <c r="F16" s="85">
        <v>17632</v>
      </c>
      <c r="G16" s="86">
        <v>45982</v>
      </c>
      <c r="H16" s="85">
        <f t="shared" si="0"/>
        <v>0</v>
      </c>
      <c r="I16" s="87"/>
      <c r="J16" s="87"/>
      <c r="K16" s="5"/>
      <c r="M16" s="1">
        <f>79*29</f>
        <v>2291</v>
      </c>
    </row>
    <row r="17" spans="1:14" ht="16.5" thickTop="1" x14ac:dyDescent="0.25">
      <c r="A17" s="5"/>
      <c r="B17" s="118">
        <v>260114</v>
      </c>
      <c r="C17" s="118">
        <v>2230</v>
      </c>
      <c r="D17" s="116">
        <v>46028</v>
      </c>
      <c r="E17" s="80">
        <v>2500</v>
      </c>
      <c r="F17" s="80"/>
      <c r="G17" s="81"/>
      <c r="H17" s="80">
        <f t="shared" si="0"/>
        <v>2500</v>
      </c>
      <c r="I17" s="82"/>
      <c r="J17" s="82"/>
      <c r="K17" s="5"/>
    </row>
    <row r="18" spans="1:14" x14ac:dyDescent="0.25">
      <c r="A18" s="5"/>
      <c r="B18" s="14">
        <v>260182</v>
      </c>
      <c r="C18" s="14">
        <v>2305</v>
      </c>
      <c r="D18" s="96">
        <v>46038</v>
      </c>
      <c r="E18" s="12">
        <v>5000</v>
      </c>
      <c r="F18" s="12"/>
      <c r="G18" s="11"/>
      <c r="H18" s="12">
        <f t="shared" si="0"/>
        <v>7500</v>
      </c>
      <c r="I18" s="10"/>
      <c r="J18" s="10"/>
      <c r="K18" s="5"/>
    </row>
    <row r="19" spans="1:14" x14ac:dyDescent="0.25">
      <c r="A19" s="5"/>
      <c r="B19" s="14">
        <v>260253</v>
      </c>
      <c r="C19" s="14">
        <v>2440</v>
      </c>
      <c r="D19" s="96">
        <v>46064</v>
      </c>
      <c r="E19" s="224">
        <v>12792</v>
      </c>
      <c r="F19" s="12"/>
      <c r="G19" s="11"/>
      <c r="H19" s="12">
        <f t="shared" si="0"/>
        <v>20292</v>
      </c>
      <c r="I19" s="10"/>
      <c r="J19" s="10"/>
      <c r="K19" s="5"/>
      <c r="M19" s="49"/>
    </row>
    <row r="20" spans="1:14" ht="16.5" thickBot="1" x14ac:dyDescent="0.3">
      <c r="A20" s="5"/>
      <c r="B20" s="83"/>
      <c r="C20" s="83"/>
      <c r="D20" s="115" t="s">
        <v>378</v>
      </c>
      <c r="E20" s="85">
        <v>-300</v>
      </c>
      <c r="F20" s="85">
        <v>19992</v>
      </c>
      <c r="G20" s="86">
        <v>46090</v>
      </c>
      <c r="H20" s="85">
        <f>+H19+E20-F20</f>
        <v>0</v>
      </c>
      <c r="I20" s="87"/>
      <c r="J20" s="87"/>
      <c r="K20" s="5"/>
      <c r="L20" s="49">
        <f>SUM(E17:E19)</f>
        <v>20292</v>
      </c>
      <c r="M20" s="1">
        <v>19992</v>
      </c>
      <c r="N20" s="49">
        <f>+L20-M20</f>
        <v>300</v>
      </c>
    </row>
    <row r="21" spans="1:14" s="5" customFormat="1" ht="17.25" thickTop="1" thickBot="1" x14ac:dyDescent="0.3">
      <c r="B21" s="138">
        <v>2604</v>
      </c>
      <c r="C21" s="138">
        <v>233</v>
      </c>
      <c r="D21" s="265">
        <v>46127</v>
      </c>
      <c r="E21" s="140">
        <v>17411</v>
      </c>
      <c r="F21" s="140">
        <v>17411</v>
      </c>
      <c r="G21" s="141">
        <v>46134</v>
      </c>
      <c r="H21" s="140">
        <f>+H20+E21-F21</f>
        <v>0</v>
      </c>
      <c r="I21" s="142"/>
      <c r="J21" s="142"/>
    </row>
    <row r="22" spans="1:14" ht="17.25" thickTop="1" thickBot="1" x14ac:dyDescent="0.3">
      <c r="A22" s="5"/>
      <c r="B22" s="118"/>
      <c r="C22" s="118">
        <v>480</v>
      </c>
      <c r="D22" s="116">
        <v>46210</v>
      </c>
      <c r="E22" s="80">
        <v>5750</v>
      </c>
      <c r="F22" s="80"/>
      <c r="G22" s="81"/>
      <c r="H22" s="140">
        <f t="shared" ref="H22:H28" si="1">+H21+E22-F22</f>
        <v>5750</v>
      </c>
      <c r="I22" s="82"/>
      <c r="J22" s="82"/>
      <c r="K22" s="5"/>
    </row>
    <row r="23" spans="1:14" ht="17.25" thickTop="1" thickBot="1" x14ac:dyDescent="0.3">
      <c r="A23" s="5"/>
      <c r="B23" s="23"/>
      <c r="C23" s="23">
        <v>549</v>
      </c>
      <c r="D23" s="221">
        <v>46231</v>
      </c>
      <c r="E23" s="19">
        <v>1150</v>
      </c>
      <c r="F23" s="12"/>
      <c r="G23" s="11"/>
      <c r="H23" s="140">
        <f t="shared" si="1"/>
        <v>6900</v>
      </c>
      <c r="I23" s="10"/>
      <c r="J23" s="10"/>
      <c r="K23" s="5"/>
    </row>
    <row r="24" spans="1:14" ht="17.25" thickTop="1" thickBot="1" x14ac:dyDescent="0.3">
      <c r="A24" s="5"/>
      <c r="B24" s="83"/>
      <c r="C24" s="83">
        <v>559</v>
      </c>
      <c r="D24" s="115">
        <v>46233</v>
      </c>
      <c r="E24" s="85">
        <v>5750</v>
      </c>
      <c r="F24" s="85">
        <v>12650</v>
      </c>
      <c r="G24" s="86">
        <v>46246</v>
      </c>
      <c r="H24" s="140">
        <f t="shared" si="1"/>
        <v>0</v>
      </c>
      <c r="I24" s="87"/>
      <c r="J24" s="87"/>
      <c r="K24" s="5"/>
    </row>
    <row r="25" spans="1:14" ht="17.25" thickTop="1" thickBot="1" x14ac:dyDescent="0.3">
      <c r="A25" s="5"/>
      <c r="B25" s="77"/>
      <c r="C25" s="77"/>
      <c r="D25" s="264"/>
      <c r="E25" s="79"/>
      <c r="F25" s="80"/>
      <c r="G25" s="81"/>
      <c r="H25" s="140">
        <f t="shared" si="1"/>
        <v>0</v>
      </c>
      <c r="I25" s="82"/>
      <c r="J25" s="82"/>
      <c r="K25" s="5"/>
    </row>
    <row r="26" spans="1:14" ht="17.25" thickTop="1" thickBot="1" x14ac:dyDescent="0.3">
      <c r="A26" s="5"/>
      <c r="B26" s="23"/>
      <c r="C26" s="23"/>
      <c r="D26" s="263"/>
      <c r="E26" s="19"/>
      <c r="F26" s="12"/>
      <c r="G26" s="11"/>
      <c r="H26" s="140">
        <f t="shared" si="1"/>
        <v>0</v>
      </c>
      <c r="I26" s="10"/>
      <c r="J26" s="10"/>
      <c r="K26" s="5"/>
    </row>
    <row r="27" spans="1:14" ht="17.25" thickTop="1" thickBot="1" x14ac:dyDescent="0.3">
      <c r="A27" s="5"/>
      <c r="B27" s="23"/>
      <c r="C27" s="23"/>
      <c r="D27" s="263"/>
      <c r="E27" s="19"/>
      <c r="F27" s="12"/>
      <c r="G27" s="11"/>
      <c r="H27" s="140">
        <f t="shared" si="1"/>
        <v>0</v>
      </c>
      <c r="I27" s="10"/>
      <c r="J27" s="10"/>
      <c r="K27" s="5"/>
    </row>
    <row r="28" spans="1:14" ht="17.25" thickTop="1" thickBot="1" x14ac:dyDescent="0.3">
      <c r="A28" s="5"/>
      <c r="B28" s="23"/>
      <c r="C28" s="23"/>
      <c r="D28" s="263"/>
      <c r="E28" s="19"/>
      <c r="F28" s="12"/>
      <c r="G28" s="11"/>
      <c r="H28" s="140">
        <f t="shared" si="1"/>
        <v>0</v>
      </c>
      <c r="I28" s="10"/>
      <c r="J28" s="10"/>
      <c r="K28" s="5"/>
    </row>
    <row r="29" spans="1:14" ht="17.25" thickTop="1" thickBot="1" x14ac:dyDescent="0.3">
      <c r="A29" s="5"/>
      <c r="B29" s="23"/>
      <c r="C29" s="23"/>
      <c r="D29" s="221"/>
      <c r="E29" s="19"/>
      <c r="F29" s="12"/>
      <c r="G29" s="11"/>
      <c r="H29" s="27">
        <f>+H24+E29-F29</f>
        <v>0</v>
      </c>
      <c r="I29" s="10"/>
      <c r="J29" s="10"/>
      <c r="K29" s="5"/>
    </row>
    <row r="30" spans="1:14" ht="17.25" thickTop="1" thickBot="1" x14ac:dyDescent="0.3">
      <c r="A30" s="5"/>
      <c r="B30" s="268" t="s">
        <v>55</v>
      </c>
      <c r="C30" s="268"/>
      <c r="D30" s="268"/>
      <c r="E30" s="20">
        <f>SUM(E11:E29)</f>
        <v>99410</v>
      </c>
      <c r="F30" s="25">
        <f>SUM(F11:F29)</f>
        <v>99410</v>
      </c>
      <c r="G30" s="5"/>
      <c r="H30" s="5"/>
      <c r="I30" s="5"/>
      <c r="J30" s="5"/>
      <c r="K30" s="5"/>
    </row>
    <row r="31" spans="1:14" ht="16.5" thickBot="1" x14ac:dyDescent="0.3">
      <c r="A31" s="5"/>
      <c r="B31" s="5"/>
      <c r="C31" s="5"/>
      <c r="D31" s="5"/>
      <c r="E31" s="5"/>
      <c r="F31" s="26">
        <f>+E30-F30</f>
        <v>0</v>
      </c>
      <c r="G31" s="5"/>
      <c r="H31" s="5"/>
      <c r="I31" s="5"/>
      <c r="J31" s="5"/>
      <c r="K31" s="5"/>
    </row>
    <row r="32" spans="1:14" x14ac:dyDescent="0.25">
      <c r="A32" s="5"/>
      <c r="B32" s="5"/>
      <c r="C32" s="5"/>
      <c r="D32" s="5"/>
      <c r="E32" s="5"/>
      <c r="F32" s="5"/>
      <c r="G32" s="5"/>
      <c r="H32" s="16"/>
      <c r="I32" s="16"/>
      <c r="J32" s="5"/>
      <c r="K32" s="5"/>
    </row>
    <row r="33" spans="1:11" x14ac:dyDescent="0.25">
      <c r="A33" s="5"/>
      <c r="B33" s="5"/>
      <c r="C33" s="5"/>
      <c r="D33" s="5"/>
      <c r="E33" s="5"/>
      <c r="F33" s="5"/>
      <c r="G33" s="5"/>
      <c r="H33" s="16"/>
      <c r="I33" s="5"/>
      <c r="J33" s="5"/>
      <c r="K33" s="5"/>
    </row>
    <row r="35" spans="1:1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24.75" customHeight="1" x14ac:dyDescent="0.25">
      <c r="A36" s="5"/>
      <c r="B36" s="267" t="s">
        <v>41</v>
      </c>
      <c r="C36" s="267"/>
      <c r="D36" s="267"/>
      <c r="E36" s="267"/>
      <c r="F36" s="267"/>
      <c r="G36" s="267"/>
      <c r="H36" s="267"/>
      <c r="I36" s="267"/>
      <c r="J36" s="267"/>
      <c r="K36" s="5"/>
    </row>
    <row r="37" spans="1:11" ht="24.75" customHeight="1" x14ac:dyDescent="0.25">
      <c r="A37" s="5"/>
      <c r="B37" s="267" t="s">
        <v>170</v>
      </c>
      <c r="C37" s="267"/>
      <c r="D37" s="267"/>
      <c r="E37" s="267"/>
      <c r="F37" s="267"/>
      <c r="G37" s="267"/>
      <c r="H37" s="267"/>
      <c r="I37" s="267"/>
      <c r="J37" s="267"/>
      <c r="K37" s="5"/>
    </row>
    <row r="38" spans="1:11" x14ac:dyDescent="0.25">
      <c r="A38" s="5"/>
      <c r="B38" s="6"/>
      <c r="C38" s="6"/>
      <c r="D38" s="6"/>
      <c r="E38" s="6"/>
      <c r="F38" s="6"/>
      <c r="G38" s="6"/>
      <c r="H38" s="6"/>
      <c r="I38" s="6"/>
      <c r="J38" s="6"/>
      <c r="K38" s="5"/>
    </row>
    <row r="39" spans="1:11" x14ac:dyDescent="0.25">
      <c r="A39" s="5"/>
      <c r="B39" s="7"/>
      <c r="C39" s="8" t="s">
        <v>49</v>
      </c>
      <c r="D39" s="5" t="s">
        <v>106</v>
      </c>
      <c r="E39" s="9"/>
      <c r="F39" s="9"/>
      <c r="G39" s="9"/>
      <c r="H39" s="9"/>
      <c r="I39" s="9"/>
      <c r="J39" s="9"/>
      <c r="K39" s="5"/>
    </row>
    <row r="40" spans="1:11" x14ac:dyDescent="0.25">
      <c r="A40" s="5"/>
      <c r="B40" s="7"/>
      <c r="C40" s="8" t="s">
        <v>97</v>
      </c>
      <c r="D40" s="13" t="s">
        <v>105</v>
      </c>
      <c r="E40" s="9"/>
      <c r="F40" s="9"/>
      <c r="G40" s="9"/>
      <c r="H40" s="9"/>
      <c r="I40" s="9"/>
      <c r="J40" s="9"/>
      <c r="K40" s="5"/>
    </row>
    <row r="41" spans="1:11" x14ac:dyDescent="0.25">
      <c r="A41" s="5"/>
      <c r="B41" s="7"/>
      <c r="C41" s="8" t="s">
        <v>45</v>
      </c>
      <c r="D41" s="13">
        <v>73826859</v>
      </c>
      <c r="E41" s="9"/>
      <c r="F41" s="9"/>
      <c r="G41" s="9"/>
      <c r="H41" s="9"/>
      <c r="I41" s="9"/>
      <c r="J41" s="9"/>
      <c r="K41" s="5"/>
    </row>
    <row r="42" spans="1:11" x14ac:dyDescent="0.25">
      <c r="A42" s="5"/>
      <c r="B42" s="7"/>
      <c r="C42" s="8" t="s">
        <v>48</v>
      </c>
      <c r="D42" s="5" t="s">
        <v>32</v>
      </c>
      <c r="E42" s="9"/>
      <c r="F42" s="9"/>
      <c r="G42" s="9"/>
      <c r="H42" s="9"/>
      <c r="I42" s="9"/>
      <c r="J42" s="9"/>
      <c r="K42" s="5"/>
    </row>
    <row r="43" spans="1:11" x14ac:dyDescent="0.25">
      <c r="A43" s="5"/>
      <c r="B43" s="9"/>
      <c r="C43" s="9"/>
      <c r="D43" s="9"/>
      <c r="E43" s="9"/>
      <c r="F43" s="9"/>
      <c r="G43" s="9"/>
      <c r="H43" s="9"/>
      <c r="I43" s="9"/>
      <c r="J43" s="9"/>
      <c r="K43" s="5"/>
    </row>
    <row r="44" spans="1:11" s="2" customFormat="1" ht="42" customHeight="1" x14ac:dyDescent="0.25">
      <c r="A44" s="6"/>
      <c r="B44" s="3" t="s">
        <v>0</v>
      </c>
      <c r="C44" s="3" t="s">
        <v>38</v>
      </c>
      <c r="D44" s="3" t="s">
        <v>43</v>
      </c>
      <c r="E44" s="3" t="s">
        <v>44</v>
      </c>
      <c r="F44" s="4" t="s">
        <v>36</v>
      </c>
      <c r="G44" s="4" t="s">
        <v>37</v>
      </c>
      <c r="H44" s="3" t="s">
        <v>46</v>
      </c>
      <c r="I44" s="3" t="s">
        <v>3</v>
      </c>
      <c r="J44" s="3" t="s">
        <v>4</v>
      </c>
      <c r="K44" s="6"/>
    </row>
    <row r="45" spans="1:11" x14ac:dyDescent="0.25">
      <c r="A45" s="5"/>
      <c r="B45" s="14">
        <v>250220</v>
      </c>
      <c r="C45" s="14">
        <v>1607</v>
      </c>
      <c r="D45" s="22">
        <v>45699</v>
      </c>
      <c r="E45" s="12">
        <v>2100</v>
      </c>
      <c r="F45" s="12"/>
      <c r="G45" s="96"/>
      <c r="H45" s="12">
        <f>+E45-F45</f>
        <v>2100</v>
      </c>
      <c r="I45" s="10"/>
      <c r="J45" s="21"/>
      <c r="K45" s="5"/>
    </row>
    <row r="46" spans="1:11" ht="16.5" thickBot="1" x14ac:dyDescent="0.3">
      <c r="A46" s="5"/>
      <c r="B46" s="83">
        <v>250321</v>
      </c>
      <c r="C46" s="83">
        <v>1662</v>
      </c>
      <c r="D46" s="84">
        <v>45733</v>
      </c>
      <c r="E46" s="85">
        <v>2100</v>
      </c>
      <c r="F46" s="85">
        <v>4200</v>
      </c>
      <c r="G46" s="115">
        <v>45742</v>
      </c>
      <c r="H46" s="85">
        <f>+H45+E46-F46</f>
        <v>0</v>
      </c>
      <c r="I46" s="87"/>
      <c r="J46" s="120"/>
      <c r="K46" s="5"/>
    </row>
    <row r="47" spans="1:11" ht="16.5" thickTop="1" x14ac:dyDescent="0.25">
      <c r="A47" s="5"/>
      <c r="B47" s="118">
        <v>250808</v>
      </c>
      <c r="C47" s="118">
        <v>1848</v>
      </c>
      <c r="D47" s="117">
        <v>45881</v>
      </c>
      <c r="E47" s="80">
        <v>783</v>
      </c>
      <c r="F47" s="80">
        <v>783</v>
      </c>
      <c r="G47" s="116">
        <v>45897</v>
      </c>
      <c r="H47" s="80">
        <f t="shared" ref="H47:H53" si="2">+H46+E47-F47</f>
        <v>0</v>
      </c>
      <c r="I47" s="82"/>
      <c r="J47" s="119"/>
      <c r="K47" s="5"/>
    </row>
    <row r="48" spans="1:11" x14ac:dyDescent="0.25">
      <c r="A48" s="5"/>
      <c r="B48" s="14">
        <v>250911</v>
      </c>
      <c r="C48" s="14">
        <v>1889</v>
      </c>
      <c r="D48" s="22">
        <v>45912</v>
      </c>
      <c r="E48" s="12">
        <v>6960</v>
      </c>
      <c r="F48" s="12">
        <v>6960</v>
      </c>
      <c r="G48" s="11">
        <v>45926</v>
      </c>
      <c r="H48" s="12">
        <f t="shared" si="2"/>
        <v>0</v>
      </c>
      <c r="I48" s="10"/>
      <c r="J48" s="10"/>
      <c r="K48" s="5"/>
    </row>
    <row r="49" spans="1:12" x14ac:dyDescent="0.25">
      <c r="A49" s="5"/>
      <c r="B49" s="14"/>
      <c r="C49" s="14"/>
      <c r="D49" s="22"/>
      <c r="E49" s="12"/>
      <c r="F49" s="12"/>
      <c r="G49" s="11"/>
      <c r="H49" s="12">
        <f t="shared" si="2"/>
        <v>0</v>
      </c>
      <c r="I49" s="10"/>
      <c r="J49" s="10"/>
      <c r="K49" s="5"/>
    </row>
    <row r="50" spans="1:12" x14ac:dyDescent="0.25">
      <c r="A50" s="5"/>
      <c r="B50" s="14"/>
      <c r="C50" s="14"/>
      <c r="D50" s="22"/>
      <c r="E50" s="12"/>
      <c r="F50" s="12"/>
      <c r="G50" s="11"/>
      <c r="H50" s="12">
        <f t="shared" si="2"/>
        <v>0</v>
      </c>
      <c r="I50" s="10"/>
      <c r="J50" s="10"/>
      <c r="K50" s="5"/>
    </row>
    <row r="51" spans="1:12" x14ac:dyDescent="0.25">
      <c r="A51" s="5"/>
      <c r="B51" s="14"/>
      <c r="C51" s="14"/>
      <c r="D51" s="22"/>
      <c r="E51" s="12"/>
      <c r="F51" s="12"/>
      <c r="G51" s="11"/>
      <c r="H51" s="12">
        <f t="shared" si="2"/>
        <v>0</v>
      </c>
      <c r="I51" s="10"/>
      <c r="J51" s="10"/>
      <c r="K51" s="5"/>
    </row>
    <row r="52" spans="1:12" x14ac:dyDescent="0.25">
      <c r="A52" s="5"/>
      <c r="B52" s="14"/>
      <c r="C52" s="14"/>
      <c r="D52" s="22"/>
      <c r="E52" s="12"/>
      <c r="F52" s="12"/>
      <c r="G52" s="11"/>
      <c r="H52" s="12">
        <f t="shared" si="2"/>
        <v>0</v>
      </c>
      <c r="I52" s="10"/>
      <c r="J52" s="10"/>
      <c r="K52" s="5"/>
    </row>
    <row r="53" spans="1:12" x14ac:dyDescent="0.25">
      <c r="A53" s="5"/>
      <c r="B53" s="14"/>
      <c r="C53" s="14"/>
      <c r="D53" s="22"/>
      <c r="E53" s="12"/>
      <c r="F53" s="12"/>
      <c r="G53" s="11"/>
      <c r="H53" s="12">
        <f t="shared" si="2"/>
        <v>0</v>
      </c>
      <c r="I53" s="10"/>
      <c r="J53" s="10"/>
      <c r="K53" s="5"/>
      <c r="L53" s="49">
        <f>+F50+F51+F52</f>
        <v>0</v>
      </c>
    </row>
    <row r="54" spans="1:12" x14ac:dyDescent="0.25">
      <c r="A54" s="5"/>
      <c r="B54" s="14"/>
      <c r="C54" s="14"/>
      <c r="D54" s="22"/>
      <c r="E54" s="12"/>
      <c r="F54" s="12"/>
      <c r="G54" s="11"/>
      <c r="H54" s="12">
        <f>+H53+E54-F54</f>
        <v>0</v>
      </c>
      <c r="I54" s="10"/>
      <c r="J54" s="10"/>
      <c r="K54" s="5"/>
    </row>
    <row r="55" spans="1:12" x14ac:dyDescent="0.25">
      <c r="A55" s="5"/>
      <c r="B55" s="14"/>
      <c r="C55" s="14"/>
      <c r="D55" s="22"/>
      <c r="E55" s="12"/>
      <c r="F55" s="12"/>
      <c r="G55" s="11"/>
      <c r="H55" s="12">
        <f>+H54+E55-F55</f>
        <v>0</v>
      </c>
      <c r="I55" s="10"/>
      <c r="J55" s="10"/>
      <c r="K55" s="5"/>
    </row>
    <row r="56" spans="1:12" x14ac:dyDescent="0.25">
      <c r="A56" s="5"/>
      <c r="B56" s="14"/>
      <c r="C56" s="14"/>
      <c r="D56" s="22"/>
      <c r="E56" s="12"/>
      <c r="F56" s="12"/>
      <c r="G56" s="11"/>
      <c r="H56" s="12">
        <f>+H55+E56-F56</f>
        <v>0</v>
      </c>
      <c r="I56" s="10"/>
      <c r="J56" s="10"/>
      <c r="K56" s="5"/>
    </row>
    <row r="57" spans="1:12" x14ac:dyDescent="0.25">
      <c r="A57" s="5"/>
      <c r="B57" s="23"/>
      <c r="C57" s="23"/>
      <c r="D57" s="24"/>
      <c r="E57" s="19"/>
      <c r="F57" s="12"/>
      <c r="G57" s="11"/>
      <c r="H57" s="12">
        <f t="shared" ref="H57:H60" si="3">+H56+E57-F57</f>
        <v>0</v>
      </c>
      <c r="I57" s="10"/>
      <c r="J57" s="10"/>
      <c r="K57" s="5"/>
    </row>
    <row r="58" spans="1:12" x14ac:dyDescent="0.25">
      <c r="A58" s="5"/>
      <c r="B58" s="23"/>
      <c r="C58" s="23"/>
      <c r="D58" s="24"/>
      <c r="E58" s="19"/>
      <c r="F58" s="12"/>
      <c r="G58" s="11"/>
      <c r="H58" s="12">
        <f t="shared" si="3"/>
        <v>0</v>
      </c>
      <c r="I58" s="10"/>
      <c r="J58" s="10"/>
      <c r="K58" s="5"/>
    </row>
    <row r="59" spans="1:12" x14ac:dyDescent="0.25">
      <c r="A59" s="5"/>
      <c r="B59" s="23"/>
      <c r="C59" s="23"/>
      <c r="D59" s="24"/>
      <c r="E59" s="19"/>
      <c r="F59" s="12"/>
      <c r="G59" s="11"/>
      <c r="H59" s="12">
        <f t="shared" si="3"/>
        <v>0</v>
      </c>
      <c r="I59" s="10"/>
      <c r="J59" s="10"/>
      <c r="K59" s="5"/>
    </row>
    <row r="60" spans="1:12" ht="16.5" thickBot="1" x14ac:dyDescent="0.3">
      <c r="A60" s="5"/>
      <c r="B60" s="23"/>
      <c r="C60" s="23"/>
      <c r="D60" s="24"/>
      <c r="E60" s="19"/>
      <c r="F60" s="12"/>
      <c r="G60" s="11"/>
      <c r="H60" s="27">
        <f t="shared" si="3"/>
        <v>0</v>
      </c>
      <c r="I60" s="10"/>
      <c r="J60" s="10"/>
      <c r="K60" s="5"/>
    </row>
    <row r="61" spans="1:12" ht="17.25" thickTop="1" thickBot="1" x14ac:dyDescent="0.3">
      <c r="A61" s="5"/>
      <c r="B61" s="268" t="s">
        <v>55</v>
      </c>
      <c r="C61" s="268"/>
      <c r="D61" s="268"/>
      <c r="E61" s="20">
        <f>SUM(E45:E60)</f>
        <v>11943</v>
      </c>
      <c r="F61" s="25">
        <f>SUM(F45:F60)</f>
        <v>11943</v>
      </c>
      <c r="G61" s="5"/>
      <c r="H61" s="5"/>
      <c r="I61" s="5"/>
      <c r="J61" s="5"/>
      <c r="K61" s="5"/>
    </row>
    <row r="62" spans="1:12" ht="16.5" thickBot="1" x14ac:dyDescent="0.3">
      <c r="A62" s="5"/>
      <c r="B62" s="5"/>
      <c r="C62" s="5"/>
      <c r="D62" s="5"/>
      <c r="E62" s="5"/>
      <c r="F62" s="26">
        <f>+E61-F61</f>
        <v>0</v>
      </c>
      <c r="G62" s="5"/>
      <c r="H62" s="5"/>
      <c r="I62" s="5"/>
      <c r="J62" s="5"/>
      <c r="K62" s="5"/>
    </row>
    <row r="63" spans="1:12" x14ac:dyDescent="0.25">
      <c r="A63" s="5"/>
      <c r="B63" s="5"/>
      <c r="C63" s="5"/>
      <c r="D63" s="5"/>
      <c r="E63" s="5"/>
      <c r="F63" s="5"/>
      <c r="G63" s="5"/>
      <c r="H63" s="16"/>
      <c r="I63" s="16"/>
      <c r="J63" s="5"/>
      <c r="K63" s="5"/>
    </row>
  </sheetData>
  <mergeCells count="6">
    <mergeCell ref="B61:D61"/>
    <mergeCell ref="B2:J2"/>
    <mergeCell ref="B3:J3"/>
    <mergeCell ref="B30:D30"/>
    <mergeCell ref="B36:J36"/>
    <mergeCell ref="B37:J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6"/>
  <dimension ref="A1:N72"/>
  <sheetViews>
    <sheetView topLeftCell="A4" zoomScaleNormal="100" workbookViewId="0">
      <selection activeCell="D14" sqref="D14"/>
    </sheetView>
  </sheetViews>
  <sheetFormatPr baseColWidth="10" defaultColWidth="11.42578125" defaultRowHeight="15.75" x14ac:dyDescent="0.25"/>
  <cols>
    <col min="1" max="1" width="3.7109375" style="1" customWidth="1"/>
    <col min="2" max="3" width="11.28515625" style="1" customWidth="1"/>
    <col min="4" max="4" width="13.85546875" style="1" customWidth="1"/>
    <col min="5" max="5" width="15" style="1" customWidth="1"/>
    <col min="6" max="6" width="15.42578125" style="1" customWidth="1"/>
    <col min="7" max="7" width="13.85546875" style="1" customWidth="1"/>
    <col min="8" max="8" width="12.5703125" style="1" customWidth="1"/>
    <col min="9" max="9" width="9.7109375" style="1" customWidth="1"/>
    <col min="10" max="10" width="14.42578125" style="1" customWidth="1"/>
    <col min="11" max="11" width="3.7109375" style="1" customWidth="1"/>
    <col min="12" max="13" width="11.42578125" style="1"/>
    <col min="14" max="14" width="12.42578125" style="1" bestFit="1" customWidth="1"/>
    <col min="15" max="16384" width="11.42578125" style="1"/>
  </cols>
  <sheetData>
    <row r="1" spans="1:14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4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4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4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4" x14ac:dyDescent="0.25">
      <c r="A5" s="5"/>
      <c r="B5" s="7"/>
      <c r="C5" s="8" t="s">
        <v>49</v>
      </c>
      <c r="D5" s="5" t="s">
        <v>19</v>
      </c>
      <c r="E5" s="9"/>
      <c r="F5" s="9"/>
      <c r="G5" s="9"/>
      <c r="H5" s="9"/>
      <c r="I5" s="9"/>
      <c r="J5" s="9"/>
      <c r="K5" s="5"/>
    </row>
    <row r="6" spans="1:14" x14ac:dyDescent="0.25">
      <c r="A6" s="5"/>
      <c r="B6" s="7"/>
      <c r="C6" s="8" t="s">
        <v>45</v>
      </c>
      <c r="D6" s="13">
        <v>68320858</v>
      </c>
      <c r="E6" s="9"/>
      <c r="F6" s="9"/>
      <c r="G6" s="9"/>
      <c r="H6" s="9"/>
      <c r="I6" s="9"/>
      <c r="J6" s="9"/>
      <c r="K6" s="5"/>
    </row>
    <row r="7" spans="1:14" x14ac:dyDescent="0.25">
      <c r="A7" s="5"/>
      <c r="B7" s="7"/>
      <c r="C7" s="8" t="s">
        <v>48</v>
      </c>
      <c r="D7" s="5" t="s">
        <v>18</v>
      </c>
      <c r="E7" s="9"/>
      <c r="F7" s="9"/>
      <c r="G7" s="9"/>
      <c r="H7" s="9"/>
      <c r="I7" s="9"/>
      <c r="J7" s="9"/>
      <c r="K7" s="5"/>
    </row>
    <row r="8" spans="1:14" x14ac:dyDescent="0.25">
      <c r="A8" s="5"/>
      <c r="B8" s="7"/>
      <c r="C8" s="8" t="s">
        <v>47</v>
      </c>
      <c r="D8" s="5" t="s">
        <v>59</v>
      </c>
      <c r="E8" s="9"/>
      <c r="F8" s="9"/>
      <c r="G8" s="9"/>
      <c r="H8" s="9"/>
      <c r="I8" s="9"/>
      <c r="J8" s="9"/>
      <c r="K8" s="5"/>
    </row>
    <row r="9" spans="1:14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4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4" x14ac:dyDescent="0.25">
      <c r="A11" s="5"/>
      <c r="B11" s="279" t="s">
        <v>171</v>
      </c>
      <c r="C11" s="279"/>
      <c r="D11" s="124"/>
      <c r="E11" s="75"/>
      <c r="F11" s="75"/>
      <c r="G11" s="76"/>
      <c r="H11" s="75">
        <v>817.00000000005821</v>
      </c>
      <c r="I11" s="64"/>
      <c r="J11" s="154"/>
      <c r="K11" s="5"/>
    </row>
    <row r="12" spans="1:14" x14ac:dyDescent="0.25">
      <c r="A12" s="5"/>
      <c r="B12" s="123">
        <v>250604</v>
      </c>
      <c r="C12" s="123">
        <v>1778</v>
      </c>
      <c r="D12" s="124">
        <v>45814</v>
      </c>
      <c r="E12" s="75">
        <v>85974</v>
      </c>
      <c r="F12" s="75">
        <v>50000</v>
      </c>
      <c r="G12" s="76">
        <v>45814</v>
      </c>
      <c r="H12" s="75">
        <f>+H11+E12-F12</f>
        <v>36791.000000000058</v>
      </c>
      <c r="I12" s="64"/>
      <c r="J12" s="155"/>
      <c r="K12" s="5" t="s">
        <v>135</v>
      </c>
    </row>
    <row r="13" spans="1:14" ht="16.5" thickBot="1" x14ac:dyDescent="0.3">
      <c r="A13" s="5"/>
      <c r="B13" s="168"/>
      <c r="C13" s="168"/>
      <c r="D13" s="169"/>
      <c r="E13" s="170"/>
      <c r="F13" s="170">
        <v>35974</v>
      </c>
      <c r="G13" s="171">
        <v>45817</v>
      </c>
      <c r="H13" s="170">
        <f t="shared" ref="H13:H24" si="0">+H12+E13-F13</f>
        <v>817.00000000005821</v>
      </c>
      <c r="I13" s="178"/>
      <c r="J13" s="179"/>
      <c r="K13" s="5" t="s">
        <v>135</v>
      </c>
      <c r="M13" s="49">
        <f>SUM(F12:F13)</f>
        <v>85974</v>
      </c>
    </row>
    <row r="14" spans="1:14" ht="16.5" thickTop="1" x14ac:dyDescent="0.25">
      <c r="A14" s="5"/>
      <c r="B14" s="165">
        <v>250817</v>
      </c>
      <c r="C14" s="165">
        <v>1858</v>
      </c>
      <c r="D14" s="166">
        <v>45880</v>
      </c>
      <c r="E14" s="108">
        <v>83884</v>
      </c>
      <c r="F14" s="108">
        <v>60000</v>
      </c>
      <c r="G14" s="167">
        <v>45880</v>
      </c>
      <c r="H14" s="108">
        <f t="shared" si="0"/>
        <v>24701.000000000058</v>
      </c>
      <c r="I14" s="177"/>
      <c r="J14" s="177" t="s">
        <v>179</v>
      </c>
      <c r="K14" s="5"/>
      <c r="N14" s="49"/>
    </row>
    <row r="15" spans="1:14" x14ac:dyDescent="0.25">
      <c r="A15" s="5"/>
      <c r="B15" s="123"/>
      <c r="C15" s="123"/>
      <c r="D15" s="124"/>
      <c r="E15" s="75"/>
      <c r="F15" s="75">
        <v>15000</v>
      </c>
      <c r="G15" s="76">
        <v>45880</v>
      </c>
      <c r="H15" s="75">
        <f t="shared" si="0"/>
        <v>9701.0000000000582</v>
      </c>
      <c r="I15" s="64"/>
      <c r="J15" s="64" t="s">
        <v>224</v>
      </c>
      <c r="K15" s="5" t="s">
        <v>136</v>
      </c>
    </row>
    <row r="16" spans="1:14" x14ac:dyDescent="0.25">
      <c r="A16" s="5"/>
      <c r="B16" s="123"/>
      <c r="C16" s="123"/>
      <c r="D16" s="124"/>
      <c r="E16" s="75"/>
      <c r="F16" s="75">
        <v>9701</v>
      </c>
      <c r="G16" s="76">
        <v>45888</v>
      </c>
      <c r="H16" s="75">
        <f t="shared" si="0"/>
        <v>5.8207660913467407E-11</v>
      </c>
      <c r="I16" s="64"/>
      <c r="J16" s="64" t="s">
        <v>179</v>
      </c>
      <c r="K16" s="5"/>
      <c r="M16" s="49">
        <f>SUM(F14:F16)</f>
        <v>84701</v>
      </c>
    </row>
    <row r="17" spans="1:14" x14ac:dyDescent="0.25">
      <c r="A17" s="5"/>
      <c r="B17" s="123"/>
      <c r="C17" s="123"/>
      <c r="D17" s="124"/>
      <c r="E17" s="75"/>
      <c r="F17" s="75"/>
      <c r="G17" s="76"/>
      <c r="H17" s="75">
        <f t="shared" si="0"/>
        <v>5.8207660913467407E-11</v>
      </c>
      <c r="I17" s="64"/>
      <c r="J17" s="64"/>
      <c r="K17" s="5"/>
    </row>
    <row r="18" spans="1:14" hidden="1" x14ac:dyDescent="0.25">
      <c r="A18" s="5"/>
      <c r="B18" s="123"/>
      <c r="C18" s="123"/>
      <c r="D18" s="124"/>
      <c r="E18" s="75"/>
      <c r="F18" s="75"/>
      <c r="G18" s="76"/>
      <c r="H18" s="162">
        <f t="shared" si="0"/>
        <v>5.8207660913467407E-11</v>
      </c>
      <c r="I18" s="64"/>
      <c r="J18" s="64"/>
      <c r="K18" s="5"/>
    </row>
    <row r="19" spans="1:14" hidden="1" x14ac:dyDescent="0.25">
      <c r="A19" s="5"/>
      <c r="B19" s="123"/>
      <c r="C19" s="123"/>
      <c r="D19" s="124"/>
      <c r="E19" s="75"/>
      <c r="F19" s="75"/>
      <c r="G19" s="76"/>
      <c r="H19" s="75">
        <f t="shared" si="0"/>
        <v>5.8207660913467407E-11</v>
      </c>
      <c r="I19" s="64"/>
      <c r="J19" s="155"/>
      <c r="K19" s="5"/>
    </row>
    <row r="20" spans="1:14" hidden="1" x14ac:dyDescent="0.25">
      <c r="A20" s="5"/>
      <c r="B20" s="123"/>
      <c r="C20" s="123"/>
      <c r="D20" s="124"/>
      <c r="E20" s="75"/>
      <c r="F20" s="75"/>
      <c r="G20" s="76"/>
      <c r="H20" s="75">
        <f t="shared" si="0"/>
        <v>5.8207660913467407E-11</v>
      </c>
      <c r="I20" s="64"/>
      <c r="J20" s="155"/>
      <c r="K20" s="5"/>
    </row>
    <row r="21" spans="1:14" hidden="1" x14ac:dyDescent="0.25">
      <c r="A21" s="5"/>
      <c r="B21" s="123"/>
      <c r="C21" s="123"/>
      <c r="D21" s="124"/>
      <c r="E21" s="75"/>
      <c r="F21" s="75"/>
      <c r="G21" s="76"/>
      <c r="H21" s="75">
        <f t="shared" si="0"/>
        <v>5.8207660913467407E-11</v>
      </c>
      <c r="I21" s="64"/>
      <c r="J21" s="64"/>
      <c r="K21" s="5"/>
      <c r="N21" s="49"/>
    </row>
    <row r="22" spans="1:14" hidden="1" x14ac:dyDescent="0.25">
      <c r="A22" s="5"/>
      <c r="B22" s="123"/>
      <c r="C22" s="123"/>
      <c r="D22" s="124"/>
      <c r="E22" s="75"/>
      <c r="F22" s="75"/>
      <c r="G22" s="76"/>
      <c r="H22" s="75">
        <f t="shared" si="0"/>
        <v>5.8207660913467407E-11</v>
      </c>
      <c r="I22" s="64"/>
      <c r="J22" s="64"/>
      <c r="K22" s="5"/>
    </row>
    <row r="23" spans="1:14" hidden="1" x14ac:dyDescent="0.25">
      <c r="A23" s="5"/>
      <c r="B23" s="123"/>
      <c r="C23" s="123"/>
      <c r="D23" s="124"/>
      <c r="E23" s="75"/>
      <c r="F23" s="75"/>
      <c r="G23" s="76"/>
      <c r="H23" s="75">
        <f t="shared" si="0"/>
        <v>5.8207660913467407E-11</v>
      </c>
      <c r="I23" s="64"/>
      <c r="J23" s="64"/>
      <c r="K23" s="5"/>
    </row>
    <row r="24" spans="1:14" hidden="1" x14ac:dyDescent="0.25">
      <c r="A24" s="5"/>
      <c r="B24" s="123"/>
      <c r="C24" s="123"/>
      <c r="D24" s="124"/>
      <c r="E24" s="75"/>
      <c r="F24" s="75"/>
      <c r="G24" s="76"/>
      <c r="H24" s="75">
        <f t="shared" si="0"/>
        <v>5.8207660913467407E-11</v>
      </c>
      <c r="I24" s="64"/>
      <c r="J24" s="64"/>
      <c r="K24" s="5"/>
    </row>
    <row r="25" spans="1:14" hidden="1" x14ac:dyDescent="0.25">
      <c r="A25" s="5"/>
      <c r="B25" s="123"/>
      <c r="C25" s="123"/>
      <c r="D25" s="124"/>
      <c r="E25" s="75"/>
      <c r="F25" s="75"/>
      <c r="G25" s="76"/>
      <c r="H25" s="162">
        <f t="shared" ref="H25:H60" si="1">+H24+E25-F25</f>
        <v>5.8207660913467407E-11</v>
      </c>
      <c r="I25" s="64"/>
      <c r="J25" s="64"/>
      <c r="K25" s="5"/>
      <c r="N25" s="49"/>
    </row>
    <row r="26" spans="1:14" hidden="1" x14ac:dyDescent="0.25">
      <c r="A26" s="5"/>
      <c r="B26" s="123"/>
      <c r="C26" s="123"/>
      <c r="D26" s="124"/>
      <c r="E26" s="75"/>
      <c r="F26" s="75"/>
      <c r="G26" s="76"/>
      <c r="H26" s="75">
        <f t="shared" si="1"/>
        <v>5.8207660913467407E-11</v>
      </c>
      <c r="I26" s="64"/>
      <c r="J26" s="64"/>
      <c r="K26" s="5"/>
    </row>
    <row r="27" spans="1:14" hidden="1" x14ac:dyDescent="0.25">
      <c r="A27" s="5"/>
      <c r="B27" s="123"/>
      <c r="C27" s="123"/>
      <c r="D27" s="124"/>
      <c r="E27" s="75"/>
      <c r="F27" s="75"/>
      <c r="G27" s="76"/>
      <c r="H27" s="75">
        <f t="shared" si="1"/>
        <v>5.8207660913467407E-11</v>
      </c>
      <c r="I27" s="64"/>
      <c r="J27" s="64"/>
      <c r="K27" s="5"/>
    </row>
    <row r="28" spans="1:14" hidden="1" x14ac:dyDescent="0.25">
      <c r="A28" s="5"/>
      <c r="B28" s="123"/>
      <c r="C28" s="123"/>
      <c r="D28" s="124"/>
      <c r="E28" s="75"/>
      <c r="F28" s="75"/>
      <c r="G28" s="76"/>
      <c r="H28" s="75">
        <f t="shared" si="1"/>
        <v>5.8207660913467407E-11</v>
      </c>
      <c r="I28" s="64"/>
      <c r="J28" s="64"/>
      <c r="K28" s="5"/>
    </row>
    <row r="29" spans="1:14" hidden="1" x14ac:dyDescent="0.25">
      <c r="A29" s="5"/>
      <c r="B29" s="123"/>
      <c r="C29" s="123"/>
      <c r="D29" s="124"/>
      <c r="E29" s="75"/>
      <c r="F29" s="75"/>
      <c r="G29" s="76"/>
      <c r="H29" s="75">
        <f t="shared" si="1"/>
        <v>5.8207660913467407E-11</v>
      </c>
      <c r="I29" s="64"/>
      <c r="J29" s="64"/>
      <c r="K29" s="5"/>
    </row>
    <row r="30" spans="1:14" hidden="1" x14ac:dyDescent="0.25">
      <c r="A30" s="5"/>
      <c r="B30" s="123"/>
      <c r="C30" s="123"/>
      <c r="D30" s="124"/>
      <c r="E30" s="75"/>
      <c r="F30" s="75"/>
      <c r="G30" s="76"/>
      <c r="H30" s="162">
        <f>+H29+E30-F30</f>
        <v>5.8207660913467407E-11</v>
      </c>
      <c r="I30" s="64"/>
      <c r="J30" s="64"/>
      <c r="K30" s="5"/>
    </row>
    <row r="31" spans="1:14" hidden="1" x14ac:dyDescent="0.25">
      <c r="A31" s="5"/>
      <c r="B31" s="123"/>
      <c r="C31" s="123"/>
      <c r="D31" s="124"/>
      <c r="E31" s="75"/>
      <c r="F31" s="75"/>
      <c r="G31" s="76"/>
      <c r="H31" s="75">
        <f t="shared" si="1"/>
        <v>5.8207660913467407E-11</v>
      </c>
      <c r="I31" s="64"/>
      <c r="J31" s="64"/>
      <c r="K31" s="5"/>
    </row>
    <row r="32" spans="1:14" hidden="1" x14ac:dyDescent="0.25">
      <c r="A32" s="5"/>
      <c r="B32" s="123"/>
      <c r="C32" s="123"/>
      <c r="D32" s="124"/>
      <c r="E32" s="75"/>
      <c r="F32" s="75"/>
      <c r="G32" s="76"/>
      <c r="H32" s="75">
        <f t="shared" si="1"/>
        <v>5.8207660913467407E-11</v>
      </c>
      <c r="I32" s="64"/>
      <c r="J32" s="64"/>
      <c r="K32" s="5"/>
    </row>
    <row r="33" spans="1:11" hidden="1" x14ac:dyDescent="0.25">
      <c r="A33" s="5"/>
      <c r="B33" s="123"/>
      <c r="C33" s="123"/>
      <c r="D33" s="124"/>
      <c r="E33" s="75"/>
      <c r="F33" s="75"/>
      <c r="G33" s="76"/>
      <c r="H33" s="162">
        <f t="shared" si="1"/>
        <v>5.8207660913467407E-11</v>
      </c>
      <c r="I33" s="64"/>
      <c r="J33" s="64"/>
      <c r="K33" s="5"/>
    </row>
    <row r="34" spans="1:11" hidden="1" x14ac:dyDescent="0.25">
      <c r="A34" s="5"/>
      <c r="B34" s="123"/>
      <c r="C34" s="123"/>
      <c r="D34" s="124"/>
      <c r="E34" s="75"/>
      <c r="F34" s="75"/>
      <c r="G34" s="76"/>
      <c r="H34" s="75">
        <f t="shared" si="1"/>
        <v>5.8207660913467407E-11</v>
      </c>
      <c r="I34" s="64"/>
      <c r="J34" s="64"/>
      <c r="K34" s="5"/>
    </row>
    <row r="35" spans="1:11" hidden="1" x14ac:dyDescent="0.25">
      <c r="A35" s="5"/>
      <c r="B35" s="123"/>
      <c r="C35" s="123"/>
      <c r="D35" s="124"/>
      <c r="E35" s="75"/>
      <c r="F35" s="75"/>
      <c r="G35" s="76"/>
      <c r="H35" s="75">
        <f t="shared" si="1"/>
        <v>5.8207660913467407E-11</v>
      </c>
      <c r="I35" s="64"/>
      <c r="J35" s="64"/>
      <c r="K35" s="5"/>
    </row>
    <row r="36" spans="1:11" hidden="1" x14ac:dyDescent="0.25">
      <c r="A36" s="5"/>
      <c r="B36" s="123"/>
      <c r="C36" s="123"/>
      <c r="D36" s="124"/>
      <c r="E36" s="75"/>
      <c r="F36" s="75"/>
      <c r="G36" s="76"/>
      <c r="H36" s="75">
        <f t="shared" si="1"/>
        <v>5.8207660913467407E-11</v>
      </c>
      <c r="I36" s="64"/>
      <c r="J36" s="64"/>
      <c r="K36" s="5"/>
    </row>
    <row r="37" spans="1:11" hidden="1" x14ac:dyDescent="0.25">
      <c r="A37" s="5"/>
      <c r="B37" s="123"/>
      <c r="C37" s="123"/>
      <c r="D37" s="124"/>
      <c r="E37" s="75"/>
      <c r="F37" s="75"/>
      <c r="G37" s="76"/>
      <c r="H37" s="75">
        <f t="shared" si="1"/>
        <v>5.8207660913467407E-11</v>
      </c>
      <c r="I37" s="64"/>
      <c r="J37" s="64"/>
      <c r="K37" s="5"/>
    </row>
    <row r="38" spans="1:11" hidden="1" x14ac:dyDescent="0.25">
      <c r="A38" s="5"/>
      <c r="B38" s="123"/>
      <c r="C38" s="123"/>
      <c r="D38" s="124"/>
      <c r="E38" s="75"/>
      <c r="F38" s="75"/>
      <c r="G38" s="76"/>
      <c r="H38" s="75">
        <f t="shared" si="1"/>
        <v>5.8207660913467407E-11</v>
      </c>
      <c r="I38" s="64"/>
      <c r="J38" s="64"/>
      <c r="K38" s="5"/>
    </row>
    <row r="39" spans="1:11" hidden="1" x14ac:dyDescent="0.25">
      <c r="A39" s="5"/>
      <c r="B39" s="123"/>
      <c r="C39" s="123"/>
      <c r="D39" s="124"/>
      <c r="E39" s="75"/>
      <c r="F39" s="75"/>
      <c r="G39" s="76"/>
      <c r="H39" s="75">
        <f t="shared" si="1"/>
        <v>5.8207660913467407E-11</v>
      </c>
      <c r="I39" s="64"/>
      <c r="J39" s="64"/>
      <c r="K39" s="5"/>
    </row>
    <row r="40" spans="1:11" hidden="1" x14ac:dyDescent="0.25">
      <c r="A40" s="5"/>
      <c r="B40" s="123"/>
      <c r="C40" s="123"/>
      <c r="D40" s="124"/>
      <c r="E40" s="75"/>
      <c r="F40" s="75"/>
      <c r="G40" s="76"/>
      <c r="H40" s="75">
        <f t="shared" si="1"/>
        <v>5.8207660913467407E-11</v>
      </c>
      <c r="I40" s="64"/>
      <c r="J40" s="64"/>
      <c r="K40" s="5"/>
    </row>
    <row r="41" spans="1:11" hidden="1" x14ac:dyDescent="0.25">
      <c r="A41" s="5"/>
      <c r="B41" s="123"/>
      <c r="C41" s="123"/>
      <c r="D41" s="124"/>
      <c r="E41" s="75"/>
      <c r="F41" s="75"/>
      <c r="G41" s="76"/>
      <c r="H41" s="75">
        <f t="shared" si="1"/>
        <v>5.8207660913467407E-11</v>
      </c>
      <c r="I41" s="64"/>
      <c r="J41" s="64"/>
      <c r="K41" s="5"/>
    </row>
    <row r="42" spans="1:11" hidden="1" x14ac:dyDescent="0.25">
      <c r="A42" s="5"/>
      <c r="B42" s="123"/>
      <c r="C42" s="123"/>
      <c r="D42" s="124"/>
      <c r="E42" s="75"/>
      <c r="F42" s="75"/>
      <c r="G42" s="76"/>
      <c r="H42" s="75">
        <f t="shared" si="1"/>
        <v>5.8207660913467407E-11</v>
      </c>
      <c r="I42" s="64"/>
      <c r="J42" s="64"/>
      <c r="K42" s="5"/>
    </row>
    <row r="43" spans="1:11" hidden="1" x14ac:dyDescent="0.25">
      <c r="A43" s="5"/>
      <c r="B43" s="123"/>
      <c r="C43" s="123"/>
      <c r="D43" s="124"/>
      <c r="E43" s="75"/>
      <c r="F43" s="75"/>
      <c r="G43" s="76"/>
      <c r="H43" s="75">
        <f t="shared" si="1"/>
        <v>5.8207660913467407E-11</v>
      </c>
      <c r="I43" s="64"/>
      <c r="J43" s="64"/>
      <c r="K43" s="5"/>
    </row>
    <row r="44" spans="1:11" hidden="1" x14ac:dyDescent="0.25">
      <c r="A44" s="5"/>
      <c r="B44" s="123"/>
      <c r="C44" s="123"/>
      <c r="D44" s="124"/>
      <c r="E44" s="75"/>
      <c r="F44" s="75"/>
      <c r="G44" s="76"/>
      <c r="H44" s="75">
        <f t="shared" si="1"/>
        <v>5.8207660913467407E-11</v>
      </c>
      <c r="I44" s="64"/>
      <c r="J44" s="64"/>
      <c r="K44" s="5"/>
    </row>
    <row r="45" spans="1:11" hidden="1" x14ac:dyDescent="0.25">
      <c r="A45" s="5"/>
      <c r="B45" s="123"/>
      <c r="C45" s="123"/>
      <c r="D45" s="124"/>
      <c r="E45" s="75"/>
      <c r="F45" s="75"/>
      <c r="G45" s="76"/>
      <c r="H45" s="75">
        <f t="shared" si="1"/>
        <v>5.8207660913467407E-11</v>
      </c>
      <c r="I45" s="64"/>
      <c r="J45" s="64"/>
      <c r="K45" s="5"/>
    </row>
    <row r="46" spans="1:11" hidden="1" x14ac:dyDescent="0.25">
      <c r="A46" s="5"/>
      <c r="B46" s="123"/>
      <c r="C46" s="123"/>
      <c r="D46" s="124"/>
      <c r="E46" s="75"/>
      <c r="F46" s="75"/>
      <c r="G46" s="76"/>
      <c r="H46" s="75">
        <f t="shared" si="1"/>
        <v>5.8207660913467407E-11</v>
      </c>
      <c r="I46" s="64"/>
      <c r="J46" s="64"/>
      <c r="K46" s="5"/>
    </row>
    <row r="47" spans="1:11" hidden="1" x14ac:dyDescent="0.25">
      <c r="A47" s="5"/>
      <c r="B47" s="123"/>
      <c r="C47" s="123"/>
      <c r="D47" s="124"/>
      <c r="E47" s="75"/>
      <c r="F47" s="75"/>
      <c r="G47" s="76"/>
      <c r="H47" s="75">
        <f t="shared" si="1"/>
        <v>5.8207660913467407E-11</v>
      </c>
      <c r="I47" s="64"/>
      <c r="J47" s="64"/>
      <c r="K47" s="5"/>
    </row>
    <row r="48" spans="1:11" hidden="1" x14ac:dyDescent="0.25">
      <c r="A48" s="5"/>
      <c r="B48" s="123"/>
      <c r="C48" s="123"/>
      <c r="D48" s="124"/>
      <c r="E48" s="75"/>
      <c r="F48" s="75"/>
      <c r="G48" s="76"/>
      <c r="H48" s="75">
        <f t="shared" si="1"/>
        <v>5.8207660913467407E-11</v>
      </c>
      <c r="I48" s="64"/>
      <c r="J48" s="64"/>
      <c r="K48" s="5"/>
    </row>
    <row r="49" spans="1:12" hidden="1" x14ac:dyDescent="0.25">
      <c r="A49" s="5"/>
      <c r="B49" s="123"/>
      <c r="C49" s="123"/>
      <c r="D49" s="124"/>
      <c r="E49" s="75"/>
      <c r="F49" s="75"/>
      <c r="G49" s="76"/>
      <c r="H49" s="75">
        <f t="shared" si="1"/>
        <v>5.8207660913467407E-11</v>
      </c>
      <c r="I49" s="64"/>
      <c r="J49" s="64"/>
      <c r="K49" s="5"/>
    </row>
    <row r="50" spans="1:12" hidden="1" x14ac:dyDescent="0.25">
      <c r="A50" s="5"/>
      <c r="B50" s="123"/>
      <c r="C50" s="123"/>
      <c r="D50" s="124"/>
      <c r="E50" s="75"/>
      <c r="F50" s="75"/>
      <c r="G50" s="76"/>
      <c r="H50" s="75">
        <f t="shared" si="1"/>
        <v>5.8207660913467407E-11</v>
      </c>
      <c r="I50" s="64"/>
      <c r="J50" s="64"/>
      <c r="K50" s="5"/>
    </row>
    <row r="51" spans="1:12" hidden="1" x14ac:dyDescent="0.25">
      <c r="A51" s="5"/>
      <c r="B51" s="123"/>
      <c r="C51" s="123"/>
      <c r="D51" s="124"/>
      <c r="E51" s="75"/>
      <c r="F51" s="75"/>
      <c r="G51" s="76"/>
      <c r="H51" s="75">
        <f t="shared" si="1"/>
        <v>5.8207660913467407E-11</v>
      </c>
      <c r="I51" s="64"/>
      <c r="J51" s="64"/>
      <c r="K51" s="5"/>
    </row>
    <row r="52" spans="1:12" hidden="1" x14ac:dyDescent="0.25">
      <c r="A52" s="5"/>
      <c r="B52" s="123"/>
      <c r="C52" s="123"/>
      <c r="D52" s="124"/>
      <c r="E52" s="75"/>
      <c r="F52" s="75"/>
      <c r="G52" s="76"/>
      <c r="H52" s="75">
        <f t="shared" si="1"/>
        <v>5.8207660913467407E-11</v>
      </c>
      <c r="I52" s="64"/>
      <c r="J52" s="64"/>
      <c r="K52" s="5"/>
    </row>
    <row r="53" spans="1:12" hidden="1" x14ac:dyDescent="0.25">
      <c r="A53" s="5"/>
      <c r="B53" s="123"/>
      <c r="C53" s="123"/>
      <c r="D53" s="124"/>
      <c r="E53" s="75"/>
      <c r="F53" s="75"/>
      <c r="G53" s="76"/>
      <c r="H53" s="75">
        <f t="shared" si="1"/>
        <v>5.8207660913467407E-11</v>
      </c>
      <c r="I53" s="64"/>
      <c r="J53" s="64"/>
      <c r="K53" s="5"/>
    </row>
    <row r="54" spans="1:12" hidden="1" x14ac:dyDescent="0.25">
      <c r="A54" s="5"/>
      <c r="B54" s="123"/>
      <c r="C54" s="123"/>
      <c r="D54" s="124"/>
      <c r="E54" s="75"/>
      <c r="F54" s="75"/>
      <c r="G54" s="76"/>
      <c r="H54" s="75">
        <f t="shared" si="1"/>
        <v>5.8207660913467407E-11</v>
      </c>
      <c r="I54" s="64"/>
      <c r="J54" s="64"/>
      <c r="K54" s="5"/>
    </row>
    <row r="55" spans="1:12" hidden="1" x14ac:dyDescent="0.25">
      <c r="A55" s="5"/>
      <c r="B55" s="123"/>
      <c r="C55" s="123"/>
      <c r="D55" s="124"/>
      <c r="E55" s="75"/>
      <c r="F55" s="75"/>
      <c r="G55" s="76"/>
      <c r="H55" s="75">
        <f t="shared" si="1"/>
        <v>5.8207660913467407E-11</v>
      </c>
      <c r="I55" s="64"/>
      <c r="J55" s="64"/>
      <c r="K55" s="5"/>
    </row>
    <row r="56" spans="1:12" hidden="1" x14ac:dyDescent="0.25">
      <c r="A56" s="5"/>
      <c r="B56" s="123"/>
      <c r="C56" s="123"/>
      <c r="D56" s="124"/>
      <c r="E56" s="75"/>
      <c r="F56" s="75"/>
      <c r="G56" s="76"/>
      <c r="H56" s="75">
        <f t="shared" si="1"/>
        <v>5.8207660913467407E-11</v>
      </c>
      <c r="I56" s="64"/>
      <c r="J56" s="64"/>
      <c r="K56" s="5"/>
      <c r="L56" s="49"/>
    </row>
    <row r="57" spans="1:12" hidden="1" x14ac:dyDescent="0.25">
      <c r="A57" s="5"/>
      <c r="B57" s="123"/>
      <c r="C57" s="123"/>
      <c r="D57" s="124"/>
      <c r="E57" s="75"/>
      <c r="F57" s="75"/>
      <c r="G57" s="76"/>
      <c r="H57" s="75">
        <f t="shared" si="1"/>
        <v>5.8207660913467407E-11</v>
      </c>
      <c r="I57" s="64"/>
      <c r="J57" s="64"/>
      <c r="K57" s="5"/>
      <c r="L57" s="49"/>
    </row>
    <row r="58" spans="1:12" hidden="1" x14ac:dyDescent="0.25">
      <c r="A58" s="5"/>
      <c r="B58" s="123"/>
      <c r="C58" s="123"/>
      <c r="D58" s="124"/>
      <c r="E58" s="75"/>
      <c r="F58" s="75"/>
      <c r="G58" s="76"/>
      <c r="H58" s="75">
        <f t="shared" si="1"/>
        <v>5.8207660913467407E-11</v>
      </c>
      <c r="I58" s="64"/>
      <c r="J58" s="64"/>
      <c r="K58" s="152"/>
    </row>
    <row r="59" spans="1:12" hidden="1" x14ac:dyDescent="0.25">
      <c r="A59" s="5"/>
      <c r="B59" s="123"/>
      <c r="C59" s="123"/>
      <c r="D59" s="124"/>
      <c r="E59" s="75"/>
      <c r="F59" s="75"/>
      <c r="G59" s="76"/>
      <c r="H59" s="75">
        <f t="shared" si="1"/>
        <v>5.8207660913467407E-11</v>
      </c>
      <c r="I59" s="64"/>
      <c r="J59" s="64"/>
      <c r="K59" s="152"/>
    </row>
    <row r="60" spans="1:12" hidden="1" x14ac:dyDescent="0.25">
      <c r="A60" s="5"/>
      <c r="B60" s="123"/>
      <c r="C60" s="123"/>
      <c r="D60" s="124"/>
      <c r="E60" s="75"/>
      <c r="F60" s="75"/>
      <c r="G60" s="76"/>
      <c r="H60" s="75">
        <f t="shared" si="1"/>
        <v>5.8207660913467407E-11</v>
      </c>
      <c r="I60" s="64"/>
      <c r="J60" s="64"/>
      <c r="K60" s="152"/>
      <c r="L60" s="49"/>
    </row>
    <row r="61" spans="1:12" hidden="1" x14ac:dyDescent="0.25">
      <c r="A61" s="5"/>
      <c r="B61" s="123"/>
      <c r="C61" s="123"/>
      <c r="D61" s="124"/>
      <c r="E61" s="75"/>
      <c r="F61" s="75"/>
      <c r="G61" s="76"/>
      <c r="H61" s="75">
        <f t="shared" ref="H61:H68" si="2">+H60+E61-F61</f>
        <v>5.8207660913467407E-11</v>
      </c>
      <c r="I61" s="64"/>
      <c r="J61" s="64"/>
      <c r="K61" s="5"/>
      <c r="L61" s="49"/>
    </row>
    <row r="62" spans="1:12" hidden="1" x14ac:dyDescent="0.25">
      <c r="A62" s="5"/>
      <c r="B62" s="123"/>
      <c r="C62" s="123"/>
      <c r="D62" s="124"/>
      <c r="E62" s="75"/>
      <c r="F62" s="75"/>
      <c r="G62" s="76"/>
      <c r="H62" s="75">
        <f t="shared" si="2"/>
        <v>5.8207660913467407E-11</v>
      </c>
      <c r="I62" s="64"/>
      <c r="J62" s="64"/>
      <c r="K62" s="5"/>
      <c r="L62" s="49"/>
    </row>
    <row r="63" spans="1:12" hidden="1" x14ac:dyDescent="0.25">
      <c r="A63" s="5"/>
      <c r="B63" s="123"/>
      <c r="C63" s="123"/>
      <c r="D63" s="124"/>
      <c r="E63" s="75"/>
      <c r="F63" s="75"/>
      <c r="G63" s="76"/>
      <c r="H63" s="75">
        <f t="shared" si="2"/>
        <v>5.8207660913467407E-11</v>
      </c>
      <c r="I63" s="64"/>
      <c r="J63" s="64"/>
      <c r="K63" s="5"/>
      <c r="L63" s="49"/>
    </row>
    <row r="64" spans="1:12" hidden="1" x14ac:dyDescent="0.25">
      <c r="A64" s="5"/>
      <c r="B64" s="123"/>
      <c r="C64" s="123"/>
      <c r="D64" s="124"/>
      <c r="E64" s="75"/>
      <c r="F64" s="75"/>
      <c r="G64" s="76"/>
      <c r="H64" s="75">
        <f t="shared" si="2"/>
        <v>5.8207660913467407E-11</v>
      </c>
      <c r="I64" s="64"/>
      <c r="J64" s="64"/>
      <c r="K64" s="5"/>
      <c r="L64" s="49"/>
    </row>
    <row r="65" spans="1:13" hidden="1" x14ac:dyDescent="0.25">
      <c r="A65" s="5"/>
      <c r="B65" s="123"/>
      <c r="C65" s="123"/>
      <c r="D65" s="124"/>
      <c r="E65" s="75"/>
      <c r="F65" s="75"/>
      <c r="G65" s="76"/>
      <c r="H65" s="75">
        <f t="shared" si="2"/>
        <v>5.8207660913467407E-11</v>
      </c>
      <c r="I65" s="64"/>
      <c r="J65" s="64"/>
      <c r="K65" s="5"/>
      <c r="L65" s="49"/>
    </row>
    <row r="66" spans="1:13" hidden="1" x14ac:dyDescent="0.25">
      <c r="A66" s="5"/>
      <c r="B66" s="123"/>
      <c r="C66" s="123"/>
      <c r="D66" s="124"/>
      <c r="E66" s="75"/>
      <c r="F66" s="75"/>
      <c r="G66" s="76"/>
      <c r="H66" s="75">
        <f t="shared" si="2"/>
        <v>5.8207660913467407E-11</v>
      </c>
      <c r="I66" s="64"/>
      <c r="J66" s="64"/>
      <c r="K66" s="5"/>
    </row>
    <row r="67" spans="1:13" hidden="1" x14ac:dyDescent="0.25">
      <c r="A67" s="5"/>
      <c r="B67" s="123"/>
      <c r="C67" s="123"/>
      <c r="D67" s="124"/>
      <c r="E67" s="75"/>
      <c r="F67" s="75"/>
      <c r="G67" s="76"/>
      <c r="H67" s="75">
        <f t="shared" si="2"/>
        <v>5.8207660913467407E-11</v>
      </c>
      <c r="I67" s="64"/>
      <c r="J67" s="64"/>
      <c r="K67" s="5"/>
    </row>
    <row r="68" spans="1:13" ht="16.5" thickBot="1" x14ac:dyDescent="0.3">
      <c r="A68" s="5"/>
      <c r="B68" s="23"/>
      <c r="C68" s="106"/>
      <c r="D68" s="112"/>
      <c r="E68" s="107"/>
      <c r="F68" s="75"/>
      <c r="G68" s="76"/>
      <c r="H68" s="27">
        <f t="shared" si="2"/>
        <v>5.8207660913467407E-11</v>
      </c>
      <c r="I68" s="10"/>
      <c r="J68" s="10"/>
      <c r="K68" s="5"/>
      <c r="M68" s="49"/>
    </row>
    <row r="69" spans="1:13" ht="16.5" thickTop="1" x14ac:dyDescent="0.25">
      <c r="A69" s="5"/>
      <c r="B69" s="268" t="s">
        <v>55</v>
      </c>
      <c r="C69" s="268"/>
      <c r="D69" s="268"/>
      <c r="E69" s="20">
        <f>SUM(E11:E68)+H11</f>
        <v>170675.00000000006</v>
      </c>
      <c r="F69" s="25">
        <f>SUM(F11:F68)</f>
        <v>170675</v>
      </c>
      <c r="G69" s="5"/>
      <c r="H69" s="5"/>
      <c r="I69" s="5"/>
      <c r="J69" s="5"/>
      <c r="K69" s="5"/>
    </row>
    <row r="70" spans="1:13" x14ac:dyDescent="0.25">
      <c r="A70" s="5"/>
      <c r="B70" s="276" t="s">
        <v>67</v>
      </c>
      <c r="C70" s="276"/>
      <c r="D70" s="276"/>
      <c r="E70" s="276"/>
      <c r="F70" s="51">
        <f>+E69-F69</f>
        <v>0</v>
      </c>
      <c r="G70" s="5"/>
      <c r="H70" s="5"/>
      <c r="I70" s="5"/>
      <c r="J70" s="5"/>
      <c r="K70" s="5"/>
    </row>
    <row r="71" spans="1:13" ht="16.5" thickBot="1" x14ac:dyDescent="0.3">
      <c r="A71" s="5"/>
      <c r="B71" s="277" t="s">
        <v>71</v>
      </c>
      <c r="C71" s="277"/>
      <c r="D71" s="277"/>
      <c r="E71" s="277"/>
      <c r="F71" s="52">
        <v>0</v>
      </c>
      <c r="G71" s="5"/>
      <c r="H71" s="5"/>
      <c r="I71" s="5"/>
      <c r="J71" s="5"/>
      <c r="K71" s="5"/>
    </row>
    <row r="72" spans="1:13" ht="16.5" thickTop="1" x14ac:dyDescent="0.25">
      <c r="A72" s="5"/>
      <c r="B72" s="275" t="s">
        <v>72</v>
      </c>
      <c r="C72" s="275"/>
      <c r="D72" s="275"/>
      <c r="E72" s="275"/>
      <c r="F72" s="53">
        <f>+F70-F71</f>
        <v>0</v>
      </c>
      <c r="G72" s="5"/>
      <c r="H72" s="5"/>
      <c r="I72" s="5"/>
      <c r="J72" s="5"/>
      <c r="K72" s="5"/>
    </row>
  </sheetData>
  <mergeCells count="7">
    <mergeCell ref="B72:E72"/>
    <mergeCell ref="B2:J2"/>
    <mergeCell ref="B3:J3"/>
    <mergeCell ref="B69:D69"/>
    <mergeCell ref="B70:E70"/>
    <mergeCell ref="B71:E71"/>
    <mergeCell ref="B11:C11"/>
  </mergeCells>
  <pageMargins left="0.39370078740157483" right="0.19685039370078741" top="0.39370078740157483" bottom="0.39370078740157483" header="0.31496062992125984" footer="0.31496062992125984"/>
  <pageSetup scale="84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CD08-8F00-4082-9C0D-2378B9666C2B}">
  <sheetPr codeName="Hoja30"/>
  <dimension ref="A1:M51"/>
  <sheetViews>
    <sheetView topLeftCell="A10" zoomScaleNormal="100" workbookViewId="0">
      <pane xSplit="1" ySplit="1" topLeftCell="B38" activePane="bottomRight" state="frozen"/>
      <selection activeCell="E32" sqref="E32"/>
      <selection pane="topRight" activeCell="E32" sqref="E32"/>
      <selection pane="bottomLeft" activeCell="E32" sqref="E32"/>
      <selection pane="bottomRight" activeCell="E32" sqref="E32"/>
    </sheetView>
  </sheetViews>
  <sheetFormatPr baseColWidth="10" defaultColWidth="11.42578125" defaultRowHeight="15.75" x14ac:dyDescent="0.25"/>
  <cols>
    <col min="1" max="1" width="3.7109375" style="1" customWidth="1"/>
    <col min="2" max="3" width="11.28515625" style="1" customWidth="1"/>
    <col min="4" max="4" width="13.85546875" style="1" customWidth="1"/>
    <col min="5" max="5" width="15" style="1" customWidth="1"/>
    <col min="6" max="6" width="15.42578125" style="1" customWidth="1"/>
    <col min="7" max="7" width="13.85546875" style="1" customWidth="1"/>
    <col min="8" max="8" width="12.5703125" style="1" customWidth="1"/>
    <col min="9" max="9" width="24.5703125" style="1" customWidth="1"/>
    <col min="10" max="10" width="3.7109375" style="1" customWidth="1"/>
    <col min="11" max="12" width="11.42578125" style="1"/>
    <col min="13" max="13" width="12.42578125" style="1" bestFit="1" customWidth="1"/>
    <col min="14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5"/>
    </row>
    <row r="5" spans="1:13" x14ac:dyDescent="0.25">
      <c r="A5" s="5"/>
      <c r="B5" s="7"/>
      <c r="C5" s="8" t="s">
        <v>49</v>
      </c>
      <c r="D5" s="5" t="s">
        <v>325</v>
      </c>
      <c r="E5" s="9"/>
      <c r="F5" s="9"/>
      <c r="G5" s="9"/>
      <c r="H5" s="9"/>
      <c r="I5" s="9"/>
      <c r="J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5"/>
    </row>
    <row r="7" spans="1:13" x14ac:dyDescent="0.25">
      <c r="A7" s="5"/>
      <c r="B7" s="7"/>
      <c r="C7" s="8" t="s">
        <v>48</v>
      </c>
      <c r="D7" s="5" t="s">
        <v>32</v>
      </c>
      <c r="E7" s="9"/>
      <c r="F7" s="9"/>
      <c r="G7" s="9"/>
      <c r="H7" s="9"/>
      <c r="I7" s="9"/>
      <c r="J7" s="5"/>
    </row>
    <row r="8" spans="1:13" x14ac:dyDescent="0.25">
      <c r="A8" s="5"/>
      <c r="B8" s="7"/>
      <c r="C8" s="8" t="s">
        <v>306</v>
      </c>
      <c r="D8" s="5" t="s">
        <v>305</v>
      </c>
      <c r="E8" s="9"/>
      <c r="F8" s="9"/>
      <c r="G8" s="9"/>
      <c r="H8" s="9"/>
      <c r="I8" s="9"/>
      <c r="J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4</v>
      </c>
      <c r="J10" s="6"/>
    </row>
    <row r="11" spans="1:13" x14ac:dyDescent="0.25">
      <c r="A11" s="5"/>
      <c r="B11" s="123">
        <v>251250</v>
      </c>
      <c r="C11" s="123">
        <v>2130</v>
      </c>
      <c r="D11" s="124">
        <v>46007</v>
      </c>
      <c r="E11" s="262">
        <v>2550</v>
      </c>
      <c r="F11" s="262">
        <v>1200</v>
      </c>
      <c r="G11" s="76">
        <v>46013</v>
      </c>
      <c r="H11" s="75">
        <f>+E11-F11</f>
        <v>1350</v>
      </c>
      <c r="I11" s="200" t="s">
        <v>338</v>
      </c>
      <c r="J11" s="5"/>
    </row>
    <row r="12" spans="1:13" x14ac:dyDescent="0.25">
      <c r="A12" s="5"/>
      <c r="B12" s="123">
        <v>251278</v>
      </c>
      <c r="C12" s="123">
        <v>2165</v>
      </c>
      <c r="D12" s="124">
        <v>46011</v>
      </c>
      <c r="E12" s="229">
        <v>2690</v>
      </c>
      <c r="F12" s="262">
        <v>1350</v>
      </c>
      <c r="G12" s="76">
        <v>46015</v>
      </c>
      <c r="H12" s="75">
        <f>+H11+E12-F12</f>
        <v>2690</v>
      </c>
      <c r="I12" s="200" t="s">
        <v>339</v>
      </c>
      <c r="J12" s="5"/>
    </row>
    <row r="13" spans="1:13" x14ac:dyDescent="0.25">
      <c r="A13" s="5"/>
      <c r="B13" s="123"/>
      <c r="C13" s="123"/>
      <c r="D13" s="124"/>
      <c r="E13" s="75"/>
      <c r="F13" s="229">
        <v>2590</v>
      </c>
      <c r="G13" s="76">
        <v>46022</v>
      </c>
      <c r="H13" s="75">
        <f t="shared" ref="H13:H48" si="0">+H12+E13-F13</f>
        <v>100</v>
      </c>
      <c r="I13" s="200" t="s">
        <v>341</v>
      </c>
      <c r="J13" s="5"/>
      <c r="L13" s="49"/>
    </row>
    <row r="14" spans="1:13" ht="16.5" thickBot="1" x14ac:dyDescent="0.3">
      <c r="A14" s="5"/>
      <c r="B14" s="168"/>
      <c r="C14" s="168"/>
      <c r="D14" s="169"/>
      <c r="E14" s="170"/>
      <c r="F14" s="235">
        <v>100</v>
      </c>
      <c r="G14" s="171">
        <v>46022</v>
      </c>
      <c r="H14" s="170">
        <f t="shared" si="0"/>
        <v>0</v>
      </c>
      <c r="I14" s="213" t="s">
        <v>317</v>
      </c>
      <c r="J14" s="5"/>
      <c r="K14" s="49">
        <f>SUM(F11:F14)</f>
        <v>5240</v>
      </c>
      <c r="M14" s="49"/>
    </row>
    <row r="15" spans="1:13" ht="16.5" thickTop="1" x14ac:dyDescent="0.25">
      <c r="A15" s="5"/>
      <c r="B15" s="165">
        <v>260101</v>
      </c>
      <c r="C15" s="165">
        <v>2217</v>
      </c>
      <c r="D15" s="166">
        <v>46025</v>
      </c>
      <c r="E15" s="261">
        <v>870</v>
      </c>
      <c r="F15" s="261">
        <v>870</v>
      </c>
      <c r="G15" s="167">
        <v>46028</v>
      </c>
      <c r="H15" s="108">
        <f t="shared" si="0"/>
        <v>0</v>
      </c>
      <c r="I15" s="200" t="s">
        <v>348</v>
      </c>
      <c r="J15" s="5"/>
    </row>
    <row r="16" spans="1:13" x14ac:dyDescent="0.25">
      <c r="A16" s="5"/>
      <c r="B16" s="123">
        <v>260115</v>
      </c>
      <c r="C16" s="123">
        <v>2231</v>
      </c>
      <c r="D16" s="124">
        <v>46028</v>
      </c>
      <c r="E16" s="72">
        <v>1450</v>
      </c>
      <c r="F16" s="72">
        <v>1450</v>
      </c>
      <c r="G16" s="76">
        <v>46035</v>
      </c>
      <c r="H16" s="75">
        <f t="shared" si="0"/>
        <v>0</v>
      </c>
      <c r="I16" s="200" t="s">
        <v>351</v>
      </c>
      <c r="J16" s="5"/>
      <c r="L16" s="49"/>
    </row>
    <row r="17" spans="1:12" x14ac:dyDescent="0.25">
      <c r="A17" s="5"/>
      <c r="B17" s="123">
        <v>260149</v>
      </c>
      <c r="C17" s="123">
        <v>2267</v>
      </c>
      <c r="D17" s="124">
        <v>46034</v>
      </c>
      <c r="E17" s="224">
        <v>580</v>
      </c>
      <c r="F17" s="224">
        <v>580</v>
      </c>
      <c r="G17" s="76">
        <v>46043</v>
      </c>
      <c r="H17" s="75">
        <f t="shared" si="0"/>
        <v>0</v>
      </c>
      <c r="I17" s="200" t="s">
        <v>358</v>
      </c>
      <c r="J17" s="5"/>
      <c r="L17" s="49"/>
    </row>
    <row r="18" spans="1:12" x14ac:dyDescent="0.25">
      <c r="A18" s="5"/>
      <c r="B18" s="123">
        <v>2601107</v>
      </c>
      <c r="C18" s="123">
        <v>2328</v>
      </c>
      <c r="D18" s="124">
        <v>46042</v>
      </c>
      <c r="E18" s="243">
        <v>1260</v>
      </c>
      <c r="F18" s="243">
        <v>1260</v>
      </c>
      <c r="G18" s="76">
        <v>46049</v>
      </c>
      <c r="H18" s="75">
        <f t="shared" si="0"/>
        <v>0</v>
      </c>
      <c r="I18" s="200" t="s">
        <v>359</v>
      </c>
      <c r="J18" s="5"/>
      <c r="K18" s="49">
        <f>SUM(F15:F18)</f>
        <v>4160</v>
      </c>
      <c r="L18" s="49"/>
    </row>
    <row r="19" spans="1:12" ht="16.5" thickBot="1" x14ac:dyDescent="0.3">
      <c r="A19" s="5"/>
      <c r="B19" s="168">
        <v>2601127</v>
      </c>
      <c r="C19" s="168">
        <v>2350</v>
      </c>
      <c r="D19" s="169">
        <v>46048</v>
      </c>
      <c r="E19" s="260">
        <v>1160</v>
      </c>
      <c r="F19" s="260">
        <v>1160</v>
      </c>
      <c r="G19" s="171">
        <v>46056</v>
      </c>
      <c r="H19" s="170">
        <f t="shared" si="0"/>
        <v>0</v>
      </c>
      <c r="I19" s="200" t="s">
        <v>366</v>
      </c>
      <c r="J19" s="5"/>
      <c r="L19" s="49"/>
    </row>
    <row r="20" spans="1:12" ht="16.5" thickTop="1" x14ac:dyDescent="0.25">
      <c r="A20" s="5"/>
      <c r="B20" s="165">
        <v>260203</v>
      </c>
      <c r="C20" s="165">
        <v>2386</v>
      </c>
      <c r="D20" s="166">
        <v>46055</v>
      </c>
      <c r="E20" s="223">
        <v>1160</v>
      </c>
      <c r="F20" s="223">
        <v>1050</v>
      </c>
      <c r="G20" s="167">
        <v>46064</v>
      </c>
      <c r="H20" s="108">
        <f t="shared" si="0"/>
        <v>110</v>
      </c>
      <c r="I20" s="212" t="s">
        <v>317</v>
      </c>
      <c r="J20" s="5"/>
      <c r="L20" s="49"/>
    </row>
    <row r="21" spans="1:12" x14ac:dyDescent="0.25">
      <c r="A21" s="5"/>
      <c r="B21" s="123"/>
      <c r="C21" s="123"/>
      <c r="D21" s="124"/>
      <c r="E21" s="75"/>
      <c r="F21" s="222">
        <f>192-82</f>
        <v>110</v>
      </c>
      <c r="G21" s="76">
        <v>46064</v>
      </c>
      <c r="H21" s="75">
        <f t="shared" si="0"/>
        <v>0</v>
      </c>
      <c r="I21" s="200" t="s">
        <v>367</v>
      </c>
      <c r="J21" s="5"/>
    </row>
    <row r="22" spans="1:12" x14ac:dyDescent="0.25">
      <c r="A22" s="5"/>
      <c r="B22" s="123">
        <v>260271</v>
      </c>
      <c r="C22" s="123">
        <v>2459</v>
      </c>
      <c r="D22" s="124">
        <v>46071</v>
      </c>
      <c r="E22" s="259">
        <v>540</v>
      </c>
      <c r="F22" s="259">
        <v>540</v>
      </c>
      <c r="G22" s="76">
        <v>46077</v>
      </c>
      <c r="H22" s="75">
        <f t="shared" si="0"/>
        <v>0</v>
      </c>
      <c r="I22" s="200" t="s">
        <v>369</v>
      </c>
      <c r="J22" s="5"/>
      <c r="K22" s="49">
        <f>SUM(F19:F22)</f>
        <v>2860</v>
      </c>
    </row>
    <row r="23" spans="1:12" ht="16.5" thickBot="1" x14ac:dyDescent="0.3">
      <c r="A23" s="5"/>
      <c r="B23" s="168">
        <v>260298</v>
      </c>
      <c r="C23" s="168">
        <v>2489</v>
      </c>
      <c r="D23" s="169">
        <v>46076</v>
      </c>
      <c r="E23" s="235">
        <v>1080</v>
      </c>
      <c r="F23" s="235">
        <v>1080</v>
      </c>
      <c r="G23" s="171">
        <v>46084</v>
      </c>
      <c r="H23" s="170">
        <f t="shared" si="0"/>
        <v>0</v>
      </c>
      <c r="I23" s="200" t="s">
        <v>379</v>
      </c>
      <c r="J23" s="5"/>
    </row>
    <row r="24" spans="1:12" ht="16.5" thickTop="1" x14ac:dyDescent="0.25">
      <c r="A24" s="5"/>
      <c r="B24" s="226">
        <v>260303</v>
      </c>
      <c r="C24" s="226">
        <v>33</v>
      </c>
      <c r="D24" s="227">
        <v>46083</v>
      </c>
      <c r="E24" s="245">
        <v>540</v>
      </c>
      <c r="F24" s="245">
        <v>540</v>
      </c>
      <c r="G24" s="167">
        <v>46092</v>
      </c>
      <c r="H24" s="108">
        <f t="shared" si="0"/>
        <v>0</v>
      </c>
      <c r="I24" s="200" t="s">
        <v>380</v>
      </c>
      <c r="J24" s="5"/>
    </row>
    <row r="25" spans="1:12" x14ac:dyDescent="0.25">
      <c r="A25" s="5"/>
      <c r="B25" s="123">
        <v>260343</v>
      </c>
      <c r="C25" s="123">
        <v>71</v>
      </c>
      <c r="D25" s="124">
        <v>46091</v>
      </c>
      <c r="E25" s="237">
        <v>884</v>
      </c>
      <c r="F25" s="237">
        <v>602</v>
      </c>
      <c r="G25" s="76">
        <v>46099</v>
      </c>
      <c r="H25" s="75">
        <f t="shared" si="0"/>
        <v>282</v>
      </c>
      <c r="I25" s="200" t="s">
        <v>381</v>
      </c>
      <c r="J25" s="5"/>
    </row>
    <row r="26" spans="1:12" x14ac:dyDescent="0.25">
      <c r="A26" s="5"/>
      <c r="B26" s="123">
        <v>2603</v>
      </c>
      <c r="C26" s="123">
        <v>100</v>
      </c>
      <c r="D26" s="124">
        <v>46098</v>
      </c>
      <c r="E26" s="246">
        <v>810</v>
      </c>
      <c r="F26" s="237">
        <v>282</v>
      </c>
      <c r="G26" s="76">
        <v>46099</v>
      </c>
      <c r="H26" s="75">
        <f t="shared" si="0"/>
        <v>810</v>
      </c>
      <c r="I26" s="200" t="s">
        <v>313</v>
      </c>
      <c r="J26" s="5"/>
    </row>
    <row r="27" spans="1:12" x14ac:dyDescent="0.25">
      <c r="A27" s="5"/>
      <c r="B27" s="123">
        <v>2603</v>
      </c>
      <c r="C27" s="123">
        <v>139</v>
      </c>
      <c r="D27" s="124">
        <v>46105</v>
      </c>
      <c r="E27" s="247">
        <v>810</v>
      </c>
      <c r="F27" s="246">
        <v>810</v>
      </c>
      <c r="G27" s="76">
        <v>46106</v>
      </c>
      <c r="H27" s="75">
        <f t="shared" si="0"/>
        <v>810</v>
      </c>
      <c r="I27" s="200" t="s">
        <v>382</v>
      </c>
      <c r="J27" s="5"/>
    </row>
    <row r="28" spans="1:12" x14ac:dyDescent="0.25">
      <c r="A28" s="5"/>
      <c r="B28" s="123">
        <v>2603</v>
      </c>
      <c r="C28" s="123">
        <v>172</v>
      </c>
      <c r="D28" s="124">
        <v>46112</v>
      </c>
      <c r="E28" s="72">
        <v>810</v>
      </c>
      <c r="F28" s="247">
        <v>510</v>
      </c>
      <c r="G28" s="76">
        <v>46112</v>
      </c>
      <c r="H28" s="75">
        <f t="shared" si="0"/>
        <v>1110</v>
      </c>
      <c r="I28" s="200" t="s">
        <v>389</v>
      </c>
      <c r="J28" s="5"/>
    </row>
    <row r="29" spans="1:12" x14ac:dyDescent="0.25">
      <c r="A29" s="5"/>
      <c r="B29" s="106">
        <v>260420</v>
      </c>
      <c r="C29" s="106">
        <v>198</v>
      </c>
      <c r="D29" s="112">
        <v>46119</v>
      </c>
      <c r="E29" s="258">
        <v>540</v>
      </c>
      <c r="F29" s="247">
        <v>300</v>
      </c>
      <c r="G29" s="76">
        <v>46112</v>
      </c>
      <c r="H29" s="75">
        <f t="shared" si="0"/>
        <v>1350</v>
      </c>
      <c r="I29" s="200" t="s">
        <v>313</v>
      </c>
      <c r="J29" s="5"/>
    </row>
    <row r="30" spans="1:12" x14ac:dyDescent="0.25">
      <c r="A30" s="5"/>
      <c r="B30" s="106">
        <v>260451</v>
      </c>
      <c r="C30" s="106">
        <v>228</v>
      </c>
      <c r="D30" s="112">
        <v>46126</v>
      </c>
      <c r="E30" s="256">
        <v>540</v>
      </c>
      <c r="F30" s="72">
        <v>810</v>
      </c>
      <c r="G30" s="76">
        <v>46120</v>
      </c>
      <c r="H30" s="75">
        <f t="shared" si="0"/>
        <v>1080</v>
      </c>
      <c r="I30" s="200" t="s">
        <v>392</v>
      </c>
      <c r="J30" s="5"/>
    </row>
    <row r="31" spans="1:12" x14ac:dyDescent="0.25">
      <c r="A31" s="5"/>
      <c r="B31" s="106">
        <v>260490</v>
      </c>
      <c r="C31" s="106">
        <v>267</v>
      </c>
      <c r="D31" s="112">
        <v>46140</v>
      </c>
      <c r="E31" s="255">
        <v>500</v>
      </c>
      <c r="F31" s="257">
        <v>540</v>
      </c>
      <c r="G31" s="76">
        <v>46128</v>
      </c>
      <c r="H31" s="75">
        <f t="shared" si="0"/>
        <v>1040</v>
      </c>
      <c r="I31" s="200" t="s">
        <v>393</v>
      </c>
      <c r="J31" s="5"/>
    </row>
    <row r="32" spans="1:12" x14ac:dyDescent="0.25">
      <c r="A32" s="5"/>
      <c r="B32" s="106"/>
      <c r="C32" s="106">
        <v>282</v>
      </c>
      <c r="D32" s="112">
        <v>46146</v>
      </c>
      <c r="E32" s="254">
        <v>750</v>
      </c>
      <c r="F32" s="222">
        <v>540</v>
      </c>
      <c r="G32" s="76">
        <v>46135</v>
      </c>
      <c r="H32" s="75">
        <f t="shared" si="0"/>
        <v>1250</v>
      </c>
      <c r="I32" s="200" t="s">
        <v>396</v>
      </c>
      <c r="J32" s="5"/>
    </row>
    <row r="33" spans="1:10" x14ac:dyDescent="0.25">
      <c r="A33" s="5"/>
      <c r="B33" s="106"/>
      <c r="C33" s="106">
        <v>327</v>
      </c>
      <c r="D33" s="112">
        <v>46161</v>
      </c>
      <c r="E33" s="253">
        <v>750</v>
      </c>
      <c r="F33" s="229">
        <v>400</v>
      </c>
      <c r="G33" s="76">
        <v>46161</v>
      </c>
      <c r="H33" s="75">
        <f t="shared" si="0"/>
        <v>1600</v>
      </c>
      <c r="I33" s="200" t="s">
        <v>403</v>
      </c>
      <c r="J33" s="5"/>
    </row>
    <row r="34" spans="1:10" x14ac:dyDescent="0.25">
      <c r="A34" s="5"/>
      <c r="B34" s="106"/>
      <c r="C34" s="106">
        <v>346</v>
      </c>
      <c r="D34" s="112">
        <v>46168</v>
      </c>
      <c r="E34" s="252">
        <v>750</v>
      </c>
      <c r="F34" s="229">
        <v>100</v>
      </c>
      <c r="G34" s="76">
        <v>46161</v>
      </c>
      <c r="H34" s="75">
        <f t="shared" si="0"/>
        <v>2250</v>
      </c>
      <c r="I34" s="200" t="s">
        <v>313</v>
      </c>
      <c r="J34" s="5"/>
    </row>
    <row r="35" spans="1:10" x14ac:dyDescent="0.25">
      <c r="A35" s="5"/>
      <c r="B35" s="106"/>
      <c r="C35" s="106">
        <v>364</v>
      </c>
      <c r="D35" s="112">
        <v>46174</v>
      </c>
      <c r="E35" s="251">
        <v>750</v>
      </c>
      <c r="F35" s="246">
        <v>750</v>
      </c>
      <c r="G35" s="76">
        <v>46168</v>
      </c>
      <c r="H35" s="75">
        <f t="shared" si="0"/>
        <v>2250</v>
      </c>
      <c r="I35" s="200" t="s">
        <v>404</v>
      </c>
      <c r="J35" s="5"/>
    </row>
    <row r="36" spans="1:10" x14ac:dyDescent="0.25">
      <c r="A36" s="5"/>
      <c r="B36" s="106"/>
      <c r="C36" s="106">
        <v>490</v>
      </c>
      <c r="D36" s="112">
        <v>46213</v>
      </c>
      <c r="E36" s="250">
        <v>540</v>
      </c>
      <c r="F36" s="241">
        <v>750</v>
      </c>
      <c r="G36" s="76">
        <v>46174</v>
      </c>
      <c r="H36" s="75">
        <f t="shared" si="0"/>
        <v>2040</v>
      </c>
      <c r="I36" s="200" t="s">
        <v>406</v>
      </c>
      <c r="J36" s="5"/>
    </row>
    <row r="37" spans="1:10" x14ac:dyDescent="0.25">
      <c r="A37" s="5"/>
      <c r="B37" s="106"/>
      <c r="C37" s="106">
        <v>525</v>
      </c>
      <c r="D37" s="112">
        <v>46224</v>
      </c>
      <c r="E37" s="249">
        <v>540</v>
      </c>
      <c r="F37" s="224">
        <v>750</v>
      </c>
      <c r="G37" s="76">
        <v>46181</v>
      </c>
      <c r="H37" s="75">
        <f t="shared" si="0"/>
        <v>1830</v>
      </c>
      <c r="I37" s="200" t="s">
        <v>417</v>
      </c>
      <c r="J37" s="5"/>
    </row>
    <row r="38" spans="1:10" x14ac:dyDescent="0.25">
      <c r="A38" s="5"/>
      <c r="B38" s="106"/>
      <c r="C38" s="106">
        <v>546</v>
      </c>
      <c r="D38" s="112">
        <v>46231</v>
      </c>
      <c r="E38" s="266">
        <v>540</v>
      </c>
      <c r="F38" s="72">
        <v>600</v>
      </c>
      <c r="G38" s="76">
        <v>46189</v>
      </c>
      <c r="H38" s="75">
        <f t="shared" si="0"/>
        <v>1770</v>
      </c>
      <c r="I38" s="200" t="s">
        <v>418</v>
      </c>
      <c r="J38" s="5"/>
    </row>
    <row r="39" spans="1:10" x14ac:dyDescent="0.25">
      <c r="A39" s="5"/>
      <c r="B39" s="106"/>
      <c r="C39" s="106">
        <v>594</v>
      </c>
      <c r="D39" s="112">
        <v>46245</v>
      </c>
      <c r="E39" s="255">
        <v>540</v>
      </c>
      <c r="F39" s="72">
        <v>150</v>
      </c>
      <c r="G39" s="76">
        <v>46189</v>
      </c>
      <c r="H39" s="75">
        <f t="shared" si="0"/>
        <v>2160</v>
      </c>
      <c r="I39" s="200" t="s">
        <v>418</v>
      </c>
      <c r="J39" s="5"/>
    </row>
    <row r="40" spans="1:10" x14ac:dyDescent="0.25">
      <c r="A40" s="5"/>
      <c r="B40" s="106"/>
      <c r="C40" s="106">
        <v>636</v>
      </c>
      <c r="D40" s="112">
        <v>46258</v>
      </c>
      <c r="E40" s="256">
        <v>540</v>
      </c>
      <c r="F40" s="248">
        <v>540</v>
      </c>
      <c r="G40" s="76">
        <v>46224</v>
      </c>
      <c r="H40" s="75">
        <f t="shared" si="0"/>
        <v>2160</v>
      </c>
      <c r="I40" s="200" t="s">
        <v>429</v>
      </c>
      <c r="J40" s="5"/>
    </row>
    <row r="41" spans="1:10" x14ac:dyDescent="0.25">
      <c r="A41" s="5"/>
      <c r="B41" s="106"/>
      <c r="C41" s="106">
        <v>657</v>
      </c>
      <c r="D41" s="112">
        <v>46265</v>
      </c>
      <c r="E41" s="107">
        <v>540</v>
      </c>
      <c r="F41" s="220">
        <v>320</v>
      </c>
      <c r="G41" s="76">
        <v>46232</v>
      </c>
      <c r="H41" s="75">
        <f t="shared" si="0"/>
        <v>2380</v>
      </c>
      <c r="I41" s="200" t="s">
        <v>430</v>
      </c>
      <c r="J41" s="5"/>
    </row>
    <row r="42" spans="1:10" x14ac:dyDescent="0.25">
      <c r="A42" s="5"/>
      <c r="B42" s="106"/>
      <c r="C42" s="106"/>
      <c r="D42" s="112"/>
      <c r="E42" s="107"/>
      <c r="F42" s="220">
        <v>220</v>
      </c>
      <c r="G42" s="76">
        <v>46232</v>
      </c>
      <c r="H42" s="75">
        <f t="shared" si="0"/>
        <v>2160</v>
      </c>
      <c r="I42" s="200" t="s">
        <v>313</v>
      </c>
      <c r="J42" s="5"/>
    </row>
    <row r="43" spans="1:10" x14ac:dyDescent="0.25">
      <c r="A43" s="5"/>
      <c r="B43" s="106"/>
      <c r="C43" s="106"/>
      <c r="D43" s="112"/>
      <c r="E43" s="107"/>
      <c r="F43" s="231">
        <v>540</v>
      </c>
      <c r="G43" s="76">
        <v>46246</v>
      </c>
      <c r="H43" s="75">
        <f t="shared" si="0"/>
        <v>1620</v>
      </c>
      <c r="I43" s="200" t="s">
        <v>432</v>
      </c>
      <c r="J43" s="5"/>
    </row>
    <row r="44" spans="1:10" x14ac:dyDescent="0.25">
      <c r="A44" s="5"/>
      <c r="B44" s="106"/>
      <c r="C44" s="106"/>
      <c r="D44" s="112"/>
      <c r="E44" s="107"/>
      <c r="F44" s="229">
        <v>540</v>
      </c>
      <c r="G44" s="76">
        <v>46260</v>
      </c>
      <c r="H44" s="75">
        <f t="shared" si="0"/>
        <v>1080</v>
      </c>
      <c r="I44" s="200" t="s">
        <v>433</v>
      </c>
      <c r="J44" s="5"/>
    </row>
    <row r="45" spans="1:10" x14ac:dyDescent="0.25">
      <c r="A45" s="5"/>
      <c r="B45" s="106"/>
      <c r="C45" s="106"/>
      <c r="D45" s="112"/>
      <c r="E45" s="107"/>
      <c r="F45" s="222">
        <v>200</v>
      </c>
      <c r="G45" s="76">
        <v>46266</v>
      </c>
      <c r="H45" s="75">
        <f t="shared" si="0"/>
        <v>880</v>
      </c>
      <c r="I45" s="200" t="s">
        <v>436</v>
      </c>
      <c r="J45" s="5"/>
    </row>
    <row r="46" spans="1:10" x14ac:dyDescent="0.25">
      <c r="A46" s="5"/>
      <c r="B46" s="106"/>
      <c r="C46" s="106"/>
      <c r="D46" s="112"/>
      <c r="E46" s="107"/>
      <c r="F46" s="222">
        <v>340</v>
      </c>
      <c r="G46" s="76">
        <v>46266</v>
      </c>
      <c r="H46" s="75">
        <f t="shared" si="0"/>
        <v>540</v>
      </c>
      <c r="I46" s="200" t="s">
        <v>313</v>
      </c>
      <c r="J46" s="5"/>
    </row>
    <row r="47" spans="1:10" x14ac:dyDescent="0.25">
      <c r="A47" s="5"/>
      <c r="B47" s="106"/>
      <c r="C47" s="106"/>
      <c r="D47" s="112"/>
      <c r="E47" s="107"/>
      <c r="F47" s="75"/>
      <c r="G47" s="76"/>
      <c r="H47" s="75">
        <f t="shared" si="0"/>
        <v>540</v>
      </c>
      <c r="I47" s="200"/>
      <c r="J47" s="5"/>
    </row>
    <row r="48" spans="1:10" x14ac:dyDescent="0.25">
      <c r="A48" s="5"/>
      <c r="B48" s="106"/>
      <c r="C48" s="106"/>
      <c r="D48" s="112"/>
      <c r="E48" s="107"/>
      <c r="F48" s="75"/>
      <c r="G48" s="76"/>
      <c r="H48" s="75">
        <f t="shared" si="0"/>
        <v>540</v>
      </c>
      <c r="I48" s="200"/>
      <c r="J48" s="5"/>
    </row>
    <row r="49" spans="1:12" ht="16.5" thickBot="1" x14ac:dyDescent="0.3">
      <c r="A49" s="5"/>
      <c r="B49" s="23"/>
      <c r="C49" s="106"/>
      <c r="D49" s="112"/>
      <c r="E49" s="107"/>
      <c r="F49" s="75"/>
      <c r="G49" s="76"/>
      <c r="H49" s="51">
        <f>+E50-F50</f>
        <v>540</v>
      </c>
      <c r="I49" s="199"/>
      <c r="J49" s="5"/>
      <c r="L49" s="49"/>
    </row>
    <row r="50" spans="1:12" ht="16.5" thickTop="1" x14ac:dyDescent="0.25">
      <c r="A50" s="5"/>
      <c r="B50" s="268" t="s">
        <v>55</v>
      </c>
      <c r="C50" s="268"/>
      <c r="D50" s="268"/>
      <c r="E50" s="20">
        <f>SUM(E11:E49)</f>
        <v>25014</v>
      </c>
      <c r="F50" s="25">
        <f>SUM(F11:F49)</f>
        <v>24474</v>
      </c>
      <c r="G50" s="5"/>
      <c r="H50" s="5"/>
      <c r="I50" s="5"/>
      <c r="J50" s="5"/>
    </row>
    <row r="51" spans="1:12" x14ac:dyDescent="0.25">
      <c r="A51" s="5"/>
      <c r="B51" s="276" t="s">
        <v>67</v>
      </c>
      <c r="C51" s="276"/>
      <c r="D51" s="276"/>
      <c r="E51" s="276"/>
      <c r="F51" s="51">
        <f>+E50-F50</f>
        <v>540</v>
      </c>
      <c r="G51" s="5"/>
      <c r="H51" s="5"/>
      <c r="I51" s="5"/>
      <c r="J51" s="5"/>
    </row>
  </sheetData>
  <mergeCells count="4">
    <mergeCell ref="B2:I2"/>
    <mergeCell ref="B3:I3"/>
    <mergeCell ref="B50:D50"/>
    <mergeCell ref="B51:E51"/>
  </mergeCells>
  <pageMargins left="0.39370078740157483" right="0.19685039370078741" top="0.39370078740157483" bottom="0.39370078740157483" header="0.31496062992125984" footer="0.31496062992125984"/>
  <pageSetup scale="84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0F8D-9422-4A9F-B6EC-8ABD7D05269D}">
  <sheetPr codeName="Hoja31"/>
  <dimension ref="A1:M25"/>
  <sheetViews>
    <sheetView topLeftCell="A4" zoomScaleNormal="100" workbookViewId="0">
      <selection activeCell="E32" sqref="E32"/>
    </sheetView>
  </sheetViews>
  <sheetFormatPr baseColWidth="10" defaultColWidth="11.42578125" defaultRowHeight="15.75" x14ac:dyDescent="0.25"/>
  <cols>
    <col min="1" max="1" width="3.7109375" style="1" customWidth="1"/>
    <col min="2" max="3" width="11.28515625" style="1" customWidth="1"/>
    <col min="4" max="4" width="13.85546875" style="1" customWidth="1"/>
    <col min="5" max="5" width="15" style="1" customWidth="1"/>
    <col min="6" max="6" width="15.42578125" style="1" customWidth="1"/>
    <col min="7" max="7" width="13.85546875" style="1" customWidth="1"/>
    <col min="8" max="8" width="12.5703125" style="1" customWidth="1"/>
    <col min="9" max="9" width="24.5703125" style="1" customWidth="1"/>
    <col min="10" max="10" width="3.7109375" style="1" customWidth="1"/>
    <col min="11" max="12" width="11.42578125" style="1"/>
    <col min="13" max="13" width="12.42578125" style="1" bestFit="1" customWidth="1"/>
    <col min="14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5"/>
    </row>
    <row r="5" spans="1:13" x14ac:dyDescent="0.25">
      <c r="A5" s="5"/>
      <c r="B5" s="7"/>
      <c r="C5" s="8" t="s">
        <v>49</v>
      </c>
      <c r="D5" s="5" t="s">
        <v>352</v>
      </c>
      <c r="E5" s="9"/>
      <c r="F5" s="9"/>
      <c r="G5" s="9"/>
      <c r="H5" s="9"/>
      <c r="I5" s="9"/>
      <c r="J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5"/>
    </row>
    <row r="7" spans="1:13" x14ac:dyDescent="0.25">
      <c r="A7" s="5"/>
      <c r="B7" s="7"/>
      <c r="C7" s="8" t="s">
        <v>48</v>
      </c>
      <c r="D7" s="5" t="s">
        <v>32</v>
      </c>
      <c r="E7" s="9"/>
      <c r="F7" s="9"/>
      <c r="G7" s="9"/>
      <c r="H7" s="9"/>
      <c r="I7" s="9"/>
      <c r="J7" s="5"/>
    </row>
    <row r="8" spans="1:13" x14ac:dyDescent="0.25">
      <c r="A8" s="5"/>
      <c r="B8" s="7"/>
      <c r="C8" s="8" t="s">
        <v>306</v>
      </c>
      <c r="D8" s="5" t="s">
        <v>353</v>
      </c>
      <c r="E8" s="9"/>
      <c r="F8" s="9"/>
      <c r="G8" s="9"/>
      <c r="H8" s="9"/>
      <c r="I8" s="9"/>
      <c r="J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4</v>
      </c>
      <c r="J10" s="6"/>
    </row>
    <row r="11" spans="1:13" x14ac:dyDescent="0.25">
      <c r="A11" s="5"/>
      <c r="B11" s="123">
        <v>260172</v>
      </c>
      <c r="C11" s="123">
        <v>2294</v>
      </c>
      <c r="D11" s="124">
        <v>46036</v>
      </c>
      <c r="E11" s="75">
        <v>1650</v>
      </c>
      <c r="F11" s="75">
        <v>1650</v>
      </c>
      <c r="G11" s="76">
        <v>46048</v>
      </c>
      <c r="H11" s="75">
        <f>+E11-F11</f>
        <v>0</v>
      </c>
      <c r="I11" s="200" t="s">
        <v>360</v>
      </c>
      <c r="J11" s="5"/>
      <c r="K11" s="49"/>
    </row>
    <row r="12" spans="1:13" x14ac:dyDescent="0.25">
      <c r="A12" s="5"/>
      <c r="B12" s="123">
        <v>260216</v>
      </c>
      <c r="C12" s="123">
        <v>2404</v>
      </c>
      <c r="D12" s="124">
        <v>46057</v>
      </c>
      <c r="E12" s="75">
        <v>1650</v>
      </c>
      <c r="F12" s="75">
        <v>1650</v>
      </c>
      <c r="G12" s="76">
        <v>46065</v>
      </c>
      <c r="H12" s="75">
        <f>+H11+E12-F12</f>
        <v>0</v>
      </c>
      <c r="I12" s="200" t="s">
        <v>368</v>
      </c>
      <c r="J12" s="5"/>
      <c r="K12" s="49">
        <f>SUM(F12)</f>
        <v>1650</v>
      </c>
    </row>
    <row r="13" spans="1:13" x14ac:dyDescent="0.25">
      <c r="A13" s="5"/>
      <c r="B13" s="123">
        <v>2603127</v>
      </c>
      <c r="C13" s="123">
        <v>163</v>
      </c>
      <c r="D13" s="124">
        <v>46111</v>
      </c>
      <c r="E13" s="75">
        <v>4600</v>
      </c>
      <c r="F13" s="75">
        <v>4600</v>
      </c>
      <c r="G13" s="76">
        <v>46126</v>
      </c>
      <c r="H13" s="75">
        <f t="shared" ref="H13:H23" si="0">+H12+E13-F13</f>
        <v>0</v>
      </c>
      <c r="I13" s="200" t="s">
        <v>395</v>
      </c>
      <c r="J13" s="5"/>
      <c r="L13" s="49"/>
    </row>
    <row r="14" spans="1:13" x14ac:dyDescent="0.25">
      <c r="A14" s="5"/>
      <c r="B14" s="123">
        <v>260480</v>
      </c>
      <c r="C14" s="123">
        <v>256</v>
      </c>
      <c r="D14" s="124">
        <v>46134</v>
      </c>
      <c r="E14" s="75">
        <v>3100</v>
      </c>
      <c r="F14" s="75">
        <v>3100</v>
      </c>
      <c r="G14" s="76">
        <v>46142</v>
      </c>
      <c r="H14" s="75">
        <f t="shared" si="0"/>
        <v>0</v>
      </c>
      <c r="I14" s="200" t="s">
        <v>397</v>
      </c>
      <c r="J14" s="5"/>
      <c r="M14" s="49"/>
    </row>
    <row r="15" spans="1:13" x14ac:dyDescent="0.25">
      <c r="A15" s="5"/>
      <c r="B15" s="123"/>
      <c r="C15" s="123">
        <v>302</v>
      </c>
      <c r="D15" s="124">
        <v>46155</v>
      </c>
      <c r="E15" s="75">
        <v>6400</v>
      </c>
      <c r="F15" s="75">
        <v>6400</v>
      </c>
      <c r="G15" s="76">
        <v>46170</v>
      </c>
      <c r="H15" s="75">
        <f t="shared" si="0"/>
        <v>0</v>
      </c>
      <c r="I15" s="200" t="s">
        <v>405</v>
      </c>
      <c r="J15" s="5"/>
    </row>
    <row r="16" spans="1:13" x14ac:dyDescent="0.25">
      <c r="A16" s="5"/>
      <c r="B16" s="123"/>
      <c r="C16" s="123"/>
      <c r="D16" s="124"/>
      <c r="E16" s="75"/>
      <c r="F16" s="75"/>
      <c r="G16" s="76"/>
      <c r="H16" s="75">
        <f t="shared" si="0"/>
        <v>0</v>
      </c>
      <c r="I16" s="200"/>
      <c r="J16" s="5"/>
      <c r="L16" s="49"/>
    </row>
    <row r="17" spans="1:12" x14ac:dyDescent="0.25">
      <c r="A17" s="5"/>
      <c r="B17" s="123"/>
      <c r="C17" s="123"/>
      <c r="D17" s="124"/>
      <c r="E17" s="75"/>
      <c r="F17" s="75"/>
      <c r="G17" s="76"/>
      <c r="H17" s="75">
        <f t="shared" si="0"/>
        <v>0</v>
      </c>
      <c r="I17" s="198"/>
      <c r="J17" s="5"/>
      <c r="L17" s="49"/>
    </row>
    <row r="18" spans="1:12" x14ac:dyDescent="0.25">
      <c r="A18" s="5"/>
      <c r="B18" s="123"/>
      <c r="C18" s="123"/>
      <c r="D18" s="124"/>
      <c r="E18" s="75"/>
      <c r="F18" s="75"/>
      <c r="G18" s="76"/>
      <c r="H18" s="75">
        <f t="shared" si="0"/>
        <v>0</v>
      </c>
      <c r="I18" s="198"/>
      <c r="J18" s="5"/>
      <c r="L18" s="49"/>
    </row>
    <row r="19" spans="1:12" x14ac:dyDescent="0.25">
      <c r="A19" s="5"/>
      <c r="B19" s="123"/>
      <c r="C19" s="123"/>
      <c r="D19" s="124"/>
      <c r="E19" s="75"/>
      <c r="F19" s="75"/>
      <c r="G19" s="76"/>
      <c r="H19" s="75">
        <f t="shared" si="0"/>
        <v>0</v>
      </c>
      <c r="I19" s="198"/>
      <c r="J19" s="5"/>
      <c r="L19" s="49"/>
    </row>
    <row r="20" spans="1:12" x14ac:dyDescent="0.25">
      <c r="A20" s="5"/>
      <c r="B20" s="123"/>
      <c r="C20" s="123"/>
      <c r="D20" s="124"/>
      <c r="E20" s="75"/>
      <c r="F20" s="75"/>
      <c r="G20" s="76"/>
      <c r="H20" s="75">
        <f t="shared" si="0"/>
        <v>0</v>
      </c>
      <c r="I20" s="198"/>
      <c r="J20" s="5"/>
      <c r="L20" s="49"/>
    </row>
    <row r="21" spans="1:12" x14ac:dyDescent="0.25">
      <c r="A21" s="5"/>
      <c r="B21" s="123"/>
      <c r="C21" s="123"/>
      <c r="D21" s="124"/>
      <c r="E21" s="75"/>
      <c r="F21" s="75"/>
      <c r="G21" s="76"/>
      <c r="H21" s="75">
        <f t="shared" si="0"/>
        <v>0</v>
      </c>
      <c r="I21" s="198"/>
      <c r="J21" s="5"/>
    </row>
    <row r="22" spans="1:12" x14ac:dyDescent="0.25">
      <c r="A22" s="5"/>
      <c r="B22" s="123"/>
      <c r="C22" s="123"/>
      <c r="D22" s="124"/>
      <c r="E22" s="75"/>
      <c r="F22" s="75"/>
      <c r="G22" s="76"/>
      <c r="H22" s="75">
        <f t="shared" si="0"/>
        <v>0</v>
      </c>
      <c r="I22" s="198"/>
      <c r="J22" s="5"/>
    </row>
    <row r="23" spans="1:12" ht="16.5" thickBot="1" x14ac:dyDescent="0.3">
      <c r="A23" s="5"/>
      <c r="B23" s="23"/>
      <c r="C23" s="106"/>
      <c r="D23" s="112"/>
      <c r="E23" s="107"/>
      <c r="F23" s="75"/>
      <c r="G23" s="76"/>
      <c r="H23" s="27">
        <f t="shared" si="0"/>
        <v>0</v>
      </c>
      <c r="I23" s="199"/>
      <c r="J23" s="5"/>
      <c r="L23" s="49"/>
    </row>
    <row r="24" spans="1:12" ht="16.5" thickTop="1" x14ac:dyDescent="0.25">
      <c r="A24" s="5"/>
      <c r="B24" s="268" t="s">
        <v>55</v>
      </c>
      <c r="C24" s="268"/>
      <c r="D24" s="268"/>
      <c r="E24" s="20">
        <f>SUM(E11:E23)</f>
        <v>17400</v>
      </c>
      <c r="F24" s="25">
        <f>SUM(F11:F23)</f>
        <v>17400</v>
      </c>
      <c r="G24" s="5"/>
      <c r="H24" s="5"/>
      <c r="I24" s="5"/>
      <c r="J24" s="5"/>
    </row>
    <row r="25" spans="1:12" x14ac:dyDescent="0.25">
      <c r="A25" s="5"/>
      <c r="B25" s="276" t="s">
        <v>67</v>
      </c>
      <c r="C25" s="276"/>
      <c r="D25" s="276"/>
      <c r="E25" s="276"/>
      <c r="F25" s="51">
        <f>+E24-F24</f>
        <v>0</v>
      </c>
      <c r="G25" s="5"/>
      <c r="H25" s="5"/>
      <c r="I25" s="5"/>
      <c r="J25" s="5"/>
    </row>
  </sheetData>
  <mergeCells count="4">
    <mergeCell ref="B2:I2"/>
    <mergeCell ref="B3:I3"/>
    <mergeCell ref="B24:D24"/>
    <mergeCell ref="B25:E25"/>
  </mergeCells>
  <pageMargins left="0.39370078740157483" right="0.19685039370078741" top="0.39370078740157483" bottom="0.39370078740157483" header="0.31496062992125984" footer="0.31496062992125984"/>
  <pageSetup scale="84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7CF4-D9E3-4F88-B115-3B48BA412955}">
  <sheetPr codeName="Hoja32"/>
  <dimension ref="A1:M62"/>
  <sheetViews>
    <sheetView topLeftCell="B40" zoomScaleNormal="100" workbookViewId="0">
      <selection activeCell="E32" sqref="E32"/>
    </sheetView>
  </sheetViews>
  <sheetFormatPr baseColWidth="10" defaultColWidth="11.42578125" defaultRowHeight="15.75" x14ac:dyDescent="0.25"/>
  <cols>
    <col min="1" max="1" width="3.7109375" style="1" customWidth="1"/>
    <col min="2" max="3" width="11.28515625" style="1" customWidth="1"/>
    <col min="4" max="4" width="13.85546875" style="1" customWidth="1"/>
    <col min="5" max="5" width="15" style="1" customWidth="1"/>
    <col min="6" max="6" width="15.42578125" style="1" customWidth="1"/>
    <col min="7" max="7" width="13.85546875" style="1" customWidth="1"/>
    <col min="8" max="8" width="12.5703125" style="1" customWidth="1"/>
    <col min="9" max="9" width="33" style="1" bestFit="1" customWidth="1"/>
    <col min="10" max="10" width="3.7109375" style="1" customWidth="1"/>
    <col min="11" max="12" width="11.42578125" style="1"/>
    <col min="13" max="13" width="12.42578125" style="1" bestFit="1" customWidth="1"/>
    <col min="14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5"/>
    </row>
    <row r="5" spans="1:13" x14ac:dyDescent="0.25">
      <c r="A5" s="5"/>
      <c r="B5" s="7"/>
      <c r="C5" s="8" t="s">
        <v>49</v>
      </c>
      <c r="D5" s="5" t="s">
        <v>307</v>
      </c>
      <c r="E5" s="9"/>
      <c r="F5" s="9"/>
      <c r="G5" s="9"/>
      <c r="H5" s="9"/>
      <c r="I5" s="9"/>
      <c r="J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5"/>
    </row>
    <row r="7" spans="1:13" x14ac:dyDescent="0.25">
      <c r="A7" s="5"/>
      <c r="B7" s="7"/>
      <c r="C7" s="8" t="s">
        <v>48</v>
      </c>
      <c r="D7" s="5" t="s">
        <v>32</v>
      </c>
      <c r="E7" s="9"/>
      <c r="F7" s="9"/>
      <c r="G7" s="9"/>
      <c r="H7" s="9"/>
      <c r="I7" s="9"/>
      <c r="J7" s="5"/>
    </row>
    <row r="8" spans="1:13" x14ac:dyDescent="0.25">
      <c r="A8" s="5"/>
      <c r="B8" s="7"/>
      <c r="C8" s="8" t="s">
        <v>306</v>
      </c>
      <c r="D8" s="5" t="s">
        <v>343</v>
      </c>
      <c r="E8" s="9"/>
      <c r="F8" s="9"/>
      <c r="G8" s="9"/>
      <c r="H8" s="9"/>
      <c r="I8" s="9"/>
      <c r="J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4</v>
      </c>
      <c r="J10" s="6"/>
    </row>
    <row r="11" spans="1:13" x14ac:dyDescent="0.25">
      <c r="A11" s="5"/>
      <c r="B11" s="123">
        <v>251031</v>
      </c>
      <c r="C11" s="123">
        <v>1970</v>
      </c>
      <c r="D11" s="124">
        <v>45952</v>
      </c>
      <c r="E11" s="75">
        <v>7480</v>
      </c>
      <c r="F11" s="75">
        <v>7480</v>
      </c>
      <c r="G11" s="76">
        <v>45985</v>
      </c>
      <c r="H11" s="75">
        <f>+E11-F11</f>
        <v>0</v>
      </c>
      <c r="I11" s="200" t="s">
        <v>357</v>
      </c>
      <c r="J11" s="5"/>
    </row>
    <row r="12" spans="1:13" x14ac:dyDescent="0.25">
      <c r="A12" s="5"/>
      <c r="B12" s="123">
        <v>251103</v>
      </c>
      <c r="C12" s="123">
        <v>2000</v>
      </c>
      <c r="D12" s="124">
        <v>45968</v>
      </c>
      <c r="E12" s="75">
        <v>1555</v>
      </c>
      <c r="F12" s="75">
        <v>1555</v>
      </c>
      <c r="G12" s="76">
        <v>46006</v>
      </c>
      <c r="H12" s="75">
        <f>+H11+E12-F12</f>
        <v>0</v>
      </c>
      <c r="I12" s="197"/>
      <c r="J12" s="5"/>
    </row>
    <row r="13" spans="1:13" x14ac:dyDescent="0.25">
      <c r="A13" s="5"/>
      <c r="B13" s="123">
        <v>251111</v>
      </c>
      <c r="C13" s="123">
        <v>2024</v>
      </c>
      <c r="D13" s="124">
        <v>45979</v>
      </c>
      <c r="E13" s="75">
        <v>2060</v>
      </c>
      <c r="F13" s="75">
        <v>2060</v>
      </c>
      <c r="G13" s="76">
        <v>46013</v>
      </c>
      <c r="H13" s="75">
        <f t="shared" ref="H13:H59" si="0">+H12+E13-F13</f>
        <v>0</v>
      </c>
      <c r="I13" s="197"/>
      <c r="J13" s="5"/>
    </row>
    <row r="14" spans="1:13" ht="16.5" thickBot="1" x14ac:dyDescent="0.3">
      <c r="A14" s="5"/>
      <c r="B14" s="168">
        <v>251119</v>
      </c>
      <c r="C14" s="168">
        <v>2044</v>
      </c>
      <c r="D14" s="169">
        <v>45985</v>
      </c>
      <c r="E14" s="170">
        <v>1300</v>
      </c>
      <c r="F14" s="170">
        <v>1300</v>
      </c>
      <c r="G14" s="171">
        <v>46020</v>
      </c>
      <c r="H14" s="170">
        <f t="shared" si="0"/>
        <v>0</v>
      </c>
      <c r="I14" s="213"/>
      <c r="J14" s="5"/>
      <c r="L14" s="49">
        <f>SUM(F12:F14)</f>
        <v>4915</v>
      </c>
      <c r="M14" s="49"/>
    </row>
    <row r="15" spans="1:13" ht="16.5" thickTop="1" x14ac:dyDescent="0.25">
      <c r="A15" s="5"/>
      <c r="B15" s="165">
        <v>251201</v>
      </c>
      <c r="C15" s="165">
        <v>2067</v>
      </c>
      <c r="D15" s="166">
        <v>45992</v>
      </c>
      <c r="E15" s="108">
        <v>0</v>
      </c>
      <c r="F15" s="108"/>
      <c r="G15" s="167"/>
      <c r="H15" s="108">
        <f t="shared" si="0"/>
        <v>0</v>
      </c>
      <c r="I15" s="212"/>
      <c r="J15" s="5"/>
    </row>
    <row r="16" spans="1:13" x14ac:dyDescent="0.25">
      <c r="A16" s="5"/>
      <c r="B16" s="123">
        <v>251202</v>
      </c>
      <c r="C16" s="123">
        <v>2067</v>
      </c>
      <c r="D16" s="124">
        <v>45992</v>
      </c>
      <c r="E16" s="108">
        <v>4355</v>
      </c>
      <c r="F16" s="75">
        <v>4355</v>
      </c>
      <c r="G16" s="76">
        <v>46027</v>
      </c>
      <c r="H16" s="75">
        <f t="shared" si="0"/>
        <v>0</v>
      </c>
      <c r="I16" s="198" t="s">
        <v>357</v>
      </c>
      <c r="J16" s="5"/>
      <c r="L16" s="49"/>
    </row>
    <row r="17" spans="1:12" x14ac:dyDescent="0.25">
      <c r="A17" s="5"/>
      <c r="B17" s="123">
        <v>251217</v>
      </c>
      <c r="C17" s="123">
        <v>2084</v>
      </c>
      <c r="D17" s="124">
        <v>45996</v>
      </c>
      <c r="E17" s="75">
        <v>2910</v>
      </c>
      <c r="F17" s="75"/>
      <c r="G17" s="76"/>
      <c r="H17" s="75">
        <f t="shared" si="0"/>
        <v>2910</v>
      </c>
      <c r="I17" s="198"/>
      <c r="J17" s="5"/>
      <c r="L17" s="49"/>
    </row>
    <row r="18" spans="1:12" x14ac:dyDescent="0.25">
      <c r="A18" s="5"/>
      <c r="B18" s="123">
        <v>251224</v>
      </c>
      <c r="C18" s="123">
        <v>2099</v>
      </c>
      <c r="D18" s="124">
        <v>46000</v>
      </c>
      <c r="E18" s="75">
        <v>2600</v>
      </c>
      <c r="F18" s="75">
        <v>5510</v>
      </c>
      <c r="G18" s="76">
        <v>46034</v>
      </c>
      <c r="H18" s="75">
        <f t="shared" si="0"/>
        <v>0</v>
      </c>
      <c r="I18" s="198" t="s">
        <v>357</v>
      </c>
      <c r="J18" s="5"/>
      <c r="L18" s="49"/>
    </row>
    <row r="19" spans="1:12" x14ac:dyDescent="0.25">
      <c r="A19" s="5"/>
      <c r="B19" s="123">
        <v>251244</v>
      </c>
      <c r="C19" s="123">
        <v>2123</v>
      </c>
      <c r="D19" s="124">
        <v>46006</v>
      </c>
      <c r="E19" s="75">
        <v>3370</v>
      </c>
      <c r="F19" s="75">
        <v>3370</v>
      </c>
      <c r="G19" s="76">
        <v>46041</v>
      </c>
      <c r="H19" s="75">
        <f t="shared" si="0"/>
        <v>0</v>
      </c>
      <c r="I19" s="198" t="s">
        <v>357</v>
      </c>
      <c r="J19" s="5"/>
      <c r="L19" s="49"/>
    </row>
    <row r="20" spans="1:12" x14ac:dyDescent="0.25">
      <c r="A20" s="5"/>
      <c r="B20" s="123">
        <v>251261</v>
      </c>
      <c r="C20" s="123">
        <v>2143</v>
      </c>
      <c r="D20" s="124">
        <v>46009</v>
      </c>
      <c r="E20" s="75">
        <v>4020</v>
      </c>
      <c r="F20" s="75"/>
      <c r="G20" s="76"/>
      <c r="H20" s="75">
        <f t="shared" si="0"/>
        <v>4020</v>
      </c>
      <c r="I20" s="198"/>
      <c r="J20" s="5"/>
      <c r="L20" s="49"/>
    </row>
    <row r="21" spans="1:12" x14ac:dyDescent="0.25">
      <c r="A21" s="5"/>
      <c r="B21" s="123">
        <v>251285</v>
      </c>
      <c r="C21" s="123">
        <v>2173</v>
      </c>
      <c r="D21" s="124">
        <v>46013</v>
      </c>
      <c r="E21" s="75">
        <v>2898</v>
      </c>
      <c r="F21" s="75">
        <v>6918</v>
      </c>
      <c r="G21" s="76">
        <v>46048</v>
      </c>
      <c r="H21" s="75">
        <f t="shared" si="0"/>
        <v>0</v>
      </c>
      <c r="I21" s="198" t="s">
        <v>357</v>
      </c>
      <c r="J21" s="5"/>
      <c r="L21" s="49">
        <f>SUM(F15:F21)</f>
        <v>20153</v>
      </c>
    </row>
    <row r="22" spans="1:12" ht="16.5" thickBot="1" x14ac:dyDescent="0.3">
      <c r="A22" s="5"/>
      <c r="B22" s="168">
        <v>2512105</v>
      </c>
      <c r="C22" s="168">
        <v>2198</v>
      </c>
      <c r="D22" s="169">
        <v>46020</v>
      </c>
      <c r="E22" s="170">
        <v>3330</v>
      </c>
      <c r="F22" s="170">
        <v>3330</v>
      </c>
      <c r="G22" s="171">
        <v>46055</v>
      </c>
      <c r="H22" s="170">
        <f t="shared" si="0"/>
        <v>0</v>
      </c>
      <c r="I22" s="213"/>
      <c r="J22" s="5"/>
    </row>
    <row r="23" spans="1:12" ht="16.5" thickTop="1" x14ac:dyDescent="0.25">
      <c r="A23" s="5"/>
      <c r="B23" s="165">
        <v>260106</v>
      </c>
      <c r="C23" s="165">
        <v>2221</v>
      </c>
      <c r="D23" s="166">
        <v>46027</v>
      </c>
      <c r="E23" s="108">
        <v>5600</v>
      </c>
      <c r="F23" s="108">
        <v>5600</v>
      </c>
      <c r="G23" s="167">
        <v>46062</v>
      </c>
      <c r="H23" s="108">
        <f t="shared" si="0"/>
        <v>0</v>
      </c>
      <c r="I23" s="212"/>
      <c r="J23" s="5"/>
    </row>
    <row r="24" spans="1:12" x14ac:dyDescent="0.25">
      <c r="A24" s="5"/>
      <c r="B24" s="123">
        <v>260162</v>
      </c>
      <c r="C24" s="123">
        <v>2282</v>
      </c>
      <c r="D24" s="124">
        <v>46035</v>
      </c>
      <c r="E24" s="75">
        <v>5285</v>
      </c>
      <c r="F24" s="75">
        <v>5285</v>
      </c>
      <c r="G24" s="76">
        <v>46071</v>
      </c>
      <c r="H24" s="75">
        <f t="shared" si="0"/>
        <v>0</v>
      </c>
      <c r="I24" s="198"/>
      <c r="J24" s="5"/>
    </row>
    <row r="25" spans="1:12" x14ac:dyDescent="0.25">
      <c r="A25" s="5"/>
      <c r="B25" s="123">
        <v>260181</v>
      </c>
      <c r="C25" s="123">
        <v>2304</v>
      </c>
      <c r="D25" s="124">
        <v>46038</v>
      </c>
      <c r="E25" s="75">
        <v>6160</v>
      </c>
      <c r="F25" s="75">
        <v>6160</v>
      </c>
      <c r="G25" s="76">
        <v>46076</v>
      </c>
      <c r="H25" s="75">
        <f t="shared" si="0"/>
        <v>0</v>
      </c>
      <c r="I25" s="198"/>
      <c r="J25" s="5"/>
      <c r="L25" s="49">
        <f>SUM(F22:F26)</f>
        <v>23553</v>
      </c>
    </row>
    <row r="26" spans="1:12" ht="16.5" thickBot="1" x14ac:dyDescent="0.3">
      <c r="A26" s="5"/>
      <c r="B26" s="168">
        <v>2601135</v>
      </c>
      <c r="C26" s="168">
        <v>2355</v>
      </c>
      <c r="D26" s="169">
        <v>46049</v>
      </c>
      <c r="E26" s="232">
        <v>3178</v>
      </c>
      <c r="F26" s="232">
        <v>3178</v>
      </c>
      <c r="G26" s="171">
        <v>46083</v>
      </c>
      <c r="H26" s="170">
        <f t="shared" si="0"/>
        <v>0</v>
      </c>
      <c r="I26" s="213" t="s">
        <v>384</v>
      </c>
      <c r="J26" s="5"/>
    </row>
    <row r="27" spans="1:12" ht="16.5" thickTop="1" x14ac:dyDescent="0.25">
      <c r="A27" s="5"/>
      <c r="B27" s="165">
        <v>260204</v>
      </c>
      <c r="C27" s="165">
        <v>2387</v>
      </c>
      <c r="D27" s="166">
        <v>46055</v>
      </c>
      <c r="E27" s="228">
        <v>3447</v>
      </c>
      <c r="F27" s="108"/>
      <c r="G27" s="167"/>
      <c r="H27" s="108">
        <f t="shared" si="0"/>
        <v>3447</v>
      </c>
      <c r="I27" s="198"/>
      <c r="J27" s="5"/>
    </row>
    <row r="28" spans="1:12" x14ac:dyDescent="0.25">
      <c r="A28" s="5"/>
      <c r="B28" s="123">
        <v>260231</v>
      </c>
      <c r="C28" s="123">
        <v>2419</v>
      </c>
      <c r="D28" s="124">
        <v>46060</v>
      </c>
      <c r="E28" s="229">
        <v>1612</v>
      </c>
      <c r="F28" s="228">
        <v>5059</v>
      </c>
      <c r="G28" s="167">
        <v>46090</v>
      </c>
      <c r="H28" s="108">
        <f t="shared" si="0"/>
        <v>0</v>
      </c>
      <c r="I28" s="198" t="s">
        <v>385</v>
      </c>
      <c r="J28" s="5"/>
    </row>
    <row r="29" spans="1:12" x14ac:dyDescent="0.25">
      <c r="A29" s="5"/>
      <c r="B29" s="123">
        <v>260277</v>
      </c>
      <c r="C29" s="123">
        <v>2465</v>
      </c>
      <c r="D29" s="124">
        <v>46072</v>
      </c>
      <c r="E29" s="231">
        <v>1952</v>
      </c>
      <c r="F29" s="231">
        <v>1952</v>
      </c>
      <c r="G29" s="76">
        <v>46104</v>
      </c>
      <c r="H29" s="108">
        <f t="shared" si="0"/>
        <v>0</v>
      </c>
      <c r="I29" s="198" t="s">
        <v>386</v>
      </c>
      <c r="J29" s="5"/>
    </row>
    <row r="30" spans="1:12" ht="16.5" thickBot="1" x14ac:dyDescent="0.3">
      <c r="A30" s="5"/>
      <c r="B30" s="168">
        <v>2602105</v>
      </c>
      <c r="C30" s="168">
        <v>2499</v>
      </c>
      <c r="D30" s="169">
        <v>46077</v>
      </c>
      <c r="E30" s="235">
        <v>3424</v>
      </c>
      <c r="F30" s="235">
        <v>3424</v>
      </c>
      <c r="G30" s="171">
        <v>46111</v>
      </c>
      <c r="H30" s="170">
        <f t="shared" si="0"/>
        <v>0</v>
      </c>
      <c r="I30" s="230" t="s">
        <v>391</v>
      </c>
      <c r="J30" s="5"/>
    </row>
    <row r="31" spans="1:12" ht="16.5" thickTop="1" x14ac:dyDescent="0.25">
      <c r="A31" s="5"/>
      <c r="B31" s="165">
        <v>260304</v>
      </c>
      <c r="C31" s="165">
        <v>34</v>
      </c>
      <c r="D31" s="166">
        <v>46083</v>
      </c>
      <c r="E31" s="223">
        <v>3763</v>
      </c>
      <c r="F31" s="223">
        <v>3763</v>
      </c>
      <c r="G31" s="167">
        <v>46118</v>
      </c>
      <c r="H31" s="108">
        <f t="shared" si="0"/>
        <v>0</v>
      </c>
      <c r="I31" s="64" t="s">
        <v>398</v>
      </c>
      <c r="J31" s="5"/>
    </row>
    <row r="32" spans="1:12" x14ac:dyDescent="0.25">
      <c r="A32" s="5"/>
      <c r="B32" s="123">
        <v>260326</v>
      </c>
      <c r="C32" s="123">
        <v>55</v>
      </c>
      <c r="D32" s="124">
        <v>46088</v>
      </c>
      <c r="E32" s="231">
        <v>6328</v>
      </c>
      <c r="F32" s="231">
        <v>6328</v>
      </c>
      <c r="G32" s="76">
        <v>46125</v>
      </c>
      <c r="H32" s="108">
        <f t="shared" si="0"/>
        <v>0</v>
      </c>
      <c r="I32" s="64" t="s">
        <v>399</v>
      </c>
      <c r="J32" s="5"/>
    </row>
    <row r="33" spans="1:10" x14ac:dyDescent="0.25">
      <c r="A33" s="5"/>
      <c r="B33" s="123">
        <v>260352</v>
      </c>
      <c r="C33" s="123">
        <v>82</v>
      </c>
      <c r="D33" s="124">
        <v>46093</v>
      </c>
      <c r="E33" s="238">
        <v>5546</v>
      </c>
      <c r="F33" s="238">
        <v>5546</v>
      </c>
      <c r="G33" s="76">
        <v>46132</v>
      </c>
      <c r="H33" s="108">
        <f t="shared" si="0"/>
        <v>0</v>
      </c>
      <c r="I33" s="198" t="s">
        <v>400</v>
      </c>
      <c r="J33" s="5"/>
    </row>
    <row r="34" spans="1:10" x14ac:dyDescent="0.25">
      <c r="A34" s="5"/>
      <c r="B34" s="123">
        <v>260387</v>
      </c>
      <c r="C34" s="123">
        <v>117</v>
      </c>
      <c r="D34" s="124">
        <v>46100</v>
      </c>
      <c r="E34" s="239">
        <v>1990</v>
      </c>
      <c r="F34" s="239">
        <v>1990</v>
      </c>
      <c r="G34" s="76">
        <v>46139</v>
      </c>
      <c r="H34" s="108">
        <f t="shared" si="0"/>
        <v>0</v>
      </c>
      <c r="I34" s="198" t="s">
        <v>401</v>
      </c>
      <c r="J34" s="5"/>
    </row>
    <row r="35" spans="1:10" x14ac:dyDescent="0.25">
      <c r="A35" s="5"/>
      <c r="B35" s="123">
        <v>260403</v>
      </c>
      <c r="C35" s="123">
        <v>181</v>
      </c>
      <c r="D35" s="124">
        <v>46113</v>
      </c>
      <c r="E35" s="231">
        <v>8678</v>
      </c>
      <c r="F35" s="231">
        <v>8678</v>
      </c>
      <c r="G35" s="76">
        <v>46146</v>
      </c>
      <c r="H35" s="108">
        <f t="shared" si="0"/>
        <v>0</v>
      </c>
      <c r="I35" s="198" t="s">
        <v>409</v>
      </c>
      <c r="J35" s="5"/>
    </row>
    <row r="36" spans="1:10" x14ac:dyDescent="0.25">
      <c r="A36" s="5"/>
      <c r="B36" s="123">
        <v>260419</v>
      </c>
      <c r="C36" s="123">
        <v>197</v>
      </c>
      <c r="D36" s="124">
        <v>46119</v>
      </c>
      <c r="E36" s="229">
        <v>2178</v>
      </c>
      <c r="F36" s="229">
        <v>2178</v>
      </c>
      <c r="G36" s="76">
        <v>46153</v>
      </c>
      <c r="H36" s="108">
        <f t="shared" si="0"/>
        <v>0</v>
      </c>
      <c r="I36" s="198" t="s">
        <v>410</v>
      </c>
      <c r="J36" s="5"/>
    </row>
    <row r="37" spans="1:10" x14ac:dyDescent="0.25">
      <c r="A37" s="5"/>
      <c r="B37" s="123">
        <v>260450</v>
      </c>
      <c r="C37" s="123">
        <v>227</v>
      </c>
      <c r="D37" s="124">
        <v>46126</v>
      </c>
      <c r="E37" s="237">
        <v>3800</v>
      </c>
      <c r="F37" s="237">
        <v>3800</v>
      </c>
      <c r="G37" s="76">
        <v>46160</v>
      </c>
      <c r="H37" s="108">
        <f t="shared" si="0"/>
        <v>0</v>
      </c>
      <c r="I37" s="198" t="s">
        <v>411</v>
      </c>
      <c r="J37" s="5"/>
    </row>
    <row r="38" spans="1:10" x14ac:dyDescent="0.25">
      <c r="A38" s="5"/>
      <c r="B38" s="123">
        <v>260477</v>
      </c>
      <c r="C38" s="123">
        <v>253</v>
      </c>
      <c r="D38" s="124">
        <v>46133</v>
      </c>
      <c r="E38" s="240">
        <v>6540</v>
      </c>
      <c r="F38" s="240">
        <v>6540</v>
      </c>
      <c r="G38" s="76">
        <v>46168</v>
      </c>
      <c r="H38" s="108">
        <f t="shared" si="0"/>
        <v>0</v>
      </c>
      <c r="I38" s="198" t="s">
        <v>412</v>
      </c>
      <c r="J38" s="5"/>
    </row>
    <row r="39" spans="1:10" x14ac:dyDescent="0.25">
      <c r="A39" s="5"/>
      <c r="B39" s="123">
        <v>260493</v>
      </c>
      <c r="C39" s="123">
        <v>269</v>
      </c>
      <c r="D39" s="124">
        <v>46140</v>
      </c>
      <c r="E39" s="241">
        <v>2200</v>
      </c>
      <c r="F39" s="241">
        <v>2200</v>
      </c>
      <c r="G39" s="76">
        <v>46174</v>
      </c>
      <c r="H39" s="108">
        <f t="shared" si="0"/>
        <v>0</v>
      </c>
      <c r="I39" s="198" t="s">
        <v>413</v>
      </c>
      <c r="J39" s="5"/>
    </row>
    <row r="40" spans="1:10" x14ac:dyDescent="0.25">
      <c r="A40" s="5"/>
      <c r="B40" s="123"/>
      <c r="C40" s="123">
        <v>286</v>
      </c>
      <c r="D40" s="124">
        <v>46148</v>
      </c>
      <c r="E40" s="242">
        <v>3256</v>
      </c>
      <c r="F40" s="242">
        <v>3256</v>
      </c>
      <c r="G40" s="76">
        <v>46181</v>
      </c>
      <c r="H40" s="108">
        <f t="shared" si="0"/>
        <v>0</v>
      </c>
      <c r="I40" s="198" t="s">
        <v>421</v>
      </c>
      <c r="J40" s="5"/>
    </row>
    <row r="41" spans="1:10" x14ac:dyDescent="0.25">
      <c r="A41" s="5"/>
      <c r="B41" s="123"/>
      <c r="C41" s="123">
        <v>316</v>
      </c>
      <c r="D41" s="124">
        <v>46158</v>
      </c>
      <c r="E41" s="231">
        <v>9198</v>
      </c>
      <c r="F41" s="231">
        <v>9198</v>
      </c>
      <c r="G41" s="76">
        <v>46196</v>
      </c>
      <c r="H41" s="108">
        <f t="shared" si="0"/>
        <v>0</v>
      </c>
      <c r="I41" s="198" t="s">
        <v>422</v>
      </c>
      <c r="J41" s="5"/>
    </row>
    <row r="42" spans="1:10" x14ac:dyDescent="0.25">
      <c r="A42" s="5"/>
      <c r="B42" s="123"/>
      <c r="C42" s="123">
        <v>350</v>
      </c>
      <c r="D42" s="124">
        <v>46169</v>
      </c>
      <c r="E42" s="239">
        <v>4490</v>
      </c>
      <c r="F42" s="239">
        <v>4490</v>
      </c>
      <c r="G42" s="76">
        <v>46202</v>
      </c>
      <c r="H42" s="108">
        <f t="shared" si="0"/>
        <v>0</v>
      </c>
      <c r="I42" s="198" t="s">
        <v>423</v>
      </c>
      <c r="J42" s="5"/>
    </row>
    <row r="43" spans="1:10" x14ac:dyDescent="0.25">
      <c r="A43" s="5"/>
      <c r="B43" s="123"/>
      <c r="C43" s="123">
        <v>366</v>
      </c>
      <c r="D43" s="124">
        <v>46175</v>
      </c>
      <c r="E43" s="244">
        <v>9894</v>
      </c>
      <c r="F43" s="244">
        <v>9894</v>
      </c>
      <c r="G43" s="76">
        <v>46209</v>
      </c>
      <c r="H43" s="108">
        <f t="shared" si="0"/>
        <v>0</v>
      </c>
      <c r="I43" s="198" t="s">
        <v>424</v>
      </c>
      <c r="J43" s="5"/>
    </row>
    <row r="44" spans="1:10" x14ac:dyDescent="0.25">
      <c r="A44" s="5"/>
      <c r="B44" s="123"/>
      <c r="C44" s="123">
        <v>396</v>
      </c>
      <c r="D44" s="124">
        <v>46183</v>
      </c>
      <c r="E44" s="72">
        <v>5936</v>
      </c>
      <c r="F44" s="72">
        <v>5936</v>
      </c>
      <c r="G44" s="76">
        <v>46216</v>
      </c>
      <c r="H44" s="108">
        <f t="shared" si="0"/>
        <v>0</v>
      </c>
      <c r="I44" s="198" t="s">
        <v>425</v>
      </c>
      <c r="J44" s="5"/>
    </row>
    <row r="45" spans="1:10" x14ac:dyDescent="0.25">
      <c r="A45" s="5"/>
      <c r="B45" s="123"/>
      <c r="C45" s="123">
        <v>429</v>
      </c>
      <c r="D45" s="124">
        <v>46192</v>
      </c>
      <c r="E45" s="229">
        <v>2264</v>
      </c>
      <c r="F45" s="229">
        <v>2264</v>
      </c>
      <c r="G45" s="76">
        <v>46230</v>
      </c>
      <c r="H45" s="108">
        <f t="shared" si="0"/>
        <v>0</v>
      </c>
      <c r="I45" s="198" t="s">
        <v>427</v>
      </c>
      <c r="J45" s="5"/>
    </row>
    <row r="46" spans="1:10" x14ac:dyDescent="0.25">
      <c r="A46" s="5"/>
      <c r="B46" s="123"/>
      <c r="C46" s="123">
        <v>497</v>
      </c>
      <c r="D46" s="124">
        <v>46216</v>
      </c>
      <c r="E46" s="231">
        <v>2316</v>
      </c>
      <c r="F46" s="231">
        <v>2316</v>
      </c>
      <c r="G46" s="76">
        <v>46251</v>
      </c>
      <c r="H46" s="108">
        <f t="shared" si="0"/>
        <v>0</v>
      </c>
      <c r="I46" s="198" t="s">
        <v>437</v>
      </c>
      <c r="J46" s="5"/>
    </row>
    <row r="47" spans="1:10" x14ac:dyDescent="0.25">
      <c r="A47" s="5"/>
      <c r="B47" s="123"/>
      <c r="C47" s="123">
        <v>526</v>
      </c>
      <c r="D47" s="124">
        <v>46224</v>
      </c>
      <c r="E47" s="229">
        <v>1612</v>
      </c>
      <c r="F47" s="229">
        <v>1612</v>
      </c>
      <c r="G47" s="76">
        <v>46258</v>
      </c>
      <c r="H47" s="108">
        <f t="shared" si="0"/>
        <v>0</v>
      </c>
      <c r="I47" s="198" t="s">
        <v>438</v>
      </c>
      <c r="J47" s="5"/>
    </row>
    <row r="48" spans="1:10" x14ac:dyDescent="0.25">
      <c r="A48" s="5"/>
      <c r="B48" s="123"/>
      <c r="C48" s="123">
        <v>551</v>
      </c>
      <c r="D48" s="124">
        <v>46232</v>
      </c>
      <c r="E48" s="220">
        <v>870</v>
      </c>
      <c r="F48" s="220">
        <v>870</v>
      </c>
      <c r="G48" s="76">
        <v>46265</v>
      </c>
      <c r="H48" s="108">
        <f t="shared" si="0"/>
        <v>0</v>
      </c>
      <c r="I48" s="198" t="s">
        <v>434</v>
      </c>
      <c r="J48" s="5"/>
    </row>
    <row r="49" spans="1:12" x14ac:dyDescent="0.25">
      <c r="A49" s="5"/>
      <c r="B49" s="123"/>
      <c r="C49" s="123">
        <v>575</v>
      </c>
      <c r="D49" s="124">
        <v>46238</v>
      </c>
      <c r="E49" s="241">
        <v>2610</v>
      </c>
      <c r="F49" s="241">
        <v>2610</v>
      </c>
      <c r="G49" s="76">
        <v>46272</v>
      </c>
      <c r="H49" s="108">
        <f t="shared" si="0"/>
        <v>0</v>
      </c>
      <c r="I49" s="198" t="s">
        <v>439</v>
      </c>
      <c r="J49" s="5"/>
    </row>
    <row r="50" spans="1:12" x14ac:dyDescent="0.25">
      <c r="A50" s="5"/>
      <c r="B50" s="123"/>
      <c r="C50" s="123">
        <v>593</v>
      </c>
      <c r="D50" s="124">
        <v>46245</v>
      </c>
      <c r="E50" s="75">
        <v>6348</v>
      </c>
      <c r="F50" s="75"/>
      <c r="G50" s="76"/>
      <c r="H50" s="108">
        <f t="shared" si="0"/>
        <v>6348</v>
      </c>
      <c r="I50" s="198"/>
      <c r="J50" s="5"/>
    </row>
    <row r="51" spans="1:12" x14ac:dyDescent="0.25">
      <c r="A51" s="5"/>
      <c r="B51" s="123"/>
      <c r="C51" s="123">
        <v>642</v>
      </c>
      <c r="D51" s="124">
        <v>46259</v>
      </c>
      <c r="E51" s="75">
        <v>4120</v>
      </c>
      <c r="F51" s="75"/>
      <c r="G51" s="76"/>
      <c r="H51" s="108">
        <f t="shared" si="0"/>
        <v>10468</v>
      </c>
      <c r="I51" s="198"/>
      <c r="J51" s="5"/>
    </row>
    <row r="52" spans="1:12" x14ac:dyDescent="0.25">
      <c r="A52" s="5"/>
      <c r="B52" s="106"/>
      <c r="C52" s="106"/>
      <c r="D52" s="112"/>
      <c r="E52" s="107"/>
      <c r="F52" s="75"/>
      <c r="G52" s="76"/>
      <c r="H52" s="108">
        <f t="shared" si="0"/>
        <v>10468</v>
      </c>
      <c r="I52" s="198"/>
      <c r="J52" s="5"/>
    </row>
    <row r="53" spans="1:12" x14ac:dyDescent="0.25">
      <c r="A53" s="5"/>
      <c r="B53" s="106"/>
      <c r="C53" s="106"/>
      <c r="D53" s="112"/>
      <c r="E53" s="107"/>
      <c r="F53" s="75"/>
      <c r="G53" s="76"/>
      <c r="H53" s="108">
        <f t="shared" si="0"/>
        <v>10468</v>
      </c>
      <c r="I53" s="198"/>
      <c r="J53" s="5"/>
    </row>
    <row r="54" spans="1:12" x14ac:dyDescent="0.25">
      <c r="A54" s="5"/>
      <c r="B54" s="106"/>
      <c r="C54" s="106"/>
      <c r="D54" s="112"/>
      <c r="E54" s="107"/>
      <c r="F54" s="75"/>
      <c r="G54" s="76"/>
      <c r="H54" s="108">
        <f t="shared" si="0"/>
        <v>10468</v>
      </c>
      <c r="I54" s="198"/>
      <c r="J54" s="5"/>
    </row>
    <row r="55" spans="1:12" x14ac:dyDescent="0.25">
      <c r="A55" s="5"/>
      <c r="B55" s="106"/>
      <c r="C55" s="106"/>
      <c r="D55" s="112"/>
      <c r="E55" s="107"/>
      <c r="F55" s="75"/>
      <c r="G55" s="76"/>
      <c r="H55" s="108">
        <f t="shared" si="0"/>
        <v>10468</v>
      </c>
      <c r="I55" s="198"/>
      <c r="J55" s="5"/>
    </row>
    <row r="56" spans="1:12" x14ac:dyDescent="0.25">
      <c r="A56" s="5"/>
      <c r="B56" s="106"/>
      <c r="C56" s="106"/>
      <c r="D56" s="112"/>
      <c r="E56" s="107"/>
      <c r="F56" s="75"/>
      <c r="G56" s="76"/>
      <c r="H56" s="108">
        <f t="shared" si="0"/>
        <v>10468</v>
      </c>
      <c r="I56" s="198"/>
      <c r="J56" s="5"/>
    </row>
    <row r="57" spans="1:12" x14ac:dyDescent="0.25">
      <c r="A57" s="5"/>
      <c r="B57" s="106"/>
      <c r="C57" s="106"/>
      <c r="D57" s="112"/>
      <c r="E57" s="107"/>
      <c r="F57" s="75"/>
      <c r="G57" s="76"/>
      <c r="H57" s="108">
        <f t="shared" si="0"/>
        <v>10468</v>
      </c>
      <c r="I57" s="198"/>
      <c r="J57" s="5"/>
    </row>
    <row r="58" spans="1:12" x14ac:dyDescent="0.25">
      <c r="A58" s="5"/>
      <c r="B58" s="106"/>
      <c r="C58" s="106"/>
      <c r="D58" s="112"/>
      <c r="E58" s="107"/>
      <c r="F58" s="75"/>
      <c r="G58" s="76"/>
      <c r="H58" s="108">
        <f t="shared" si="0"/>
        <v>10468</v>
      </c>
      <c r="I58" s="198"/>
      <c r="J58" s="5"/>
    </row>
    <row r="59" spans="1:12" x14ac:dyDescent="0.25">
      <c r="A59" s="5"/>
      <c r="B59" s="106"/>
      <c r="C59" s="106"/>
      <c r="D59" s="112"/>
      <c r="E59" s="107"/>
      <c r="F59" s="75"/>
      <c r="G59" s="76"/>
      <c r="H59" s="108">
        <f t="shared" si="0"/>
        <v>10468</v>
      </c>
      <c r="I59" s="198"/>
      <c r="J59" s="5"/>
    </row>
    <row r="60" spans="1:12" ht="16.5" thickBot="1" x14ac:dyDescent="0.3">
      <c r="A60" s="5"/>
      <c r="B60" s="23"/>
      <c r="C60" s="106"/>
      <c r="D60" s="112"/>
      <c r="E60" s="107"/>
      <c r="F60" s="75"/>
      <c r="G60" s="76"/>
      <c r="H60" s="27">
        <f>+H51+E60-F60</f>
        <v>10468</v>
      </c>
      <c r="I60" s="199"/>
      <c r="J60" s="5"/>
      <c r="L60" s="49"/>
    </row>
    <row r="61" spans="1:12" ht="16.5" thickTop="1" x14ac:dyDescent="0.25">
      <c r="A61" s="5"/>
      <c r="B61" s="268" t="s">
        <v>55</v>
      </c>
      <c r="C61" s="268"/>
      <c r="D61" s="268"/>
      <c r="E61" s="20">
        <f>SUM(E11:E60)+H11</f>
        <v>160473</v>
      </c>
      <c r="F61" s="25">
        <f>SUM(F11:F60)</f>
        <v>150005</v>
      </c>
      <c r="G61" s="5"/>
      <c r="H61" s="5"/>
      <c r="I61" s="5"/>
      <c r="J61" s="5"/>
    </row>
    <row r="62" spans="1:12" x14ac:dyDescent="0.25">
      <c r="A62" s="5"/>
      <c r="B62" s="276" t="s">
        <v>67</v>
      </c>
      <c r="C62" s="276"/>
      <c r="D62" s="276"/>
      <c r="E62" s="276"/>
      <c r="F62" s="51">
        <f>+E61-F61</f>
        <v>10468</v>
      </c>
      <c r="G62" s="5"/>
      <c r="H62" s="5"/>
      <c r="I62" s="5"/>
      <c r="J62" s="5"/>
    </row>
  </sheetData>
  <mergeCells count="4">
    <mergeCell ref="B2:I2"/>
    <mergeCell ref="B3:I3"/>
    <mergeCell ref="B61:D61"/>
    <mergeCell ref="B62:E62"/>
  </mergeCells>
  <pageMargins left="0.39370078740157483" right="0.19685039370078741" top="0.39370078740157483" bottom="0.39370078740157483" header="0.31496062992125984" footer="0.31496062992125984"/>
  <pageSetup scale="84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C55F-5F8D-4993-8766-262B1427E34E}">
  <sheetPr codeName="Hoja33"/>
  <dimension ref="A1:M25"/>
  <sheetViews>
    <sheetView topLeftCell="A10" zoomScaleNormal="100" workbookViewId="0">
      <selection activeCell="E32" sqref="E32"/>
    </sheetView>
  </sheetViews>
  <sheetFormatPr baseColWidth="10" defaultColWidth="11.42578125" defaultRowHeight="15.75" x14ac:dyDescent="0.25"/>
  <cols>
    <col min="1" max="1" width="3.7109375" style="1" customWidth="1"/>
    <col min="2" max="3" width="11.28515625" style="1" customWidth="1"/>
    <col min="4" max="4" width="13.85546875" style="1" customWidth="1"/>
    <col min="5" max="5" width="15" style="1" customWidth="1"/>
    <col min="6" max="6" width="15.42578125" style="1" customWidth="1"/>
    <col min="7" max="7" width="13.85546875" style="1" customWidth="1"/>
    <col min="8" max="8" width="12.5703125" style="1" customWidth="1"/>
    <col min="9" max="9" width="38.140625" style="1" bestFit="1" customWidth="1"/>
    <col min="10" max="10" width="3.7109375" style="1" customWidth="1"/>
    <col min="11" max="12" width="11.42578125" style="1"/>
    <col min="13" max="13" width="12.42578125" style="1" bestFit="1" customWidth="1"/>
    <col min="14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5"/>
    </row>
    <row r="5" spans="1:13" x14ac:dyDescent="0.25">
      <c r="A5" s="5"/>
      <c r="B5" s="7"/>
      <c r="C5" s="8" t="s">
        <v>49</v>
      </c>
      <c r="D5" s="5" t="s">
        <v>328</v>
      </c>
      <c r="E5" s="9"/>
      <c r="F5" s="9"/>
      <c r="G5" s="9"/>
      <c r="H5" s="9"/>
      <c r="I5" s="9"/>
      <c r="J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5"/>
    </row>
    <row r="7" spans="1:13" x14ac:dyDescent="0.25">
      <c r="A7" s="5"/>
      <c r="B7" s="7"/>
      <c r="C7" s="8" t="s">
        <v>48</v>
      </c>
      <c r="D7" s="5" t="s">
        <v>32</v>
      </c>
      <c r="E7" s="9"/>
      <c r="F7" s="9"/>
      <c r="G7" s="9"/>
      <c r="H7" s="9"/>
      <c r="I7" s="9"/>
      <c r="J7" s="5"/>
    </row>
    <row r="8" spans="1:13" x14ac:dyDescent="0.25">
      <c r="A8" s="5"/>
      <c r="B8" s="7"/>
      <c r="C8" s="8" t="s">
        <v>306</v>
      </c>
      <c r="D8" s="5" t="s">
        <v>343</v>
      </c>
      <c r="E8" s="9"/>
      <c r="F8" s="9"/>
      <c r="G8" s="9"/>
      <c r="H8" s="9"/>
      <c r="I8" s="9"/>
      <c r="J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4</v>
      </c>
      <c r="J10" s="6"/>
    </row>
    <row r="11" spans="1:13" ht="16.5" thickBot="1" x14ac:dyDescent="0.3">
      <c r="A11" s="5"/>
      <c r="B11" s="168">
        <v>251243</v>
      </c>
      <c r="C11" s="168">
        <v>2122</v>
      </c>
      <c r="D11" s="169">
        <v>46006</v>
      </c>
      <c r="E11" s="170">
        <v>4038</v>
      </c>
      <c r="F11" s="170">
        <v>4038</v>
      </c>
      <c r="G11" s="171">
        <v>46018</v>
      </c>
      <c r="H11" s="170">
        <f>+E11-F11</f>
        <v>0</v>
      </c>
      <c r="I11" s="218" t="s">
        <v>344</v>
      </c>
      <c r="J11" s="5" t="s">
        <v>136</v>
      </c>
    </row>
    <row r="12" spans="1:13" ht="17.25" thickTop="1" thickBot="1" x14ac:dyDescent="0.3">
      <c r="A12" s="5"/>
      <c r="B12" s="182">
        <v>260189</v>
      </c>
      <c r="C12" s="182">
        <v>2312</v>
      </c>
      <c r="D12" s="183">
        <v>46039</v>
      </c>
      <c r="E12" s="184">
        <v>2034</v>
      </c>
      <c r="F12" s="184">
        <v>2034</v>
      </c>
      <c r="G12" s="185">
        <v>46078</v>
      </c>
      <c r="H12" s="184">
        <f>+H11+E12-F12</f>
        <v>0</v>
      </c>
      <c r="I12" s="236" t="s">
        <v>344</v>
      </c>
      <c r="J12" s="5" t="s">
        <v>136</v>
      </c>
    </row>
    <row r="13" spans="1:13" ht="17.25" thickTop="1" thickBot="1" x14ac:dyDescent="0.3">
      <c r="A13" s="5"/>
      <c r="B13" s="182">
        <v>2602106</v>
      </c>
      <c r="C13" s="182">
        <v>2</v>
      </c>
      <c r="D13" s="183">
        <v>46077</v>
      </c>
      <c r="E13" s="184">
        <v>8350</v>
      </c>
      <c r="F13" s="184">
        <v>8350</v>
      </c>
      <c r="G13" s="183">
        <v>46122</v>
      </c>
      <c r="H13" s="184">
        <f t="shared" ref="H13:H22" si="0">+H12+E13-F13</f>
        <v>0</v>
      </c>
      <c r="I13" s="236" t="s">
        <v>344</v>
      </c>
      <c r="J13" s="5" t="s">
        <v>136</v>
      </c>
      <c r="K13" s="49"/>
      <c r="L13" s="49"/>
    </row>
    <row r="14" spans="1:13" ht="17.25" thickTop="1" thickBot="1" x14ac:dyDescent="0.3">
      <c r="A14" s="5"/>
      <c r="B14" s="182">
        <v>260443</v>
      </c>
      <c r="C14" s="182">
        <v>220</v>
      </c>
      <c r="D14" s="183">
        <v>46123</v>
      </c>
      <c r="E14" s="184">
        <v>2184</v>
      </c>
      <c r="F14" s="184">
        <v>2184</v>
      </c>
      <c r="G14" s="183">
        <v>46155</v>
      </c>
      <c r="H14" s="184">
        <f>+H13+E14-F14</f>
        <v>0</v>
      </c>
      <c r="I14" s="236" t="s">
        <v>344</v>
      </c>
      <c r="J14" s="5" t="s">
        <v>136</v>
      </c>
      <c r="M14" s="49"/>
    </row>
    <row r="15" spans="1:13" ht="17.25" thickTop="1" thickBot="1" x14ac:dyDescent="0.3">
      <c r="A15" s="5"/>
      <c r="B15" s="165"/>
      <c r="C15" s="165">
        <v>326</v>
      </c>
      <c r="D15" s="166">
        <v>46161</v>
      </c>
      <c r="E15" s="108">
        <v>4288</v>
      </c>
      <c r="F15" s="108">
        <v>4288</v>
      </c>
      <c r="G15" s="167">
        <v>46225</v>
      </c>
      <c r="H15" s="108">
        <f t="shared" si="0"/>
        <v>0</v>
      </c>
      <c r="I15" s="236" t="s">
        <v>426</v>
      </c>
      <c r="J15" s="5" t="s">
        <v>136</v>
      </c>
    </row>
    <row r="16" spans="1:13" ht="17.25" thickTop="1" thickBot="1" x14ac:dyDescent="0.3">
      <c r="A16" s="5"/>
      <c r="B16" s="123"/>
      <c r="C16" s="123">
        <v>369</v>
      </c>
      <c r="D16" s="124">
        <v>46175</v>
      </c>
      <c r="E16" s="75">
        <v>3692</v>
      </c>
      <c r="F16" s="75">
        <v>3692</v>
      </c>
      <c r="G16" s="76">
        <v>46246</v>
      </c>
      <c r="H16" s="108">
        <f t="shared" si="0"/>
        <v>0</v>
      </c>
      <c r="I16" s="236" t="s">
        <v>431</v>
      </c>
      <c r="J16" s="5" t="s">
        <v>136</v>
      </c>
      <c r="L16" s="49"/>
    </row>
    <row r="17" spans="1:12" ht="16.5" thickTop="1" x14ac:dyDescent="0.25">
      <c r="A17" s="5"/>
      <c r="B17" s="123"/>
      <c r="C17" s="123">
        <v>606</v>
      </c>
      <c r="D17" s="124">
        <v>46248</v>
      </c>
      <c r="E17" s="75">
        <v>3300</v>
      </c>
      <c r="F17" s="75"/>
      <c r="G17" s="76"/>
      <c r="H17" s="108">
        <f t="shared" si="0"/>
        <v>3300</v>
      </c>
      <c r="I17" s="198"/>
      <c r="J17" s="5"/>
      <c r="L17" s="49"/>
    </row>
    <row r="18" spans="1:12" x14ac:dyDescent="0.25">
      <c r="A18" s="5"/>
      <c r="B18" s="123"/>
      <c r="C18" s="123"/>
      <c r="D18" s="124"/>
      <c r="E18" s="75"/>
      <c r="F18" s="75"/>
      <c r="G18" s="76"/>
      <c r="H18" s="108">
        <f t="shared" si="0"/>
        <v>3300</v>
      </c>
      <c r="I18" s="198"/>
      <c r="J18" s="5"/>
      <c r="L18" s="49"/>
    </row>
    <row r="19" spans="1:12" x14ac:dyDescent="0.25">
      <c r="A19" s="5"/>
      <c r="B19" s="123"/>
      <c r="C19" s="123"/>
      <c r="D19" s="124"/>
      <c r="E19" s="75"/>
      <c r="F19" s="75"/>
      <c r="G19" s="76"/>
      <c r="H19" s="108">
        <f t="shared" si="0"/>
        <v>3300</v>
      </c>
      <c r="I19" s="198"/>
      <c r="J19" s="5"/>
      <c r="L19" s="49"/>
    </row>
    <row r="20" spans="1:12" x14ac:dyDescent="0.25">
      <c r="A20" s="5"/>
      <c r="B20" s="123"/>
      <c r="C20" s="123"/>
      <c r="D20" s="124"/>
      <c r="E20" s="75"/>
      <c r="F20" s="75"/>
      <c r="G20" s="76"/>
      <c r="H20" s="108">
        <f t="shared" si="0"/>
        <v>3300</v>
      </c>
      <c r="I20" s="198"/>
      <c r="J20" s="5"/>
      <c r="L20" s="49"/>
    </row>
    <row r="21" spans="1:12" x14ac:dyDescent="0.25">
      <c r="A21" s="5"/>
      <c r="B21" s="123"/>
      <c r="C21" s="123"/>
      <c r="D21" s="124"/>
      <c r="E21" s="75"/>
      <c r="F21" s="75"/>
      <c r="G21" s="76"/>
      <c r="H21" s="108">
        <f t="shared" si="0"/>
        <v>3300</v>
      </c>
      <c r="I21" s="198"/>
      <c r="J21" s="5"/>
    </row>
    <row r="22" spans="1:12" x14ac:dyDescent="0.25">
      <c r="A22" s="5"/>
      <c r="B22" s="123"/>
      <c r="C22" s="123"/>
      <c r="D22" s="124"/>
      <c r="E22" s="75"/>
      <c r="F22" s="75"/>
      <c r="G22" s="76"/>
      <c r="H22" s="108">
        <f t="shared" si="0"/>
        <v>3300</v>
      </c>
      <c r="I22" s="198"/>
      <c r="J22" s="5"/>
    </row>
    <row r="23" spans="1:12" ht="16.5" thickBot="1" x14ac:dyDescent="0.3">
      <c r="A23" s="5"/>
      <c r="B23" s="23"/>
      <c r="C23" s="106"/>
      <c r="D23" s="112"/>
      <c r="E23" s="107"/>
      <c r="F23" s="75"/>
      <c r="G23" s="76"/>
      <c r="H23" s="27">
        <f t="shared" ref="H23" si="1">+H22+E23-F23</f>
        <v>3300</v>
      </c>
      <c r="I23" s="199"/>
      <c r="J23" s="5"/>
      <c r="L23" s="49"/>
    </row>
    <row r="24" spans="1:12" ht="16.5" thickTop="1" x14ac:dyDescent="0.25">
      <c r="A24" s="5"/>
      <c r="B24" s="268" t="s">
        <v>55</v>
      </c>
      <c r="C24" s="268"/>
      <c r="D24" s="268"/>
      <c r="E24" s="25">
        <f>SUM(E11:E23)</f>
        <v>27886</v>
      </c>
      <c r="F24" s="25">
        <f>SUM(F11:F23)</f>
        <v>24586</v>
      </c>
      <c r="G24" s="5"/>
      <c r="H24" s="5"/>
      <c r="I24" s="5"/>
      <c r="J24" s="5"/>
    </row>
    <row r="25" spans="1:12" x14ac:dyDescent="0.25">
      <c r="A25" s="5"/>
      <c r="B25" s="276" t="s">
        <v>67</v>
      </c>
      <c r="C25" s="276"/>
      <c r="D25" s="276"/>
      <c r="E25" s="276"/>
      <c r="F25" s="51">
        <f>+E24-F24</f>
        <v>3300</v>
      </c>
      <c r="G25" s="5"/>
      <c r="H25" s="5"/>
      <c r="I25" s="5"/>
      <c r="J25" s="5"/>
    </row>
  </sheetData>
  <mergeCells count="4">
    <mergeCell ref="B2:I2"/>
    <mergeCell ref="B3:I3"/>
    <mergeCell ref="B24:D24"/>
    <mergeCell ref="B25:E25"/>
  </mergeCells>
  <pageMargins left="0.39370078740157483" right="0.19685039370078741" top="0.39370078740157483" bottom="0.39370078740157483" header="0.31496062992125984" footer="0.31496062992125984"/>
  <pageSetup scale="84" orientation="portrait" horizontalDpi="0" verticalDpi="0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CFC2-E2DA-418F-8AF5-FBB63D66E15C}">
  <sheetPr codeName="Hoja34"/>
  <dimension ref="A1:M25"/>
  <sheetViews>
    <sheetView topLeftCell="A4" zoomScaleNormal="100" workbookViewId="0">
      <selection activeCell="B14" sqref="B14"/>
    </sheetView>
  </sheetViews>
  <sheetFormatPr baseColWidth="10" defaultColWidth="11.42578125" defaultRowHeight="15.75" x14ac:dyDescent="0.25"/>
  <cols>
    <col min="1" max="1" width="3.7109375" style="1" customWidth="1"/>
    <col min="2" max="3" width="11.28515625" style="1" customWidth="1"/>
    <col min="4" max="4" width="13.85546875" style="1" customWidth="1"/>
    <col min="5" max="5" width="15" style="1" customWidth="1"/>
    <col min="6" max="6" width="15.42578125" style="1" customWidth="1"/>
    <col min="7" max="7" width="13.85546875" style="1" customWidth="1"/>
    <col min="8" max="8" width="12.5703125" style="1" customWidth="1"/>
    <col min="9" max="9" width="22.5703125" style="1" customWidth="1"/>
    <col min="10" max="10" width="3.7109375" style="1" customWidth="1"/>
    <col min="11" max="12" width="11.42578125" style="1"/>
    <col min="13" max="13" width="12.42578125" style="1" bestFit="1" customWidth="1"/>
    <col min="14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5"/>
    </row>
    <row r="5" spans="1:13" x14ac:dyDescent="0.25">
      <c r="A5" s="5"/>
      <c r="B5" s="7"/>
      <c r="C5" s="8" t="s">
        <v>49</v>
      </c>
      <c r="D5" s="5" t="s">
        <v>327</v>
      </c>
      <c r="E5" s="9"/>
      <c r="F5" s="9"/>
      <c r="G5" s="9"/>
      <c r="H5" s="9"/>
      <c r="I5" s="9"/>
      <c r="J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5"/>
    </row>
    <row r="7" spans="1:13" x14ac:dyDescent="0.25">
      <c r="A7" s="5"/>
      <c r="B7" s="7"/>
      <c r="C7" s="8" t="s">
        <v>48</v>
      </c>
      <c r="D7" s="5" t="s">
        <v>32</v>
      </c>
      <c r="E7" s="9"/>
      <c r="F7" s="9"/>
      <c r="G7" s="9"/>
      <c r="H7" s="9"/>
      <c r="I7" s="9"/>
      <c r="J7" s="5"/>
    </row>
    <row r="8" spans="1:13" x14ac:dyDescent="0.25">
      <c r="A8" s="5"/>
      <c r="B8" s="7"/>
      <c r="C8" s="8" t="s">
        <v>306</v>
      </c>
      <c r="D8" s="5"/>
      <c r="E8" s="9"/>
      <c r="F8" s="9"/>
      <c r="G8" s="9"/>
      <c r="H8" s="9"/>
      <c r="I8" s="9"/>
      <c r="J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4</v>
      </c>
      <c r="J10" s="6"/>
    </row>
    <row r="11" spans="1:13" ht="16.5" thickBot="1" x14ac:dyDescent="0.3">
      <c r="A11" s="5"/>
      <c r="B11" s="168">
        <v>251272</v>
      </c>
      <c r="C11" s="168">
        <v>2157</v>
      </c>
      <c r="D11" s="169">
        <v>46010</v>
      </c>
      <c r="E11" s="170">
        <v>1978</v>
      </c>
      <c r="F11" s="170">
        <v>1978</v>
      </c>
      <c r="G11" s="171">
        <v>46009</v>
      </c>
      <c r="H11" s="170">
        <f>+E11-F11</f>
        <v>0</v>
      </c>
      <c r="I11" s="218" t="s">
        <v>179</v>
      </c>
      <c r="J11" s="5" t="s">
        <v>136</v>
      </c>
    </row>
    <row r="12" spans="1:13" ht="16.5" thickTop="1" x14ac:dyDescent="0.25">
      <c r="A12" s="5"/>
      <c r="B12" s="165">
        <v>2601109</v>
      </c>
      <c r="C12" s="165">
        <v>2330</v>
      </c>
      <c r="D12" s="166">
        <v>46042</v>
      </c>
      <c r="E12" s="108">
        <v>764</v>
      </c>
      <c r="F12" s="108">
        <v>764</v>
      </c>
      <c r="G12" s="167">
        <v>46043</v>
      </c>
      <c r="H12" s="108">
        <f>+H11+E12-F12</f>
        <v>0</v>
      </c>
      <c r="I12" s="217" t="s">
        <v>179</v>
      </c>
      <c r="J12" s="5"/>
      <c r="L12" s="49">
        <f>SUM(F12)</f>
        <v>764</v>
      </c>
    </row>
    <row r="13" spans="1:13" x14ac:dyDescent="0.25">
      <c r="A13" s="5"/>
      <c r="B13" s="123">
        <v>260278</v>
      </c>
      <c r="C13" s="123">
        <v>2466</v>
      </c>
      <c r="D13" s="124">
        <v>46072</v>
      </c>
      <c r="E13" s="75">
        <v>672</v>
      </c>
      <c r="F13" s="75"/>
      <c r="G13" s="76"/>
      <c r="H13" s="75">
        <f t="shared" ref="H13:H23" si="0">+H12+E13-F13</f>
        <v>672</v>
      </c>
      <c r="I13" s="197"/>
      <c r="J13" s="5"/>
    </row>
    <row r="14" spans="1:13" x14ac:dyDescent="0.25">
      <c r="A14" s="5"/>
      <c r="B14" s="123">
        <v>260279</v>
      </c>
      <c r="C14" s="123">
        <v>2467</v>
      </c>
      <c r="D14" s="124">
        <v>46072</v>
      </c>
      <c r="E14" s="75">
        <v>672</v>
      </c>
      <c r="F14" s="75">
        <v>1344</v>
      </c>
      <c r="G14" s="76">
        <v>46072</v>
      </c>
      <c r="H14" s="75">
        <f t="shared" si="0"/>
        <v>0</v>
      </c>
      <c r="I14" s="198" t="s">
        <v>179</v>
      </c>
      <c r="J14" s="5" t="s">
        <v>135</v>
      </c>
      <c r="M14" s="49"/>
    </row>
    <row r="15" spans="1:13" x14ac:dyDescent="0.25">
      <c r="A15" s="5"/>
      <c r="B15" s="123"/>
      <c r="C15" s="123"/>
      <c r="D15" s="124"/>
      <c r="E15" s="75"/>
      <c r="F15" s="75"/>
      <c r="G15" s="76"/>
      <c r="H15" s="75">
        <f t="shared" si="0"/>
        <v>0</v>
      </c>
      <c r="I15" s="198"/>
      <c r="J15" s="5"/>
    </row>
    <row r="16" spans="1:13" x14ac:dyDescent="0.25">
      <c r="A16" s="5"/>
      <c r="B16" s="123"/>
      <c r="C16" s="123"/>
      <c r="D16" s="124"/>
      <c r="E16" s="75"/>
      <c r="F16" s="75"/>
      <c r="G16" s="76"/>
      <c r="H16" s="75">
        <f t="shared" si="0"/>
        <v>0</v>
      </c>
      <c r="I16" s="198"/>
      <c r="J16" s="5"/>
      <c r="L16" s="49"/>
    </row>
    <row r="17" spans="1:12" x14ac:dyDescent="0.25">
      <c r="A17" s="5"/>
      <c r="B17" s="123"/>
      <c r="C17" s="123"/>
      <c r="D17" s="124"/>
      <c r="E17" s="75"/>
      <c r="F17" s="75"/>
      <c r="G17" s="76"/>
      <c r="H17" s="75">
        <f t="shared" si="0"/>
        <v>0</v>
      </c>
      <c r="I17" s="198"/>
      <c r="J17" s="5"/>
      <c r="L17" s="49"/>
    </row>
    <row r="18" spans="1:12" x14ac:dyDescent="0.25">
      <c r="A18" s="5"/>
      <c r="B18" s="123"/>
      <c r="C18" s="123"/>
      <c r="D18" s="124"/>
      <c r="E18" s="75"/>
      <c r="F18" s="75"/>
      <c r="G18" s="76"/>
      <c r="H18" s="75">
        <f t="shared" si="0"/>
        <v>0</v>
      </c>
      <c r="I18" s="198"/>
      <c r="J18" s="5"/>
      <c r="L18" s="49"/>
    </row>
    <row r="19" spans="1:12" x14ac:dyDescent="0.25">
      <c r="A19" s="5"/>
      <c r="B19" s="123"/>
      <c r="C19" s="123"/>
      <c r="D19" s="124"/>
      <c r="E19" s="75"/>
      <c r="F19" s="75"/>
      <c r="G19" s="76"/>
      <c r="H19" s="75">
        <f t="shared" si="0"/>
        <v>0</v>
      </c>
      <c r="I19" s="198"/>
      <c r="J19" s="5"/>
      <c r="L19" s="49"/>
    </row>
    <row r="20" spans="1:12" x14ac:dyDescent="0.25">
      <c r="A20" s="5"/>
      <c r="B20" s="123"/>
      <c r="C20" s="123"/>
      <c r="D20" s="124"/>
      <c r="E20" s="75"/>
      <c r="F20" s="75"/>
      <c r="G20" s="76"/>
      <c r="H20" s="75">
        <f t="shared" si="0"/>
        <v>0</v>
      </c>
      <c r="I20" s="198"/>
      <c r="J20" s="5"/>
      <c r="L20" s="49"/>
    </row>
    <row r="21" spans="1:12" x14ac:dyDescent="0.25">
      <c r="A21" s="5"/>
      <c r="B21" s="123"/>
      <c r="C21" s="123"/>
      <c r="D21" s="124"/>
      <c r="E21" s="75"/>
      <c r="F21" s="75"/>
      <c r="G21" s="76"/>
      <c r="H21" s="75">
        <f t="shared" si="0"/>
        <v>0</v>
      </c>
      <c r="I21" s="198"/>
      <c r="J21" s="5"/>
    </row>
    <row r="22" spans="1:12" x14ac:dyDescent="0.25">
      <c r="A22" s="5"/>
      <c r="B22" s="123"/>
      <c r="C22" s="123"/>
      <c r="D22" s="124"/>
      <c r="E22" s="75"/>
      <c r="F22" s="75"/>
      <c r="G22" s="76"/>
      <c r="H22" s="75">
        <f t="shared" si="0"/>
        <v>0</v>
      </c>
      <c r="I22" s="198"/>
      <c r="J22" s="5"/>
    </row>
    <row r="23" spans="1:12" ht="16.5" thickBot="1" x14ac:dyDescent="0.3">
      <c r="A23" s="5"/>
      <c r="B23" s="23"/>
      <c r="C23" s="106"/>
      <c r="D23" s="112"/>
      <c r="E23" s="107"/>
      <c r="F23" s="75"/>
      <c r="G23" s="76"/>
      <c r="H23" s="27">
        <f t="shared" si="0"/>
        <v>0</v>
      </c>
      <c r="I23" s="199"/>
      <c r="J23" s="5"/>
      <c r="L23" s="49"/>
    </row>
    <row r="24" spans="1:12" ht="16.5" thickTop="1" x14ac:dyDescent="0.25">
      <c r="A24" s="5"/>
      <c r="B24" s="268" t="s">
        <v>55</v>
      </c>
      <c r="C24" s="268"/>
      <c r="D24" s="268"/>
      <c r="E24" s="25">
        <f>SUM(E11:E23)</f>
        <v>4086</v>
      </c>
      <c r="F24" s="25">
        <f>SUM(F11:F23)</f>
        <v>4086</v>
      </c>
      <c r="G24" s="5"/>
      <c r="H24" s="5"/>
      <c r="I24" s="5"/>
      <c r="J24" s="5"/>
    </row>
    <row r="25" spans="1:12" x14ac:dyDescent="0.25">
      <c r="A25" s="5"/>
      <c r="B25" s="276" t="s">
        <v>67</v>
      </c>
      <c r="C25" s="276"/>
      <c r="D25" s="276"/>
      <c r="E25" s="276"/>
      <c r="F25" s="51">
        <f>+E24-F24</f>
        <v>0</v>
      </c>
      <c r="G25" s="5"/>
      <c r="H25" s="5"/>
      <c r="I25" s="5"/>
      <c r="J25" s="5"/>
    </row>
  </sheetData>
  <mergeCells count="4">
    <mergeCell ref="B2:I2"/>
    <mergeCell ref="B3:I3"/>
    <mergeCell ref="B24:D24"/>
    <mergeCell ref="B25:E25"/>
  </mergeCells>
  <pageMargins left="0.39370078740157483" right="0.19685039370078741" top="0.39370078740157483" bottom="0.39370078740157483" header="0.31496062992125984" footer="0.31496062992125984"/>
  <pageSetup scale="84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AEF1-76AC-4D7B-932D-0D9B472E0EC1}">
  <sheetPr codeName="Hoja35"/>
  <dimension ref="A1:M25"/>
  <sheetViews>
    <sheetView topLeftCell="A11" zoomScaleNormal="100" workbookViewId="0">
      <selection activeCell="E32" sqref="E32"/>
    </sheetView>
  </sheetViews>
  <sheetFormatPr baseColWidth="10" defaultColWidth="11.42578125" defaultRowHeight="15.75" x14ac:dyDescent="0.25"/>
  <cols>
    <col min="1" max="1" width="3.7109375" style="1" customWidth="1"/>
    <col min="2" max="3" width="11.28515625" style="1" customWidth="1"/>
    <col min="4" max="4" width="13.85546875" style="1" customWidth="1"/>
    <col min="5" max="5" width="15" style="1" customWidth="1"/>
    <col min="6" max="6" width="15.42578125" style="1" customWidth="1"/>
    <col min="7" max="7" width="13.85546875" style="1" customWidth="1"/>
    <col min="8" max="8" width="12.5703125" style="1" customWidth="1"/>
    <col min="9" max="9" width="31.85546875" style="1" customWidth="1"/>
    <col min="10" max="10" width="3.7109375" style="1" customWidth="1"/>
    <col min="11" max="12" width="11.42578125" style="1"/>
    <col min="13" max="13" width="12.42578125" style="1" bestFit="1" customWidth="1"/>
    <col min="14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5"/>
    </row>
    <row r="5" spans="1:13" x14ac:dyDescent="0.25">
      <c r="A5" s="5"/>
      <c r="B5" s="7"/>
      <c r="C5" s="8" t="s">
        <v>49</v>
      </c>
      <c r="D5" s="5" t="s">
        <v>355</v>
      </c>
      <c r="E5" s="9"/>
      <c r="F5" s="9"/>
      <c r="G5" s="9"/>
      <c r="H5" s="9"/>
      <c r="I5" s="9"/>
      <c r="J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5"/>
    </row>
    <row r="7" spans="1:13" x14ac:dyDescent="0.25">
      <c r="A7" s="5"/>
      <c r="B7" s="7"/>
      <c r="C7" s="8" t="s">
        <v>48</v>
      </c>
      <c r="D7" s="5" t="s">
        <v>32</v>
      </c>
      <c r="E7" s="9"/>
      <c r="F7" s="9"/>
      <c r="G7" s="9"/>
      <c r="H7" s="9"/>
      <c r="I7" s="9"/>
      <c r="J7" s="5"/>
    </row>
    <row r="8" spans="1:13" x14ac:dyDescent="0.25">
      <c r="A8" s="5"/>
      <c r="B8" s="7"/>
      <c r="C8" s="8" t="s">
        <v>306</v>
      </c>
      <c r="D8" s="5" t="s">
        <v>343</v>
      </c>
      <c r="E8" s="9"/>
      <c r="F8" s="9"/>
      <c r="G8" s="9"/>
      <c r="H8" s="9"/>
      <c r="I8" s="9"/>
      <c r="J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4</v>
      </c>
      <c r="J10" s="6"/>
    </row>
    <row r="11" spans="1:13" ht="141.75" customHeight="1" x14ac:dyDescent="0.25">
      <c r="A11" s="5"/>
      <c r="B11" s="123">
        <v>260198</v>
      </c>
      <c r="C11" s="123">
        <v>2319</v>
      </c>
      <c r="D11" s="124">
        <v>46041</v>
      </c>
      <c r="E11" s="75">
        <v>1257</v>
      </c>
      <c r="F11" s="75">
        <v>1257</v>
      </c>
      <c r="G11" s="76">
        <v>46076</v>
      </c>
      <c r="H11" s="75">
        <f>+E11-F11</f>
        <v>0</v>
      </c>
      <c r="I11" s="225" t="s">
        <v>370</v>
      </c>
      <c r="J11" s="5"/>
    </row>
    <row r="12" spans="1:13" x14ac:dyDescent="0.25">
      <c r="A12" s="5"/>
      <c r="B12" s="165">
        <v>260223</v>
      </c>
      <c r="C12" s="165">
        <v>2411</v>
      </c>
      <c r="D12" s="166">
        <v>46058</v>
      </c>
      <c r="E12" s="108">
        <v>3647</v>
      </c>
      <c r="F12" s="108">
        <v>3647</v>
      </c>
      <c r="G12" s="167">
        <v>46105</v>
      </c>
      <c r="H12" s="108">
        <f>+H11+E12-F12</f>
        <v>0</v>
      </c>
      <c r="I12" s="198" t="s">
        <v>383</v>
      </c>
      <c r="J12" s="5"/>
    </row>
    <row r="13" spans="1:13" x14ac:dyDescent="0.25">
      <c r="A13" s="5"/>
      <c r="B13" s="123">
        <v>260327</v>
      </c>
      <c r="C13" s="123">
        <v>56</v>
      </c>
      <c r="D13" s="124">
        <v>46088</v>
      </c>
      <c r="E13" s="75">
        <v>3744</v>
      </c>
      <c r="F13" s="75">
        <v>3744</v>
      </c>
      <c r="G13" s="76">
        <v>46133</v>
      </c>
      <c r="H13" s="75">
        <f t="shared" ref="H13:H23" si="0">+H12+E13-F13</f>
        <v>0</v>
      </c>
      <c r="I13" s="197" t="s">
        <v>402</v>
      </c>
      <c r="J13" s="5"/>
      <c r="L13" s="49"/>
    </row>
    <row r="14" spans="1:13" x14ac:dyDescent="0.25">
      <c r="A14" s="5"/>
      <c r="B14" s="123"/>
      <c r="C14" s="123">
        <v>289</v>
      </c>
      <c r="D14" s="124">
        <v>46149</v>
      </c>
      <c r="E14" s="75">
        <v>3418</v>
      </c>
      <c r="F14" s="75">
        <v>3418</v>
      </c>
      <c r="G14" s="76">
        <v>46192</v>
      </c>
      <c r="H14" s="75">
        <f t="shared" si="0"/>
        <v>0</v>
      </c>
      <c r="I14" s="198" t="s">
        <v>415</v>
      </c>
      <c r="J14" s="5"/>
      <c r="M14" s="49"/>
    </row>
    <row r="15" spans="1:13" x14ac:dyDescent="0.25">
      <c r="A15" s="5"/>
      <c r="B15" s="123"/>
      <c r="C15" s="123">
        <v>432</v>
      </c>
      <c r="D15" s="124">
        <v>46193</v>
      </c>
      <c r="E15" s="75">
        <v>1330</v>
      </c>
      <c r="F15" s="75">
        <v>1330</v>
      </c>
      <c r="G15" s="76">
        <v>46231</v>
      </c>
      <c r="H15" s="75">
        <f t="shared" si="0"/>
        <v>0</v>
      </c>
      <c r="I15" s="198" t="s">
        <v>428</v>
      </c>
      <c r="J15" s="5"/>
    </row>
    <row r="16" spans="1:13" x14ac:dyDescent="0.25">
      <c r="A16" s="5"/>
      <c r="B16" s="123"/>
      <c r="C16" s="123">
        <v>592</v>
      </c>
      <c r="D16" s="124">
        <v>46245</v>
      </c>
      <c r="E16" s="75">
        <v>2544</v>
      </c>
      <c r="F16" s="75"/>
      <c r="G16" s="76"/>
      <c r="H16" s="75">
        <f t="shared" si="0"/>
        <v>2544</v>
      </c>
      <c r="I16" s="198"/>
      <c r="J16" s="5"/>
      <c r="L16" s="49"/>
    </row>
    <row r="17" spans="1:12" x14ac:dyDescent="0.25">
      <c r="A17" s="5"/>
      <c r="B17" s="123"/>
      <c r="C17" s="123"/>
      <c r="D17" s="124"/>
      <c r="E17" s="75"/>
      <c r="F17" s="75"/>
      <c r="G17" s="76"/>
      <c r="H17" s="75">
        <f t="shared" si="0"/>
        <v>2544</v>
      </c>
      <c r="I17" s="198"/>
      <c r="J17" s="5"/>
      <c r="L17" s="49"/>
    </row>
    <row r="18" spans="1:12" x14ac:dyDescent="0.25">
      <c r="A18" s="5"/>
      <c r="B18" s="123"/>
      <c r="C18" s="123"/>
      <c r="D18" s="124"/>
      <c r="E18" s="75"/>
      <c r="F18" s="75"/>
      <c r="G18" s="76"/>
      <c r="H18" s="75">
        <f t="shared" si="0"/>
        <v>2544</v>
      </c>
      <c r="I18" s="198"/>
      <c r="J18" s="5"/>
      <c r="L18" s="49"/>
    </row>
    <row r="19" spans="1:12" x14ac:dyDescent="0.25">
      <c r="A19" s="5"/>
      <c r="B19" s="123"/>
      <c r="C19" s="123"/>
      <c r="D19" s="124"/>
      <c r="E19" s="75"/>
      <c r="F19" s="75"/>
      <c r="G19" s="76"/>
      <c r="H19" s="75">
        <f t="shared" si="0"/>
        <v>2544</v>
      </c>
      <c r="I19" s="198"/>
      <c r="J19" s="5"/>
      <c r="L19" s="49"/>
    </row>
    <row r="20" spans="1:12" x14ac:dyDescent="0.25">
      <c r="A20" s="5"/>
      <c r="B20" s="123"/>
      <c r="C20" s="123"/>
      <c r="D20" s="124"/>
      <c r="E20" s="75"/>
      <c r="F20" s="75"/>
      <c r="G20" s="76"/>
      <c r="H20" s="75">
        <f t="shared" si="0"/>
        <v>2544</v>
      </c>
      <c r="I20" s="198"/>
      <c r="J20" s="5"/>
      <c r="L20" s="49"/>
    </row>
    <row r="21" spans="1:12" x14ac:dyDescent="0.25">
      <c r="A21" s="5"/>
      <c r="B21" s="123"/>
      <c r="C21" s="123"/>
      <c r="D21" s="124"/>
      <c r="E21" s="75"/>
      <c r="F21" s="75"/>
      <c r="G21" s="76"/>
      <c r="H21" s="75">
        <f t="shared" si="0"/>
        <v>2544</v>
      </c>
      <c r="I21" s="198"/>
      <c r="J21" s="5"/>
    </row>
    <row r="22" spans="1:12" x14ac:dyDescent="0.25">
      <c r="A22" s="5"/>
      <c r="B22" s="123"/>
      <c r="C22" s="123"/>
      <c r="D22" s="124"/>
      <c r="E22" s="75"/>
      <c r="F22" s="75"/>
      <c r="G22" s="76"/>
      <c r="H22" s="75">
        <f t="shared" si="0"/>
        <v>2544</v>
      </c>
      <c r="I22" s="198"/>
      <c r="J22" s="5"/>
    </row>
    <row r="23" spans="1:12" ht="16.5" thickBot="1" x14ac:dyDescent="0.3">
      <c r="A23" s="5"/>
      <c r="B23" s="23"/>
      <c r="C23" s="106"/>
      <c r="D23" s="112"/>
      <c r="E23" s="107"/>
      <c r="F23" s="75"/>
      <c r="G23" s="76"/>
      <c r="H23" s="27">
        <f t="shared" si="0"/>
        <v>2544</v>
      </c>
      <c r="I23" s="199"/>
      <c r="J23" s="5"/>
      <c r="L23" s="49"/>
    </row>
    <row r="24" spans="1:12" ht="16.5" thickTop="1" x14ac:dyDescent="0.25">
      <c r="A24" s="5"/>
      <c r="B24" s="268" t="s">
        <v>55</v>
      </c>
      <c r="C24" s="268"/>
      <c r="D24" s="268"/>
      <c r="E24" s="25">
        <f>SUM(E11:E23)</f>
        <v>15940</v>
      </c>
      <c r="F24" s="25">
        <f>SUM(F11:F23)</f>
        <v>13396</v>
      </c>
      <c r="G24" s="5"/>
      <c r="H24" s="5"/>
      <c r="I24" s="5"/>
      <c r="J24" s="5"/>
    </row>
    <row r="25" spans="1:12" x14ac:dyDescent="0.25">
      <c r="A25" s="5"/>
      <c r="B25" s="276" t="s">
        <v>67</v>
      </c>
      <c r="C25" s="276"/>
      <c r="D25" s="276"/>
      <c r="E25" s="276"/>
      <c r="F25" s="51">
        <f>+E24-F24</f>
        <v>2544</v>
      </c>
      <c r="G25" s="5"/>
      <c r="H25" s="5"/>
      <c r="I25" s="5"/>
      <c r="J25" s="5"/>
    </row>
  </sheetData>
  <mergeCells count="4">
    <mergeCell ref="B2:I2"/>
    <mergeCell ref="B3:I3"/>
    <mergeCell ref="B24:D24"/>
    <mergeCell ref="B25:E25"/>
  </mergeCells>
  <pageMargins left="0.39370078740157483" right="0.19685039370078741" top="0.39370078740157483" bottom="0.39370078740157483" header="0.31496062992125984" footer="0.31496062992125984"/>
  <pageSetup scale="84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E404-CAB6-4A23-8574-DF28F2C8095B}">
  <sheetPr codeName="Hoja36"/>
  <dimension ref="A1:M26"/>
  <sheetViews>
    <sheetView topLeftCell="A9" zoomScaleNormal="100" workbookViewId="0">
      <selection activeCell="E32" sqref="E32"/>
    </sheetView>
  </sheetViews>
  <sheetFormatPr baseColWidth="10" defaultColWidth="11.42578125" defaultRowHeight="15.75" x14ac:dyDescent="0.25"/>
  <cols>
    <col min="1" max="1" width="3.7109375" style="1" customWidth="1"/>
    <col min="2" max="3" width="11.28515625" style="1" customWidth="1"/>
    <col min="4" max="4" width="13.85546875" style="1" customWidth="1"/>
    <col min="5" max="5" width="15" style="1" customWidth="1"/>
    <col min="6" max="6" width="15.42578125" style="1" customWidth="1"/>
    <col min="7" max="7" width="13.85546875" style="1" customWidth="1"/>
    <col min="8" max="8" width="12.5703125" style="1" customWidth="1"/>
    <col min="9" max="9" width="24.42578125" style="1" customWidth="1"/>
    <col min="10" max="10" width="3.7109375" style="1" customWidth="1"/>
    <col min="11" max="12" width="11.42578125" style="1"/>
    <col min="13" max="13" width="12.42578125" style="1" bestFit="1" customWidth="1"/>
    <col min="14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5"/>
    </row>
    <row r="5" spans="1:13" x14ac:dyDescent="0.25">
      <c r="A5" s="5"/>
      <c r="B5" s="7"/>
      <c r="C5" s="8" t="s">
        <v>49</v>
      </c>
      <c r="D5" s="5" t="s">
        <v>326</v>
      </c>
      <c r="E5" s="9"/>
      <c r="F5" s="9"/>
      <c r="G5" s="9"/>
      <c r="H5" s="9"/>
      <c r="I5" s="9"/>
      <c r="J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5"/>
    </row>
    <row r="7" spans="1:13" x14ac:dyDescent="0.25">
      <c r="A7" s="5"/>
      <c r="B7" s="7"/>
      <c r="C7" s="8" t="s">
        <v>48</v>
      </c>
      <c r="D7" s="5" t="s">
        <v>32</v>
      </c>
      <c r="E7" s="9"/>
      <c r="F7" s="9"/>
      <c r="G7" s="9"/>
      <c r="H7" s="9"/>
      <c r="I7" s="9"/>
      <c r="J7" s="5"/>
    </row>
    <row r="8" spans="1:13" x14ac:dyDescent="0.25">
      <c r="A8" s="5"/>
      <c r="B8" s="7"/>
      <c r="C8" s="8" t="s">
        <v>306</v>
      </c>
      <c r="D8" s="5"/>
      <c r="E8" s="9"/>
      <c r="F8" s="9"/>
      <c r="G8" s="9"/>
      <c r="H8" s="9"/>
      <c r="I8" s="9"/>
      <c r="J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4</v>
      </c>
      <c r="J10" s="6"/>
    </row>
    <row r="11" spans="1:13" ht="16.5" thickBot="1" x14ac:dyDescent="0.3">
      <c r="A11" s="5"/>
      <c r="B11" s="168">
        <v>251262</v>
      </c>
      <c r="C11" s="168">
        <v>2145</v>
      </c>
      <c r="D11" s="169">
        <v>46009</v>
      </c>
      <c r="E11" s="170">
        <v>2812</v>
      </c>
      <c r="F11" s="170">
        <v>2812</v>
      </c>
      <c r="G11" s="171">
        <v>46010</v>
      </c>
      <c r="H11" s="170">
        <f>+E11-F11</f>
        <v>0</v>
      </c>
      <c r="I11" s="218" t="s">
        <v>340</v>
      </c>
      <c r="J11" s="5" t="s">
        <v>136</v>
      </c>
    </row>
    <row r="12" spans="1:13" ht="16.5" thickTop="1" x14ac:dyDescent="0.25">
      <c r="A12" s="5"/>
      <c r="B12" s="165">
        <v>260290</v>
      </c>
      <c r="C12" s="165">
        <v>2481</v>
      </c>
      <c r="D12" s="166">
        <v>46073</v>
      </c>
      <c r="E12" s="108">
        <v>0</v>
      </c>
      <c r="F12" s="108"/>
      <c r="G12" s="167"/>
      <c r="H12" s="108">
        <f>+H11+E12-F12</f>
        <v>0</v>
      </c>
      <c r="I12" s="219"/>
      <c r="J12" s="5"/>
    </row>
    <row r="13" spans="1:13" x14ac:dyDescent="0.25">
      <c r="A13" s="5"/>
      <c r="B13" s="123" t="s">
        <v>371</v>
      </c>
      <c r="C13" s="123">
        <v>2491</v>
      </c>
      <c r="D13" s="166">
        <v>46076</v>
      </c>
      <c r="E13" s="229">
        <v>1798</v>
      </c>
      <c r="F13" s="228">
        <v>1798</v>
      </c>
      <c r="G13" s="167">
        <v>46076</v>
      </c>
      <c r="H13" s="75">
        <f>+H12+E13-F13</f>
        <v>0</v>
      </c>
      <c r="I13" s="212" t="s">
        <v>372</v>
      </c>
      <c r="J13" s="5"/>
      <c r="L13" s="49"/>
    </row>
    <row r="14" spans="1:13" ht="16.5" thickBot="1" x14ac:dyDescent="0.3">
      <c r="A14" s="5"/>
      <c r="B14" s="165">
        <v>2603134</v>
      </c>
      <c r="C14" s="165">
        <v>171</v>
      </c>
      <c r="D14" s="166">
        <v>46112</v>
      </c>
      <c r="E14" s="245">
        <v>1910</v>
      </c>
      <c r="F14" s="245">
        <v>1910</v>
      </c>
      <c r="G14" s="167">
        <v>46112</v>
      </c>
      <c r="H14" s="75">
        <f t="shared" ref="H14:H16" si="0">+H13+E14-F14</f>
        <v>0</v>
      </c>
      <c r="I14" s="218" t="s">
        <v>390</v>
      </c>
      <c r="J14" s="5"/>
    </row>
    <row r="15" spans="1:13" ht="17.25" thickTop="1" thickBot="1" x14ac:dyDescent="0.3">
      <c r="A15" s="5"/>
      <c r="B15" s="123"/>
      <c r="C15" s="123">
        <v>298</v>
      </c>
      <c r="D15" s="124">
        <v>46153</v>
      </c>
      <c r="E15" s="241">
        <v>1976</v>
      </c>
      <c r="F15" s="241">
        <v>1976</v>
      </c>
      <c r="G15" s="76">
        <v>46154</v>
      </c>
      <c r="H15" s="75">
        <f t="shared" si="0"/>
        <v>0</v>
      </c>
      <c r="I15" s="218" t="s">
        <v>407</v>
      </c>
      <c r="J15" s="5"/>
      <c r="M15" s="49"/>
    </row>
    <row r="16" spans="1:13" ht="17.25" thickTop="1" thickBot="1" x14ac:dyDescent="0.3">
      <c r="A16" s="5"/>
      <c r="B16" s="123"/>
      <c r="C16" s="123">
        <v>367</v>
      </c>
      <c r="D16" s="124">
        <v>46175</v>
      </c>
      <c r="E16" s="229">
        <v>1932</v>
      </c>
      <c r="F16" s="229">
        <v>1932</v>
      </c>
      <c r="G16" s="76">
        <v>46181</v>
      </c>
      <c r="H16" s="75">
        <f t="shared" si="0"/>
        <v>0</v>
      </c>
      <c r="I16" s="218" t="s">
        <v>419</v>
      </c>
      <c r="J16" s="5"/>
    </row>
    <row r="17" spans="1:12" ht="17.25" thickTop="1" thickBot="1" x14ac:dyDescent="0.3">
      <c r="A17" s="5"/>
      <c r="B17" s="123"/>
      <c r="C17" s="123">
        <v>415</v>
      </c>
      <c r="D17" s="124">
        <v>46189</v>
      </c>
      <c r="E17" s="231">
        <v>1204</v>
      </c>
      <c r="F17" s="231">
        <v>1204</v>
      </c>
      <c r="G17" s="76">
        <v>46190</v>
      </c>
      <c r="H17" s="75">
        <f t="shared" ref="H17:H24" si="1">+H16+E17-F17</f>
        <v>0</v>
      </c>
      <c r="I17" s="218" t="s">
        <v>420</v>
      </c>
      <c r="J17" s="5"/>
      <c r="L17" s="49"/>
    </row>
    <row r="18" spans="1:12" ht="16.5" thickTop="1" x14ac:dyDescent="0.25">
      <c r="A18" s="5"/>
      <c r="B18" s="123"/>
      <c r="C18" s="123"/>
      <c r="D18" s="124"/>
      <c r="E18" s="75"/>
      <c r="F18" s="75"/>
      <c r="G18" s="76"/>
      <c r="H18" s="75">
        <f t="shared" si="1"/>
        <v>0</v>
      </c>
      <c r="I18" s="198"/>
      <c r="J18" s="5"/>
      <c r="L18" s="49"/>
    </row>
    <row r="19" spans="1:12" x14ac:dyDescent="0.25">
      <c r="A19" s="5"/>
      <c r="B19" s="123"/>
      <c r="C19" s="123"/>
      <c r="D19" s="124"/>
      <c r="E19" s="75"/>
      <c r="F19" s="75"/>
      <c r="G19" s="76"/>
      <c r="H19" s="75">
        <f t="shared" si="1"/>
        <v>0</v>
      </c>
      <c r="I19" s="198"/>
      <c r="J19" s="5"/>
      <c r="L19" s="49"/>
    </row>
    <row r="20" spans="1:12" x14ac:dyDescent="0.25">
      <c r="A20" s="5"/>
      <c r="B20" s="123"/>
      <c r="C20" s="123"/>
      <c r="D20" s="124"/>
      <c r="E20" s="75"/>
      <c r="F20" s="75"/>
      <c r="G20" s="76"/>
      <c r="H20" s="75">
        <f t="shared" si="1"/>
        <v>0</v>
      </c>
      <c r="I20" s="198"/>
      <c r="J20" s="5"/>
      <c r="L20" s="49"/>
    </row>
    <row r="21" spans="1:12" x14ac:dyDescent="0.25">
      <c r="A21" s="5"/>
      <c r="B21" s="123"/>
      <c r="C21" s="123"/>
      <c r="D21" s="124"/>
      <c r="E21" s="75"/>
      <c r="F21" s="75"/>
      <c r="G21" s="76"/>
      <c r="H21" s="75">
        <f t="shared" si="1"/>
        <v>0</v>
      </c>
      <c r="I21" s="198"/>
      <c r="J21" s="5"/>
      <c r="L21" s="49"/>
    </row>
    <row r="22" spans="1:12" x14ac:dyDescent="0.25">
      <c r="A22" s="5"/>
      <c r="B22" s="123"/>
      <c r="C22" s="123"/>
      <c r="D22" s="124"/>
      <c r="E22" s="75"/>
      <c r="F22" s="75"/>
      <c r="G22" s="76"/>
      <c r="H22" s="75">
        <f t="shared" si="1"/>
        <v>0</v>
      </c>
      <c r="I22" s="198"/>
      <c r="J22" s="5"/>
    </row>
    <row r="23" spans="1:12" x14ac:dyDescent="0.25">
      <c r="A23" s="5"/>
      <c r="B23" s="123"/>
      <c r="C23" s="123"/>
      <c r="D23" s="124"/>
      <c r="E23" s="75"/>
      <c r="F23" s="75"/>
      <c r="G23" s="76"/>
      <c r="H23" s="75">
        <f t="shared" si="1"/>
        <v>0</v>
      </c>
      <c r="I23" s="198"/>
      <c r="J23" s="5"/>
    </row>
    <row r="24" spans="1:12" ht="16.5" thickBot="1" x14ac:dyDescent="0.3">
      <c r="A24" s="5"/>
      <c r="B24" s="23"/>
      <c r="C24" s="106"/>
      <c r="D24" s="112"/>
      <c r="E24" s="107"/>
      <c r="F24" s="75"/>
      <c r="G24" s="76"/>
      <c r="H24" s="27">
        <f t="shared" si="1"/>
        <v>0</v>
      </c>
      <c r="I24" s="199"/>
      <c r="J24" s="5"/>
      <c r="L24" s="49"/>
    </row>
    <row r="25" spans="1:12" ht="16.5" thickTop="1" x14ac:dyDescent="0.25">
      <c r="A25" s="5"/>
      <c r="B25" s="268" t="s">
        <v>55</v>
      </c>
      <c r="C25" s="268"/>
      <c r="D25" s="268"/>
      <c r="E25" s="25">
        <f>SUM(E11:E24)</f>
        <v>11632</v>
      </c>
      <c r="F25" s="25">
        <f>SUM(F11:F24)</f>
        <v>11632</v>
      </c>
      <c r="G25" s="5"/>
      <c r="H25" s="5"/>
      <c r="I25" s="5"/>
      <c r="J25" s="5"/>
    </row>
    <row r="26" spans="1:12" x14ac:dyDescent="0.25">
      <c r="A26" s="5"/>
      <c r="B26" s="276" t="s">
        <v>67</v>
      </c>
      <c r="C26" s="276"/>
      <c r="D26" s="276"/>
      <c r="E26" s="276"/>
      <c r="F26" s="51">
        <f>+E25-F25</f>
        <v>0</v>
      </c>
      <c r="G26" s="5"/>
      <c r="H26" s="5"/>
      <c r="I26" s="5"/>
      <c r="J26" s="5"/>
    </row>
  </sheetData>
  <mergeCells count="4">
    <mergeCell ref="B2:I2"/>
    <mergeCell ref="B3:I3"/>
    <mergeCell ref="B25:D25"/>
    <mergeCell ref="B26:E26"/>
  </mergeCells>
  <pageMargins left="0.39370078740157483" right="0.19685039370078741" top="0.39370078740157483" bottom="0.39370078740157483" header="0.31496062992125984" footer="0.31496062992125984"/>
  <pageSetup scale="84" orientation="portrait" horizontalDpi="0" verticalDpi="0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8673-D745-4A0D-ACFF-BF38AB0D38A3}">
  <sheetPr codeName="Hoja37"/>
  <dimension ref="A1:M25"/>
  <sheetViews>
    <sheetView topLeftCell="A13" zoomScaleNormal="100" workbookViewId="0">
      <selection activeCell="E32" sqref="E32"/>
    </sheetView>
  </sheetViews>
  <sheetFormatPr baseColWidth="10" defaultColWidth="11.42578125" defaultRowHeight="15.75" x14ac:dyDescent="0.25"/>
  <cols>
    <col min="1" max="1" width="3.7109375" style="1" customWidth="1"/>
    <col min="2" max="3" width="11.28515625" style="1" customWidth="1"/>
    <col min="4" max="4" width="13.85546875" style="1" customWidth="1"/>
    <col min="5" max="5" width="15" style="1" customWidth="1"/>
    <col min="6" max="6" width="15.42578125" style="1" customWidth="1"/>
    <col min="7" max="7" width="13.85546875" style="1" customWidth="1"/>
    <col min="8" max="8" width="12.5703125" style="1" customWidth="1"/>
    <col min="9" max="9" width="22.5703125" style="1" customWidth="1"/>
    <col min="10" max="10" width="3.7109375" style="1" customWidth="1"/>
    <col min="11" max="12" width="11.42578125" style="1"/>
    <col min="13" max="13" width="12.42578125" style="1" bestFit="1" customWidth="1"/>
    <col min="14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5"/>
    </row>
    <row r="5" spans="1:13" x14ac:dyDescent="0.25">
      <c r="A5" s="5"/>
      <c r="B5" s="7"/>
      <c r="C5" s="8" t="s">
        <v>49</v>
      </c>
      <c r="D5" s="5" t="s">
        <v>329</v>
      </c>
      <c r="E5" s="9"/>
      <c r="F5" s="9"/>
      <c r="G5" s="9"/>
      <c r="H5" s="9"/>
      <c r="I5" s="9"/>
      <c r="J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5"/>
    </row>
    <row r="7" spans="1:13" x14ac:dyDescent="0.25">
      <c r="A7" s="5"/>
      <c r="B7" s="7"/>
      <c r="C7" s="8" t="s">
        <v>48</v>
      </c>
      <c r="D7" s="5" t="s">
        <v>32</v>
      </c>
      <c r="E7" s="9"/>
      <c r="F7" s="9"/>
      <c r="G7" s="9"/>
      <c r="H7" s="9"/>
      <c r="I7" s="9"/>
      <c r="J7" s="5"/>
    </row>
    <row r="8" spans="1:13" x14ac:dyDescent="0.25">
      <c r="A8" s="5"/>
      <c r="B8" s="7"/>
      <c r="C8" s="8" t="s">
        <v>306</v>
      </c>
      <c r="D8" s="5" t="s">
        <v>343</v>
      </c>
      <c r="E8" s="9"/>
      <c r="F8" s="9"/>
      <c r="G8" s="9"/>
      <c r="H8" s="9"/>
      <c r="I8" s="9"/>
      <c r="J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4</v>
      </c>
      <c r="J10" s="6"/>
    </row>
    <row r="11" spans="1:13" ht="32.25" thickBot="1" x14ac:dyDescent="0.3">
      <c r="A11" s="5"/>
      <c r="B11" s="168">
        <v>251249</v>
      </c>
      <c r="C11" s="168">
        <v>2129</v>
      </c>
      <c r="D11" s="169">
        <v>46007</v>
      </c>
      <c r="E11" s="170">
        <v>6170</v>
      </c>
      <c r="F11" s="170">
        <v>6170</v>
      </c>
      <c r="G11" s="171">
        <v>46056</v>
      </c>
      <c r="H11" s="170">
        <f>+E11-F11</f>
        <v>0</v>
      </c>
      <c r="I11" s="234" t="s">
        <v>364</v>
      </c>
      <c r="J11" s="5" t="s">
        <v>136</v>
      </c>
    </row>
    <row r="12" spans="1:13" ht="16.5" thickTop="1" x14ac:dyDescent="0.25">
      <c r="A12" s="5"/>
      <c r="B12" s="165">
        <v>260105</v>
      </c>
      <c r="C12" s="165">
        <v>2220</v>
      </c>
      <c r="D12" s="166">
        <v>46025</v>
      </c>
      <c r="E12" s="108">
        <v>4820</v>
      </c>
      <c r="F12" s="108">
        <v>4820</v>
      </c>
      <c r="G12" s="167">
        <v>46079</v>
      </c>
      <c r="H12" s="108">
        <f>+H11+E12-F12</f>
        <v>0</v>
      </c>
      <c r="I12" s="217" t="s">
        <v>374</v>
      </c>
      <c r="J12" s="5" t="s">
        <v>136</v>
      </c>
    </row>
    <row r="13" spans="1:13" ht="63" x14ac:dyDescent="0.25">
      <c r="A13" s="5"/>
      <c r="B13" s="123">
        <v>2602120</v>
      </c>
      <c r="C13" s="123">
        <v>17</v>
      </c>
      <c r="D13" s="124">
        <v>46080</v>
      </c>
      <c r="E13" s="75">
        <v>7316</v>
      </c>
      <c r="F13" s="75">
        <v>7316</v>
      </c>
      <c r="G13" s="76">
        <v>46108</v>
      </c>
      <c r="H13" s="75">
        <f t="shared" ref="H13:H23" si="0">+H12+E13-F13</f>
        <v>0</v>
      </c>
      <c r="I13" s="233" t="s">
        <v>387</v>
      </c>
      <c r="J13" s="5"/>
      <c r="L13" s="49"/>
    </row>
    <row r="14" spans="1:13" ht="63" x14ac:dyDescent="0.25">
      <c r="A14" s="5"/>
      <c r="B14" s="123">
        <v>2603</v>
      </c>
      <c r="C14" s="123">
        <v>155</v>
      </c>
      <c r="D14" s="124">
        <v>46108</v>
      </c>
      <c r="E14" s="75">
        <v>7230</v>
      </c>
      <c r="F14" s="75">
        <v>7230</v>
      </c>
      <c r="G14" s="76">
        <v>46147</v>
      </c>
      <c r="H14" s="75">
        <f t="shared" si="0"/>
        <v>0</v>
      </c>
      <c r="I14" s="233" t="s">
        <v>414</v>
      </c>
      <c r="J14" s="5" t="s">
        <v>394</v>
      </c>
      <c r="M14" s="49"/>
    </row>
    <row r="15" spans="1:13" ht="63" x14ac:dyDescent="0.25">
      <c r="A15" s="5"/>
      <c r="B15" s="123"/>
      <c r="C15" s="123">
        <v>287</v>
      </c>
      <c r="D15" s="124">
        <v>46148</v>
      </c>
      <c r="E15" s="75">
        <v>9096</v>
      </c>
      <c r="F15" s="75">
        <v>9096</v>
      </c>
      <c r="G15" s="76">
        <v>46199</v>
      </c>
      <c r="H15" s="75">
        <f t="shared" si="0"/>
        <v>0</v>
      </c>
      <c r="I15" s="233" t="s">
        <v>416</v>
      </c>
      <c r="J15" s="5"/>
    </row>
    <row r="16" spans="1:13" ht="63" x14ac:dyDescent="0.25">
      <c r="A16" s="5"/>
      <c r="B16" s="123"/>
      <c r="C16" s="123">
        <v>447</v>
      </c>
      <c r="D16" s="124">
        <v>46200</v>
      </c>
      <c r="E16" s="75">
        <v>9232</v>
      </c>
      <c r="F16" s="75">
        <v>9232</v>
      </c>
      <c r="G16" s="76">
        <v>46248</v>
      </c>
      <c r="H16" s="75">
        <f t="shared" si="0"/>
        <v>0</v>
      </c>
      <c r="I16" s="233" t="s">
        <v>435</v>
      </c>
      <c r="J16" s="5"/>
      <c r="L16" s="49"/>
    </row>
    <row r="17" spans="1:12" x14ac:dyDescent="0.25">
      <c r="A17" s="5"/>
      <c r="B17" s="123"/>
      <c r="C17" s="123"/>
      <c r="D17" s="124"/>
      <c r="E17" s="75"/>
      <c r="F17" s="75"/>
      <c r="G17" s="76"/>
      <c r="H17" s="75">
        <f t="shared" si="0"/>
        <v>0</v>
      </c>
      <c r="I17" s="198"/>
      <c r="J17" s="5"/>
      <c r="L17" s="49"/>
    </row>
    <row r="18" spans="1:12" x14ac:dyDescent="0.25">
      <c r="A18" s="5"/>
      <c r="B18" s="123"/>
      <c r="C18" s="123"/>
      <c r="D18" s="124"/>
      <c r="E18" s="75"/>
      <c r="F18" s="75"/>
      <c r="G18" s="76"/>
      <c r="H18" s="75">
        <f t="shared" si="0"/>
        <v>0</v>
      </c>
      <c r="I18" s="198"/>
      <c r="J18" s="5"/>
      <c r="L18" s="49"/>
    </row>
    <row r="19" spans="1:12" x14ac:dyDescent="0.25">
      <c r="A19" s="5"/>
      <c r="B19" s="123"/>
      <c r="C19" s="123"/>
      <c r="D19" s="124"/>
      <c r="E19" s="75"/>
      <c r="F19" s="75"/>
      <c r="G19" s="76"/>
      <c r="H19" s="75">
        <f t="shared" si="0"/>
        <v>0</v>
      </c>
      <c r="I19" s="198"/>
      <c r="J19" s="5"/>
      <c r="L19" s="49"/>
    </row>
    <row r="20" spans="1:12" x14ac:dyDescent="0.25">
      <c r="A20" s="5"/>
      <c r="B20" s="123"/>
      <c r="C20" s="123"/>
      <c r="D20" s="124"/>
      <c r="E20" s="75"/>
      <c r="F20" s="75"/>
      <c r="G20" s="76"/>
      <c r="H20" s="75">
        <f t="shared" si="0"/>
        <v>0</v>
      </c>
      <c r="I20" s="198"/>
      <c r="J20" s="5"/>
      <c r="L20" s="49"/>
    </row>
    <row r="21" spans="1:12" x14ac:dyDescent="0.25">
      <c r="A21" s="5"/>
      <c r="B21" s="123"/>
      <c r="C21" s="123"/>
      <c r="D21" s="124"/>
      <c r="E21" s="75"/>
      <c r="F21" s="75"/>
      <c r="G21" s="76"/>
      <c r="H21" s="75">
        <f t="shared" si="0"/>
        <v>0</v>
      </c>
      <c r="I21" s="198"/>
      <c r="J21" s="5"/>
    </row>
    <row r="22" spans="1:12" x14ac:dyDescent="0.25">
      <c r="A22" s="5"/>
      <c r="B22" s="123"/>
      <c r="C22" s="123"/>
      <c r="D22" s="124"/>
      <c r="E22" s="75"/>
      <c r="F22" s="75"/>
      <c r="G22" s="76"/>
      <c r="H22" s="75">
        <f t="shared" si="0"/>
        <v>0</v>
      </c>
      <c r="I22" s="198"/>
      <c r="J22" s="5"/>
    </row>
    <row r="23" spans="1:12" ht="16.5" thickBot="1" x14ac:dyDescent="0.3">
      <c r="A23" s="5"/>
      <c r="B23" s="23"/>
      <c r="C23" s="106"/>
      <c r="D23" s="112"/>
      <c r="E23" s="107"/>
      <c r="F23" s="75"/>
      <c r="G23" s="76"/>
      <c r="H23" s="27">
        <f t="shared" si="0"/>
        <v>0</v>
      </c>
      <c r="I23" s="199"/>
      <c r="J23" s="5"/>
      <c r="L23" s="49"/>
    </row>
    <row r="24" spans="1:12" ht="16.5" thickTop="1" x14ac:dyDescent="0.25">
      <c r="A24" s="5"/>
      <c r="B24" s="268" t="s">
        <v>55</v>
      </c>
      <c r="C24" s="268"/>
      <c r="D24" s="268"/>
      <c r="E24" s="25">
        <f>SUM(E11:E23)</f>
        <v>43864</v>
      </c>
      <c r="F24" s="25">
        <f>SUM(F11:F23)</f>
        <v>43864</v>
      </c>
      <c r="G24" s="5"/>
      <c r="H24" s="5"/>
      <c r="I24" s="5"/>
      <c r="J24" s="5"/>
    </row>
    <row r="25" spans="1:12" x14ac:dyDescent="0.25">
      <c r="A25" s="5"/>
      <c r="B25" s="276" t="s">
        <v>67</v>
      </c>
      <c r="C25" s="276"/>
      <c r="D25" s="276"/>
      <c r="E25" s="276"/>
      <c r="F25" s="51">
        <f>+E24-F24</f>
        <v>0</v>
      </c>
      <c r="G25" s="5"/>
      <c r="H25" s="5"/>
      <c r="I25" s="5"/>
      <c r="J25" s="5"/>
    </row>
  </sheetData>
  <mergeCells count="4">
    <mergeCell ref="B2:I2"/>
    <mergeCell ref="B3:I3"/>
    <mergeCell ref="B24:D24"/>
    <mergeCell ref="B25:E25"/>
  </mergeCells>
  <pageMargins left="0.39370078740157483" right="0.19685039370078741" top="0.39370078740157483" bottom="0.39370078740157483" header="0.31496062992125984" footer="0.31496062992125984"/>
  <pageSetup scale="84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8570-7251-4B13-B6A3-BCD1528E6240}">
  <sheetPr codeName="Hoja38">
    <pageSetUpPr fitToPage="1"/>
  </sheetPr>
  <dimension ref="A1:AK57"/>
  <sheetViews>
    <sheetView topLeftCell="A4" zoomScale="90" zoomScaleNormal="90" workbookViewId="0">
      <pane xSplit="3" ySplit="4" topLeftCell="AG37" activePane="bottomRight" state="frozen"/>
      <selection activeCell="F71" sqref="F71"/>
      <selection pane="topRight" activeCell="F71" sqref="F71"/>
      <selection pane="bottomLeft" activeCell="F71" sqref="F71"/>
      <selection pane="bottomRight" activeCell="AM44" sqref="AM44"/>
    </sheetView>
  </sheetViews>
  <sheetFormatPr baseColWidth="10" defaultColWidth="11.42578125" defaultRowHeight="15.75" x14ac:dyDescent="0.25"/>
  <cols>
    <col min="1" max="1" width="3.5703125" style="2" customWidth="1"/>
    <col min="2" max="2" width="24.42578125" style="1" customWidth="1"/>
    <col min="3" max="3" width="13.140625" style="1" customWidth="1"/>
    <col min="4" max="29" width="15.140625" style="1" hidden="1" customWidth="1"/>
    <col min="30" max="32" width="15.28515625" style="1" hidden="1" customWidth="1"/>
    <col min="33" max="33" width="15.28515625" style="1" customWidth="1"/>
    <col min="34" max="34" width="15.140625" style="1" customWidth="1"/>
    <col min="35" max="35" width="18.140625" style="1" customWidth="1"/>
    <col min="36" max="36" width="11.42578125" style="1"/>
    <col min="37" max="37" width="12.42578125" style="1" bestFit="1" customWidth="1"/>
    <col min="38" max="16384" width="11.42578125" style="1"/>
  </cols>
  <sheetData>
    <row r="1" spans="1:35" ht="15" customHeight="1" x14ac:dyDescent="0.25">
      <c r="B1" s="30"/>
      <c r="C1" s="31"/>
    </row>
    <row r="2" spans="1:35" ht="15" customHeight="1" x14ac:dyDescent="0.25">
      <c r="B2" s="30"/>
      <c r="C2" s="31"/>
    </row>
    <row r="3" spans="1:35" ht="18" x14ac:dyDescent="0.25">
      <c r="A3" s="90" t="s">
        <v>68</v>
      </c>
      <c r="B3" s="90"/>
      <c r="C3" s="90"/>
    </row>
    <row r="4" spans="1:35" ht="18" x14ac:dyDescent="0.25">
      <c r="A4" s="90" t="s">
        <v>50</v>
      </c>
      <c r="B4" s="90"/>
      <c r="C4" s="90"/>
    </row>
    <row r="5" spans="1:35" ht="20.25" customHeight="1" x14ac:dyDescent="0.25">
      <c r="A5" s="111" t="s">
        <v>321</v>
      </c>
      <c r="B5" s="31"/>
      <c r="C5" s="31"/>
    </row>
    <row r="6" spans="1:35" ht="20.25" customHeight="1" x14ac:dyDescent="0.25">
      <c r="A6" s="270" t="s">
        <v>64</v>
      </c>
      <c r="B6" s="270" t="s">
        <v>1</v>
      </c>
      <c r="C6" s="270" t="s">
        <v>2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9"/>
      <c r="AD6" s="88"/>
      <c r="AE6" s="88"/>
      <c r="AF6" s="88"/>
      <c r="AG6" s="88"/>
      <c r="AH6" s="89"/>
      <c r="AI6" s="270" t="s">
        <v>80</v>
      </c>
    </row>
    <row r="7" spans="1:35" s="32" customFormat="1" ht="17.25" customHeight="1" x14ac:dyDescent="0.25">
      <c r="A7" s="270"/>
      <c r="B7" s="270"/>
      <c r="C7" s="270"/>
      <c r="D7" s="62">
        <v>1</v>
      </c>
      <c r="E7" s="62">
        <v>2</v>
      </c>
      <c r="F7" s="62">
        <v>3</v>
      </c>
      <c r="G7" s="62">
        <v>4</v>
      </c>
      <c r="H7" s="99" t="s">
        <v>81</v>
      </c>
      <c r="I7" s="62">
        <v>6</v>
      </c>
      <c r="J7" s="62">
        <v>7</v>
      </c>
      <c r="K7" s="62">
        <v>8</v>
      </c>
      <c r="L7" s="62">
        <v>9</v>
      </c>
      <c r="M7" s="62">
        <v>10</v>
      </c>
      <c r="N7" s="62">
        <v>11</v>
      </c>
      <c r="O7" s="99" t="s">
        <v>82</v>
      </c>
      <c r="P7" s="62">
        <v>13</v>
      </c>
      <c r="Q7" s="62">
        <v>14</v>
      </c>
      <c r="R7" s="62">
        <v>15</v>
      </c>
      <c r="S7" s="62">
        <v>16</v>
      </c>
      <c r="T7" s="62">
        <v>17</v>
      </c>
      <c r="U7" s="62">
        <v>18</v>
      </c>
      <c r="V7" s="99" t="s">
        <v>83</v>
      </c>
      <c r="W7" s="62">
        <v>20</v>
      </c>
      <c r="X7" s="62">
        <v>21</v>
      </c>
      <c r="Y7" s="62">
        <v>22</v>
      </c>
      <c r="Z7" s="62">
        <v>23</v>
      </c>
      <c r="AA7" s="62">
        <v>24</v>
      </c>
      <c r="AB7" s="62">
        <v>25</v>
      </c>
      <c r="AC7" s="99" t="s">
        <v>84</v>
      </c>
      <c r="AD7" s="62">
        <v>27</v>
      </c>
      <c r="AE7" s="62">
        <v>28</v>
      </c>
      <c r="AF7" s="62">
        <v>29</v>
      </c>
      <c r="AG7" s="62">
        <v>31</v>
      </c>
      <c r="AH7" s="99" t="s">
        <v>84</v>
      </c>
      <c r="AI7" s="270"/>
    </row>
    <row r="8" spans="1:35" s="32" customFormat="1" ht="16.5" customHeight="1" x14ac:dyDescent="0.25">
      <c r="A8" s="56">
        <v>1</v>
      </c>
      <c r="B8" s="57" t="s">
        <v>25</v>
      </c>
      <c r="C8" s="54" t="s">
        <v>13</v>
      </c>
      <c r="D8" s="63"/>
      <c r="E8" s="63"/>
      <c r="F8" s="63"/>
      <c r="G8" s="63"/>
      <c r="H8" s="66">
        <f t="shared" ref="H8:H50" si="0">SUM(D8:G8)</f>
        <v>0</v>
      </c>
      <c r="I8" s="63"/>
      <c r="J8" s="63"/>
      <c r="K8" s="63"/>
      <c r="L8" s="63"/>
      <c r="M8" s="63"/>
      <c r="N8" s="63"/>
      <c r="O8" s="66">
        <f>SUM(I8:N8)</f>
        <v>0</v>
      </c>
      <c r="P8" s="63"/>
      <c r="Q8" s="63"/>
      <c r="R8" s="63"/>
      <c r="S8" s="63"/>
      <c r="T8" s="63"/>
      <c r="U8" s="63"/>
      <c r="V8" s="66">
        <f>SUM(P8:U8)</f>
        <v>0</v>
      </c>
      <c r="W8" s="63"/>
      <c r="X8" s="63"/>
      <c r="Y8" s="63"/>
      <c r="Z8" s="63"/>
      <c r="AA8" s="63"/>
      <c r="AB8" s="63"/>
      <c r="AC8" s="66">
        <f t="shared" ref="AC8:AC50" si="1">SUM(W8:AB8)</f>
        <v>0</v>
      </c>
      <c r="AD8" s="63"/>
      <c r="AE8" s="63"/>
      <c r="AF8" s="63"/>
      <c r="AG8" s="63"/>
      <c r="AH8" s="66">
        <f t="shared" ref="AH8:AH48" si="2">SUM(AD8:AG8)</f>
        <v>0</v>
      </c>
      <c r="AI8" s="68">
        <f t="shared" ref="AI8:AI21" si="3">+H8+O8+V8+AH8</f>
        <v>0</v>
      </c>
    </row>
    <row r="9" spans="1:35" ht="16.5" customHeight="1" x14ac:dyDescent="0.25">
      <c r="A9" s="56">
        <f>1+A8</f>
        <v>2</v>
      </c>
      <c r="B9" s="57" t="s">
        <v>11</v>
      </c>
      <c r="C9" s="54" t="s">
        <v>6</v>
      </c>
      <c r="D9" s="64"/>
      <c r="E9" s="64"/>
      <c r="F9" s="64"/>
      <c r="G9" s="64"/>
      <c r="H9" s="66">
        <f t="shared" si="0"/>
        <v>0</v>
      </c>
      <c r="I9" s="64"/>
      <c r="J9" s="64"/>
      <c r="K9" s="64"/>
      <c r="L9" s="64"/>
      <c r="M9" s="64"/>
      <c r="N9" s="64"/>
      <c r="O9" s="66">
        <f t="shared" ref="O9:O50" si="4">SUM(I9:N9)</f>
        <v>0</v>
      </c>
      <c r="P9" s="64"/>
      <c r="Q9" s="64"/>
      <c r="R9" s="64"/>
      <c r="S9" s="64"/>
      <c r="T9" s="64"/>
      <c r="U9" s="64"/>
      <c r="V9" s="66">
        <f>SUM(P9:U9)</f>
        <v>0</v>
      </c>
      <c r="W9" s="64"/>
      <c r="X9" s="64"/>
      <c r="Y9" s="64"/>
      <c r="Z9" s="64"/>
      <c r="AA9" s="64"/>
      <c r="AB9" s="64"/>
      <c r="AC9" s="66">
        <f t="shared" si="1"/>
        <v>0</v>
      </c>
      <c r="AD9" s="64"/>
      <c r="AE9" s="64"/>
      <c r="AF9" s="64"/>
      <c r="AG9" s="64"/>
      <c r="AH9" s="66">
        <f t="shared" si="2"/>
        <v>0</v>
      </c>
      <c r="AI9" s="68">
        <f t="shared" si="3"/>
        <v>0</v>
      </c>
    </row>
    <row r="10" spans="1:35" ht="16.5" customHeight="1" x14ac:dyDescent="0.25">
      <c r="A10" s="56">
        <f t="shared" ref="A10:A21" si="5">1+A9</f>
        <v>3</v>
      </c>
      <c r="B10" s="57" t="s">
        <v>70</v>
      </c>
      <c r="C10" s="54" t="s">
        <v>13</v>
      </c>
      <c r="D10" s="67"/>
      <c r="E10" s="67"/>
      <c r="F10" s="67"/>
      <c r="G10" s="67"/>
      <c r="H10" s="66">
        <f t="shared" si="0"/>
        <v>0</v>
      </c>
      <c r="I10" s="67"/>
      <c r="J10" s="67"/>
      <c r="K10" s="67"/>
      <c r="L10" s="67"/>
      <c r="M10" s="67"/>
      <c r="N10" s="67"/>
      <c r="O10" s="66">
        <f t="shared" si="4"/>
        <v>0</v>
      </c>
      <c r="P10" s="67"/>
      <c r="Q10" s="67"/>
      <c r="R10" s="67"/>
      <c r="S10" s="67"/>
      <c r="T10" s="67"/>
      <c r="U10" s="67"/>
      <c r="V10" s="66">
        <f t="shared" ref="V10:V48" si="6">SUM(P10:U10)</f>
        <v>0</v>
      </c>
      <c r="W10" s="67"/>
      <c r="X10" s="67"/>
      <c r="Y10" s="67"/>
      <c r="Z10" s="67"/>
      <c r="AA10" s="67"/>
      <c r="AB10" s="67"/>
      <c r="AC10" s="66">
        <f t="shared" si="1"/>
        <v>0</v>
      </c>
      <c r="AD10" s="67"/>
      <c r="AE10" s="67"/>
      <c r="AF10" s="67"/>
      <c r="AG10" s="67"/>
      <c r="AH10" s="66">
        <f t="shared" si="2"/>
        <v>0</v>
      </c>
      <c r="AI10" s="68">
        <f t="shared" si="3"/>
        <v>0</v>
      </c>
    </row>
    <row r="11" spans="1:35" ht="16.5" customHeight="1" x14ac:dyDescent="0.25">
      <c r="A11" s="56">
        <f t="shared" si="5"/>
        <v>4</v>
      </c>
      <c r="B11" s="57" t="s">
        <v>23</v>
      </c>
      <c r="C11" s="54" t="s">
        <v>9</v>
      </c>
      <c r="D11" s="67"/>
      <c r="E11" s="67"/>
      <c r="F11" s="67"/>
      <c r="G11" s="67"/>
      <c r="H11" s="66">
        <f t="shared" si="0"/>
        <v>0</v>
      </c>
      <c r="I11" s="67"/>
      <c r="J11" s="67"/>
      <c r="K11" s="67"/>
      <c r="L11" s="67"/>
      <c r="M11" s="67"/>
      <c r="N11" s="67"/>
      <c r="O11" s="66">
        <f t="shared" si="4"/>
        <v>0</v>
      </c>
      <c r="P11" s="67"/>
      <c r="Q11" s="67"/>
      <c r="R11" s="67"/>
      <c r="S11" s="67"/>
      <c r="T11" s="67"/>
      <c r="U11" s="67"/>
      <c r="V11" s="66">
        <f t="shared" si="6"/>
        <v>0</v>
      </c>
      <c r="W11" s="67"/>
      <c r="X11" s="67"/>
      <c r="Y11" s="67"/>
      <c r="Z11" s="67"/>
      <c r="AA11" s="67"/>
      <c r="AB11" s="67"/>
      <c r="AC11" s="66">
        <f t="shared" si="1"/>
        <v>0</v>
      </c>
      <c r="AD11" s="67"/>
      <c r="AE11" s="67"/>
      <c r="AF11" s="67"/>
      <c r="AG11" s="67"/>
      <c r="AH11" s="66">
        <f t="shared" si="2"/>
        <v>0</v>
      </c>
      <c r="AI11" s="68">
        <f t="shared" si="3"/>
        <v>0</v>
      </c>
    </row>
    <row r="12" spans="1:35" ht="16.5" customHeight="1" x14ac:dyDescent="0.25">
      <c r="A12" s="56">
        <f t="shared" si="5"/>
        <v>5</v>
      </c>
      <c r="B12" s="57" t="s">
        <v>24</v>
      </c>
      <c r="C12" s="54" t="s">
        <v>9</v>
      </c>
      <c r="D12" s="67"/>
      <c r="E12" s="67"/>
      <c r="F12" s="67"/>
      <c r="G12" s="67"/>
      <c r="H12" s="66">
        <f t="shared" si="0"/>
        <v>0</v>
      </c>
      <c r="I12" s="67"/>
      <c r="J12" s="67"/>
      <c r="K12" s="67"/>
      <c r="L12" s="67"/>
      <c r="M12" s="67"/>
      <c r="N12" s="67"/>
      <c r="O12" s="66">
        <f t="shared" si="4"/>
        <v>0</v>
      </c>
      <c r="P12" s="67"/>
      <c r="Q12" s="67"/>
      <c r="R12" s="67"/>
      <c r="S12" s="67"/>
      <c r="T12" s="67"/>
      <c r="U12" s="67"/>
      <c r="V12" s="66">
        <f t="shared" si="6"/>
        <v>0</v>
      </c>
      <c r="W12" s="67"/>
      <c r="X12" s="67"/>
      <c r="Y12" s="67"/>
      <c r="Z12" s="67"/>
      <c r="AA12" s="67"/>
      <c r="AB12" s="67"/>
      <c r="AC12" s="66">
        <f t="shared" si="1"/>
        <v>0</v>
      </c>
      <c r="AD12" s="67"/>
      <c r="AE12" s="67"/>
      <c r="AF12" s="67"/>
      <c r="AG12" s="67"/>
      <c r="AH12" s="66">
        <f t="shared" si="2"/>
        <v>0</v>
      </c>
      <c r="AI12" s="68">
        <f t="shared" si="3"/>
        <v>0</v>
      </c>
    </row>
    <row r="13" spans="1:35" ht="16.5" customHeight="1" x14ac:dyDescent="0.25">
      <c r="A13" s="56">
        <f t="shared" si="5"/>
        <v>6</v>
      </c>
      <c r="B13" s="57" t="s">
        <v>12</v>
      </c>
      <c r="C13" s="54" t="s">
        <v>13</v>
      </c>
      <c r="D13" s="67"/>
      <c r="E13" s="67"/>
      <c r="F13" s="67"/>
      <c r="G13" s="67"/>
      <c r="H13" s="66">
        <f t="shared" si="0"/>
        <v>0</v>
      </c>
      <c r="I13" s="67"/>
      <c r="J13" s="67"/>
      <c r="K13" s="67"/>
      <c r="L13" s="67"/>
      <c r="M13" s="67"/>
      <c r="N13" s="67"/>
      <c r="O13" s="66">
        <f t="shared" si="4"/>
        <v>0</v>
      </c>
      <c r="P13" s="67"/>
      <c r="Q13" s="67"/>
      <c r="R13" s="67"/>
      <c r="S13" s="67"/>
      <c r="T13" s="67"/>
      <c r="U13" s="67"/>
      <c r="V13" s="66">
        <f t="shared" si="6"/>
        <v>0</v>
      </c>
      <c r="W13" s="67"/>
      <c r="X13" s="67"/>
      <c r="Y13" s="67"/>
      <c r="Z13" s="67"/>
      <c r="AA13" s="67"/>
      <c r="AB13" s="67"/>
      <c r="AC13" s="66">
        <f t="shared" si="1"/>
        <v>0</v>
      </c>
      <c r="AD13" s="67"/>
      <c r="AE13" s="67"/>
      <c r="AF13" s="67"/>
      <c r="AG13" s="67"/>
      <c r="AH13" s="66">
        <f t="shared" si="2"/>
        <v>0</v>
      </c>
      <c r="AI13" s="68">
        <f t="shared" si="3"/>
        <v>0</v>
      </c>
    </row>
    <row r="14" spans="1:35" ht="16.5" customHeight="1" x14ac:dyDescent="0.25">
      <c r="A14" s="56">
        <f t="shared" si="5"/>
        <v>7</v>
      </c>
      <c r="B14" s="55" t="s">
        <v>5</v>
      </c>
      <c r="C14" s="54" t="s">
        <v>6</v>
      </c>
      <c r="D14" s="67"/>
      <c r="E14" s="67"/>
      <c r="F14" s="67"/>
      <c r="G14" s="67"/>
      <c r="H14" s="66">
        <f t="shared" si="0"/>
        <v>0</v>
      </c>
      <c r="I14" s="67"/>
      <c r="J14" s="67"/>
      <c r="K14" s="67"/>
      <c r="L14" s="67"/>
      <c r="M14" s="67"/>
      <c r="N14" s="67"/>
      <c r="O14" s="66">
        <f t="shared" si="4"/>
        <v>0</v>
      </c>
      <c r="P14" s="67"/>
      <c r="Q14" s="67"/>
      <c r="R14" s="67"/>
      <c r="S14" s="67"/>
      <c r="T14" s="67"/>
      <c r="U14" s="67"/>
      <c r="V14" s="66">
        <f t="shared" si="6"/>
        <v>0</v>
      </c>
      <c r="W14" s="67"/>
      <c r="X14" s="67"/>
      <c r="Y14" s="67"/>
      <c r="Z14" s="67"/>
      <c r="AA14" s="67"/>
      <c r="AB14" s="67"/>
      <c r="AC14" s="66">
        <f t="shared" si="1"/>
        <v>0</v>
      </c>
      <c r="AD14" s="67"/>
      <c r="AE14" s="67"/>
      <c r="AF14" s="67"/>
      <c r="AG14" s="67"/>
      <c r="AH14" s="66">
        <f t="shared" si="2"/>
        <v>0</v>
      </c>
      <c r="AI14" s="68">
        <f t="shared" si="3"/>
        <v>0</v>
      </c>
    </row>
    <row r="15" spans="1:35" ht="16.5" customHeight="1" x14ac:dyDescent="0.25">
      <c r="A15" s="56">
        <f t="shared" si="5"/>
        <v>8</v>
      </c>
      <c r="B15" s="57" t="s">
        <v>21</v>
      </c>
      <c r="C15" s="54" t="s">
        <v>16</v>
      </c>
      <c r="D15" s="67"/>
      <c r="E15" s="67"/>
      <c r="F15" s="67"/>
      <c r="G15" s="67"/>
      <c r="H15" s="66">
        <f t="shared" si="0"/>
        <v>0</v>
      </c>
      <c r="I15" s="67"/>
      <c r="J15" s="67"/>
      <c r="K15" s="67"/>
      <c r="L15" s="67"/>
      <c r="M15" s="67"/>
      <c r="N15" s="67"/>
      <c r="O15" s="66">
        <f t="shared" si="4"/>
        <v>0</v>
      </c>
      <c r="P15" s="67"/>
      <c r="Q15" s="67"/>
      <c r="R15" s="67"/>
      <c r="S15" s="67"/>
      <c r="T15" s="67"/>
      <c r="U15" s="67"/>
      <c r="V15" s="66">
        <f t="shared" si="6"/>
        <v>0</v>
      </c>
      <c r="W15" s="67"/>
      <c r="X15" s="67"/>
      <c r="Y15" s="67"/>
      <c r="Z15" s="67"/>
      <c r="AA15" s="67"/>
      <c r="AB15" s="67"/>
      <c r="AC15" s="66">
        <f t="shared" si="1"/>
        <v>0</v>
      </c>
      <c r="AD15" s="67"/>
      <c r="AE15" s="67"/>
      <c r="AF15" s="67"/>
      <c r="AG15" s="67"/>
      <c r="AH15" s="66">
        <f t="shared" si="2"/>
        <v>0</v>
      </c>
      <c r="AI15" s="68">
        <f t="shared" si="3"/>
        <v>0</v>
      </c>
    </row>
    <row r="16" spans="1:35" ht="16.5" customHeight="1" x14ac:dyDescent="0.25">
      <c r="A16" s="56">
        <f t="shared" si="5"/>
        <v>9</v>
      </c>
      <c r="B16" s="57" t="s">
        <v>15</v>
      </c>
      <c r="C16" s="54" t="s">
        <v>16</v>
      </c>
      <c r="D16" s="67"/>
      <c r="E16" s="67"/>
      <c r="F16" s="67"/>
      <c r="G16" s="67"/>
      <c r="H16" s="66">
        <f t="shared" si="0"/>
        <v>0</v>
      </c>
      <c r="I16" s="67"/>
      <c r="J16" s="67"/>
      <c r="K16" s="67"/>
      <c r="L16" s="67"/>
      <c r="M16" s="67"/>
      <c r="N16" s="67"/>
      <c r="O16" s="66">
        <f t="shared" si="4"/>
        <v>0</v>
      </c>
      <c r="P16" s="67"/>
      <c r="Q16" s="67"/>
      <c r="R16" s="67"/>
      <c r="S16" s="67"/>
      <c r="T16" s="67"/>
      <c r="U16" s="67"/>
      <c r="V16" s="66">
        <f t="shared" si="6"/>
        <v>0</v>
      </c>
      <c r="W16" s="67"/>
      <c r="X16" s="67"/>
      <c r="Y16" s="67"/>
      <c r="Z16" s="67"/>
      <c r="AA16" s="67"/>
      <c r="AB16" s="67"/>
      <c r="AC16" s="66">
        <f t="shared" si="1"/>
        <v>0</v>
      </c>
      <c r="AD16" s="67"/>
      <c r="AE16" s="67"/>
      <c r="AF16" s="67"/>
      <c r="AG16" s="67"/>
      <c r="AH16" s="66">
        <f t="shared" si="2"/>
        <v>0</v>
      </c>
      <c r="AI16" s="68">
        <f t="shared" si="3"/>
        <v>0</v>
      </c>
    </row>
    <row r="17" spans="1:37" ht="16.5" customHeight="1" x14ac:dyDescent="0.25">
      <c r="A17" s="56">
        <f t="shared" si="5"/>
        <v>10</v>
      </c>
      <c r="B17" s="57" t="s">
        <v>27</v>
      </c>
      <c r="C17" s="54" t="s">
        <v>26</v>
      </c>
      <c r="D17" s="67"/>
      <c r="E17" s="67"/>
      <c r="F17" s="67"/>
      <c r="G17" s="67"/>
      <c r="H17" s="66">
        <f t="shared" si="0"/>
        <v>0</v>
      </c>
      <c r="I17" s="67"/>
      <c r="J17" s="67"/>
      <c r="K17" s="67"/>
      <c r="L17" s="67"/>
      <c r="M17" s="67"/>
      <c r="N17" s="67"/>
      <c r="O17" s="66">
        <f t="shared" si="4"/>
        <v>0</v>
      </c>
      <c r="P17" s="67"/>
      <c r="Q17" s="67"/>
      <c r="R17" s="67"/>
      <c r="S17" s="67"/>
      <c r="T17" s="67"/>
      <c r="U17" s="67"/>
      <c r="V17" s="66">
        <f t="shared" si="6"/>
        <v>0</v>
      </c>
      <c r="W17" s="67"/>
      <c r="X17" s="67"/>
      <c r="Y17" s="67"/>
      <c r="Z17" s="67"/>
      <c r="AA17" s="67"/>
      <c r="AB17" s="67"/>
      <c r="AC17" s="66">
        <f t="shared" si="1"/>
        <v>0</v>
      </c>
      <c r="AD17" s="67"/>
      <c r="AE17" s="67"/>
      <c r="AF17" s="67"/>
      <c r="AG17" s="67"/>
      <c r="AH17" s="66">
        <f t="shared" si="2"/>
        <v>0</v>
      </c>
      <c r="AI17" s="68">
        <f t="shared" si="3"/>
        <v>0</v>
      </c>
    </row>
    <row r="18" spans="1:37" ht="16.5" customHeight="1" x14ac:dyDescent="0.25">
      <c r="A18" s="56">
        <f t="shared" si="5"/>
        <v>11</v>
      </c>
      <c r="B18" s="57" t="s">
        <v>8</v>
      </c>
      <c r="C18" s="54" t="s">
        <v>9</v>
      </c>
      <c r="D18" s="67"/>
      <c r="E18" s="67"/>
      <c r="F18" s="67"/>
      <c r="G18" s="67"/>
      <c r="H18" s="66">
        <f t="shared" si="0"/>
        <v>0</v>
      </c>
      <c r="I18" s="67"/>
      <c r="J18" s="67"/>
      <c r="K18" s="67"/>
      <c r="L18" s="67"/>
      <c r="M18" s="67"/>
      <c r="N18" s="67"/>
      <c r="O18" s="66">
        <f t="shared" si="4"/>
        <v>0</v>
      </c>
      <c r="P18" s="67"/>
      <c r="Q18" s="67"/>
      <c r="R18" s="67"/>
      <c r="S18" s="67"/>
      <c r="T18" s="67"/>
      <c r="U18" s="67"/>
      <c r="V18" s="66">
        <f t="shared" si="6"/>
        <v>0</v>
      </c>
      <c r="W18" s="67"/>
      <c r="X18" s="67"/>
      <c r="Y18" s="67"/>
      <c r="Z18" s="67"/>
      <c r="AA18" s="67"/>
      <c r="AB18" s="67"/>
      <c r="AC18" s="66">
        <f t="shared" si="1"/>
        <v>0</v>
      </c>
      <c r="AD18" s="67"/>
      <c r="AE18" s="67"/>
      <c r="AF18" s="67"/>
      <c r="AG18" s="67"/>
      <c r="AH18" s="66">
        <f t="shared" si="2"/>
        <v>0</v>
      </c>
      <c r="AI18" s="68">
        <f t="shared" si="3"/>
        <v>0</v>
      </c>
    </row>
    <row r="19" spans="1:37" ht="16.5" customHeight="1" x14ac:dyDescent="0.25">
      <c r="A19" s="56">
        <f t="shared" si="5"/>
        <v>12</v>
      </c>
      <c r="B19" s="57" t="s">
        <v>28</v>
      </c>
      <c r="C19" s="54" t="s">
        <v>29</v>
      </c>
      <c r="D19" s="67"/>
      <c r="E19" s="67"/>
      <c r="F19" s="67"/>
      <c r="G19" s="67"/>
      <c r="H19" s="66">
        <f t="shared" si="0"/>
        <v>0</v>
      </c>
      <c r="I19" s="67"/>
      <c r="J19" s="67"/>
      <c r="K19" s="67"/>
      <c r="L19" s="67"/>
      <c r="M19" s="67"/>
      <c r="N19" s="67"/>
      <c r="O19" s="66">
        <f t="shared" si="4"/>
        <v>0</v>
      </c>
      <c r="P19" s="67"/>
      <c r="Q19" s="67"/>
      <c r="R19" s="67"/>
      <c r="S19" s="67"/>
      <c r="T19" s="67"/>
      <c r="U19" s="67"/>
      <c r="V19" s="66">
        <f t="shared" si="6"/>
        <v>0</v>
      </c>
      <c r="W19" s="67"/>
      <c r="X19" s="67"/>
      <c r="Y19" s="67"/>
      <c r="Z19" s="67"/>
      <c r="AA19" s="67"/>
      <c r="AB19" s="67"/>
      <c r="AC19" s="66">
        <f t="shared" si="1"/>
        <v>0</v>
      </c>
      <c r="AD19" s="67"/>
      <c r="AE19" s="67"/>
      <c r="AF19" s="67"/>
      <c r="AG19" s="67"/>
      <c r="AH19" s="66">
        <f t="shared" si="2"/>
        <v>0</v>
      </c>
      <c r="AI19" s="68">
        <f t="shared" si="3"/>
        <v>0</v>
      </c>
    </row>
    <row r="20" spans="1:37" ht="16.5" customHeight="1" x14ac:dyDescent="0.25">
      <c r="A20" s="56">
        <f t="shared" si="5"/>
        <v>13</v>
      </c>
      <c r="B20" s="57" t="s">
        <v>10</v>
      </c>
      <c r="C20" s="65" t="s">
        <v>76</v>
      </c>
      <c r="D20" s="67"/>
      <c r="E20" s="67"/>
      <c r="F20" s="67"/>
      <c r="G20" s="67"/>
      <c r="H20" s="66">
        <f t="shared" si="0"/>
        <v>0</v>
      </c>
      <c r="I20" s="67"/>
      <c r="J20" s="67"/>
      <c r="K20" s="67"/>
      <c r="L20" s="67"/>
      <c r="M20" s="67"/>
      <c r="N20" s="67"/>
      <c r="O20" s="66">
        <f t="shared" si="4"/>
        <v>0</v>
      </c>
      <c r="P20" s="67"/>
      <c r="Q20" s="67"/>
      <c r="R20" s="67"/>
      <c r="S20" s="67"/>
      <c r="T20" s="67"/>
      <c r="U20" s="67"/>
      <c r="V20" s="66">
        <f t="shared" si="6"/>
        <v>0</v>
      </c>
      <c r="W20" s="67"/>
      <c r="X20" s="67"/>
      <c r="Y20" s="67"/>
      <c r="Z20" s="67"/>
      <c r="AA20" s="67"/>
      <c r="AB20" s="67"/>
      <c r="AC20" s="66">
        <f t="shared" si="1"/>
        <v>0</v>
      </c>
      <c r="AD20" s="67"/>
      <c r="AE20" s="67"/>
      <c r="AF20" s="67"/>
      <c r="AG20" s="67"/>
      <c r="AH20" s="66">
        <f t="shared" si="2"/>
        <v>0</v>
      </c>
      <c r="AI20" s="68">
        <f t="shared" si="3"/>
        <v>0</v>
      </c>
    </row>
    <row r="21" spans="1:37" ht="16.5" customHeight="1" x14ac:dyDescent="0.25">
      <c r="A21" s="56">
        <f t="shared" si="5"/>
        <v>14</v>
      </c>
      <c r="B21" s="57" t="s">
        <v>7</v>
      </c>
      <c r="C21" s="65" t="s">
        <v>76</v>
      </c>
      <c r="D21" s="67"/>
      <c r="E21" s="67"/>
      <c r="F21" s="67"/>
      <c r="G21" s="67"/>
      <c r="H21" s="66">
        <f t="shared" si="0"/>
        <v>0</v>
      </c>
      <c r="I21" s="67"/>
      <c r="J21" s="67"/>
      <c r="K21" s="67"/>
      <c r="L21" s="67"/>
      <c r="M21" s="67"/>
      <c r="N21" s="67"/>
      <c r="O21" s="66">
        <f t="shared" si="4"/>
        <v>0</v>
      </c>
      <c r="P21" s="67"/>
      <c r="Q21" s="67"/>
      <c r="R21" s="67"/>
      <c r="S21" s="67"/>
      <c r="T21" s="67"/>
      <c r="U21" s="67"/>
      <c r="V21" s="66">
        <f t="shared" si="6"/>
        <v>0</v>
      </c>
      <c r="W21" s="67"/>
      <c r="X21" s="67"/>
      <c r="Y21" s="67"/>
      <c r="Z21" s="67"/>
      <c r="AA21" s="67"/>
      <c r="AB21" s="67"/>
      <c r="AC21" s="66">
        <f t="shared" si="1"/>
        <v>0</v>
      </c>
      <c r="AD21" s="67"/>
      <c r="AE21" s="67"/>
      <c r="AF21" s="67"/>
      <c r="AG21" s="67"/>
      <c r="AH21" s="66">
        <f t="shared" si="2"/>
        <v>0</v>
      </c>
      <c r="AI21" s="68">
        <f t="shared" si="3"/>
        <v>0</v>
      </c>
    </row>
    <row r="22" spans="1:37" ht="27" customHeight="1" x14ac:dyDescent="0.25">
      <c r="A22" s="56" t="e">
        <f>1+#REF!</f>
        <v>#REF!</v>
      </c>
      <c r="B22" s="105" t="s">
        <v>39</v>
      </c>
      <c r="C22" s="54" t="s">
        <v>40</v>
      </c>
      <c r="D22" s="67"/>
      <c r="E22" s="67"/>
      <c r="F22" s="67"/>
      <c r="G22" s="67"/>
      <c r="H22" s="66">
        <f t="shared" si="0"/>
        <v>0</v>
      </c>
      <c r="I22" s="67"/>
      <c r="J22" s="67"/>
      <c r="K22" s="67"/>
      <c r="L22" s="75"/>
      <c r="M22" s="76"/>
      <c r="N22" s="67"/>
      <c r="O22" s="66">
        <f>SUM(I22:N22)</f>
        <v>0</v>
      </c>
      <c r="P22" s="67"/>
      <c r="Q22" s="67"/>
      <c r="R22" s="67"/>
      <c r="S22" s="67"/>
      <c r="T22" s="67"/>
      <c r="U22" s="67"/>
      <c r="V22" s="66">
        <f>SUM(P22:U22)</f>
        <v>0</v>
      </c>
      <c r="W22" s="67"/>
      <c r="X22" s="67"/>
      <c r="Y22" s="67"/>
      <c r="Z22" s="67"/>
      <c r="AA22" s="67"/>
      <c r="AB22" s="67"/>
      <c r="AC22" s="66">
        <f t="shared" si="1"/>
        <v>0</v>
      </c>
      <c r="AD22" s="67"/>
      <c r="AE22" s="67"/>
      <c r="AF22" s="67"/>
      <c r="AG22" s="67"/>
      <c r="AH22" s="66">
        <f t="shared" si="2"/>
        <v>0</v>
      </c>
      <c r="AI22" s="68">
        <f>H22+O22+V22+AH22</f>
        <v>0</v>
      </c>
    </row>
    <row r="23" spans="1:37" ht="17.25" customHeight="1" x14ac:dyDescent="0.25">
      <c r="A23" s="271" t="s">
        <v>77</v>
      </c>
      <c r="B23" s="272"/>
      <c r="C23" s="273"/>
      <c r="D23" s="93"/>
      <c r="E23" s="93"/>
      <c r="F23" s="93"/>
      <c r="G23" s="93">
        <f t="shared" ref="G23" si="7">SUM(G8:G22)</f>
        <v>0</v>
      </c>
      <c r="H23" s="66">
        <f t="shared" si="0"/>
        <v>0</v>
      </c>
      <c r="I23" s="93">
        <f>SUM(I8:I22)</f>
        <v>0</v>
      </c>
      <c r="J23" s="93">
        <f t="shared" ref="J23:N23" si="8">SUM(J8:J22)</f>
        <v>0</v>
      </c>
      <c r="K23" s="93">
        <f t="shared" si="8"/>
        <v>0</v>
      </c>
      <c r="L23" s="93">
        <f t="shared" si="8"/>
        <v>0</v>
      </c>
      <c r="M23" s="93">
        <f t="shared" si="8"/>
        <v>0</v>
      </c>
      <c r="N23" s="93">
        <f t="shared" si="8"/>
        <v>0</v>
      </c>
      <c r="O23" s="91">
        <f t="shared" si="4"/>
        <v>0</v>
      </c>
      <c r="P23" s="93">
        <f>SUM(P8:P22)</f>
        <v>0</v>
      </c>
      <c r="Q23" s="93">
        <f t="shared" ref="Q23:U23" si="9">SUM(Q8:Q22)</f>
        <v>0</v>
      </c>
      <c r="R23" s="93">
        <f t="shared" si="9"/>
        <v>0</v>
      </c>
      <c r="S23" s="93">
        <f t="shared" si="9"/>
        <v>0</v>
      </c>
      <c r="T23" s="93">
        <f t="shared" si="9"/>
        <v>0</v>
      </c>
      <c r="U23" s="93">
        <f t="shared" si="9"/>
        <v>0</v>
      </c>
      <c r="V23" s="91">
        <f t="shared" si="6"/>
        <v>0</v>
      </c>
      <c r="W23" s="93">
        <f>SUM(W8:W22)</f>
        <v>0</v>
      </c>
      <c r="X23" s="93">
        <f>SUM(X8:X22)</f>
        <v>0</v>
      </c>
      <c r="Y23" s="93">
        <f t="shared" ref="Y23:AB23" si="10">SUM(Y8:Y22)</f>
        <v>0</v>
      </c>
      <c r="Z23" s="93">
        <f t="shared" si="10"/>
        <v>0</v>
      </c>
      <c r="AA23" s="93">
        <f t="shared" si="10"/>
        <v>0</v>
      </c>
      <c r="AB23" s="93">
        <f t="shared" si="10"/>
        <v>0</v>
      </c>
      <c r="AC23" s="91">
        <f t="shared" si="1"/>
        <v>0</v>
      </c>
      <c r="AD23" s="93">
        <f>SUM(AD8:AD22)</f>
        <v>0</v>
      </c>
      <c r="AE23" s="93"/>
      <c r="AF23" s="93"/>
      <c r="AG23" s="93">
        <f>SUM(AG8:AG22)</f>
        <v>0</v>
      </c>
      <c r="AH23" s="66">
        <f t="shared" si="2"/>
        <v>0</v>
      </c>
      <c r="AI23" s="69">
        <f>SUM(AI8:AI22)</f>
        <v>0</v>
      </c>
    </row>
    <row r="24" spans="1:37" ht="17.25" customHeight="1" x14ac:dyDescent="0.25">
      <c r="A24" s="40">
        <v>1</v>
      </c>
      <c r="B24" s="41" t="s">
        <v>19</v>
      </c>
      <c r="C24" s="38" t="s">
        <v>18</v>
      </c>
      <c r="D24" s="67"/>
      <c r="E24" s="67"/>
      <c r="F24" s="67"/>
      <c r="G24" s="67"/>
      <c r="H24" s="66">
        <f t="shared" si="0"/>
        <v>0</v>
      </c>
      <c r="I24" s="67"/>
      <c r="J24" s="67"/>
      <c r="K24" s="67"/>
      <c r="L24" s="67"/>
      <c r="M24" s="67"/>
      <c r="N24" s="67"/>
      <c r="O24" s="66">
        <f t="shared" ref="O24:O48" si="11">SUM(I24:N24)</f>
        <v>0</v>
      </c>
      <c r="P24" s="67"/>
      <c r="Q24" s="67"/>
      <c r="R24" s="67"/>
      <c r="S24" s="67"/>
      <c r="T24" s="67"/>
      <c r="U24" s="67"/>
      <c r="V24" s="66">
        <f t="shared" si="6"/>
        <v>0</v>
      </c>
      <c r="W24" s="67"/>
      <c r="X24" s="67"/>
      <c r="Y24" s="67"/>
      <c r="Z24" s="67"/>
      <c r="AA24" s="67"/>
      <c r="AB24" s="67"/>
      <c r="AC24" s="66">
        <f t="shared" si="1"/>
        <v>0</v>
      </c>
      <c r="AD24" s="67"/>
      <c r="AE24" s="67"/>
      <c r="AF24" s="67"/>
      <c r="AG24" s="67"/>
      <c r="AH24" s="66">
        <f t="shared" si="2"/>
        <v>0</v>
      </c>
      <c r="AI24" s="68">
        <f>H24+O24+V24+AC24+AH24</f>
        <v>0</v>
      </c>
    </row>
    <row r="25" spans="1:37" ht="17.25" customHeight="1" x14ac:dyDescent="0.25">
      <c r="A25" s="40">
        <f t="shared" ref="A25:A48" si="12">1+A24</f>
        <v>2</v>
      </c>
      <c r="B25" s="41" t="s">
        <v>31</v>
      </c>
      <c r="C25" s="38" t="s">
        <v>32</v>
      </c>
      <c r="D25" s="67"/>
      <c r="E25" s="67"/>
      <c r="F25" s="67"/>
      <c r="G25" s="67"/>
      <c r="H25" s="66">
        <f t="shared" si="0"/>
        <v>0</v>
      </c>
      <c r="I25" s="67"/>
      <c r="J25" s="12"/>
      <c r="K25" s="67"/>
      <c r="L25" s="12"/>
      <c r="M25" s="67"/>
      <c r="N25" s="67"/>
      <c r="O25" s="66">
        <f t="shared" si="11"/>
        <v>0</v>
      </c>
      <c r="P25" s="67"/>
      <c r="Q25" s="67"/>
      <c r="R25" s="67"/>
      <c r="S25" s="67"/>
      <c r="T25" s="67"/>
      <c r="U25" s="67"/>
      <c r="V25" s="66">
        <f t="shared" si="6"/>
        <v>0</v>
      </c>
      <c r="W25" s="67"/>
      <c r="X25" s="67"/>
      <c r="Y25" s="67"/>
      <c r="Z25" s="67"/>
      <c r="AA25" s="67"/>
      <c r="AB25" s="67"/>
      <c r="AC25" s="66">
        <f t="shared" si="1"/>
        <v>0</v>
      </c>
      <c r="AD25" s="67"/>
      <c r="AE25" s="67"/>
      <c r="AF25" s="67"/>
      <c r="AG25" s="67">
        <v>146966</v>
      </c>
      <c r="AH25" s="66">
        <f t="shared" si="2"/>
        <v>146966</v>
      </c>
      <c r="AI25" s="68">
        <f>H25+O25+V25+AC25+AH25</f>
        <v>146966</v>
      </c>
    </row>
    <row r="26" spans="1:37" ht="17.25" customHeight="1" x14ac:dyDescent="0.25">
      <c r="A26" s="40">
        <f t="shared" si="12"/>
        <v>3</v>
      </c>
      <c r="B26" s="58" t="s">
        <v>75</v>
      </c>
      <c r="C26" s="59" t="s">
        <v>13</v>
      </c>
      <c r="D26" s="67"/>
      <c r="E26" s="67"/>
      <c r="F26" s="67"/>
      <c r="G26" s="67"/>
      <c r="H26" s="66">
        <f t="shared" si="0"/>
        <v>0</v>
      </c>
      <c r="I26" s="67"/>
      <c r="J26" s="67"/>
      <c r="K26" s="67"/>
      <c r="L26" s="67"/>
      <c r="M26" s="67"/>
      <c r="N26" s="67"/>
      <c r="O26" s="66">
        <f t="shared" si="11"/>
        <v>0</v>
      </c>
      <c r="P26" s="67"/>
      <c r="Q26" s="67"/>
      <c r="R26" s="67"/>
      <c r="S26" s="67"/>
      <c r="T26" s="67"/>
      <c r="U26" s="67"/>
      <c r="V26" s="66">
        <f t="shared" si="6"/>
        <v>0</v>
      </c>
      <c r="W26" s="67"/>
      <c r="X26" s="67"/>
      <c r="Y26" s="67"/>
      <c r="Z26" s="67"/>
      <c r="AA26" s="67"/>
      <c r="AB26" s="67"/>
      <c r="AC26" s="66">
        <f t="shared" si="1"/>
        <v>0</v>
      </c>
      <c r="AD26" s="67"/>
      <c r="AE26" s="67"/>
      <c r="AF26" s="67"/>
      <c r="AG26" s="67"/>
      <c r="AH26" s="66">
        <f t="shared" si="2"/>
        <v>0</v>
      </c>
      <c r="AI26" s="68">
        <f t="shared" ref="AI26:AI48" si="13">H26+O26+V26+AC26+AH26</f>
        <v>0</v>
      </c>
    </row>
    <row r="27" spans="1:37" ht="17.25" customHeight="1" x14ac:dyDescent="0.25">
      <c r="A27" s="40">
        <f t="shared" si="12"/>
        <v>4</v>
      </c>
      <c r="B27" s="58" t="s">
        <v>112</v>
      </c>
      <c r="C27" s="59" t="s">
        <v>32</v>
      </c>
      <c r="D27" s="67"/>
      <c r="E27" s="67"/>
      <c r="F27" s="67"/>
      <c r="G27" s="67"/>
      <c r="H27" s="66">
        <f t="shared" si="0"/>
        <v>0</v>
      </c>
      <c r="I27" s="67"/>
      <c r="J27" s="67"/>
      <c r="K27" s="67"/>
      <c r="L27" s="12"/>
      <c r="M27" s="11"/>
      <c r="N27" s="67"/>
      <c r="O27" s="66">
        <f t="shared" si="11"/>
        <v>0</v>
      </c>
      <c r="P27" s="12"/>
      <c r="Q27" s="19"/>
      <c r="R27" s="67"/>
      <c r="S27" s="67"/>
      <c r="T27" s="67"/>
      <c r="U27" s="67"/>
      <c r="V27" s="66">
        <f t="shared" si="6"/>
        <v>0</v>
      </c>
      <c r="W27" s="67"/>
      <c r="X27" s="67"/>
      <c r="Y27" s="67"/>
      <c r="Z27" s="67"/>
      <c r="AA27" s="67"/>
      <c r="AB27" s="67"/>
      <c r="AC27" s="66">
        <f t="shared" si="1"/>
        <v>0</v>
      </c>
      <c r="AD27" s="67"/>
      <c r="AE27" s="67"/>
      <c r="AF27" s="67"/>
      <c r="AG27" s="67">
        <v>17632</v>
      </c>
      <c r="AH27" s="66">
        <f t="shared" si="2"/>
        <v>17632</v>
      </c>
      <c r="AI27" s="68">
        <f t="shared" si="13"/>
        <v>17632</v>
      </c>
    </row>
    <row r="28" spans="1:37" ht="17.25" customHeight="1" x14ac:dyDescent="0.25">
      <c r="A28" s="40">
        <f t="shared" si="12"/>
        <v>5</v>
      </c>
      <c r="B28" s="58" t="s">
        <v>113</v>
      </c>
      <c r="C28" s="59" t="s">
        <v>32</v>
      </c>
      <c r="D28" s="67"/>
      <c r="E28" s="67"/>
      <c r="F28" s="67"/>
      <c r="G28" s="67"/>
      <c r="H28" s="66">
        <f t="shared" si="0"/>
        <v>0</v>
      </c>
      <c r="I28" s="67"/>
      <c r="J28" s="67"/>
      <c r="K28" s="67"/>
      <c r="L28" s="12"/>
      <c r="M28" s="11"/>
      <c r="N28" s="67"/>
      <c r="O28" s="66">
        <f t="shared" si="11"/>
        <v>0</v>
      </c>
      <c r="P28" s="12"/>
      <c r="Q28" s="19"/>
      <c r="R28" s="67"/>
      <c r="S28" s="67"/>
      <c r="T28" s="67"/>
      <c r="U28" s="67"/>
      <c r="V28" s="66">
        <f t="shared" si="6"/>
        <v>0</v>
      </c>
      <c r="W28" s="67"/>
      <c r="X28" s="67"/>
      <c r="Y28" s="67"/>
      <c r="Z28" s="67"/>
      <c r="AA28" s="67"/>
      <c r="AB28" s="67"/>
      <c r="AC28" s="66">
        <f t="shared" si="1"/>
        <v>0</v>
      </c>
      <c r="AD28" s="67"/>
      <c r="AE28" s="67"/>
      <c r="AF28" s="67"/>
      <c r="AG28" s="67"/>
      <c r="AH28" s="66">
        <f t="shared" si="2"/>
        <v>0</v>
      </c>
      <c r="AI28" s="68">
        <f t="shared" si="13"/>
        <v>0</v>
      </c>
    </row>
    <row r="29" spans="1:37" ht="17.25" customHeight="1" x14ac:dyDescent="0.25">
      <c r="A29" s="40">
        <f t="shared" si="12"/>
        <v>6</v>
      </c>
      <c r="B29" s="58" t="s">
        <v>94</v>
      </c>
      <c r="C29" s="59" t="s">
        <v>26</v>
      </c>
      <c r="D29" s="67"/>
      <c r="E29" s="67"/>
      <c r="F29" s="67"/>
      <c r="G29" s="67"/>
      <c r="H29" s="66">
        <f t="shared" si="0"/>
        <v>0</v>
      </c>
      <c r="I29" s="12"/>
      <c r="J29" s="12"/>
      <c r="K29" s="12"/>
      <c r="L29" s="12"/>
      <c r="M29" s="11"/>
      <c r="N29" s="67"/>
      <c r="O29" s="66">
        <f t="shared" si="11"/>
        <v>0</v>
      </c>
      <c r="P29" s="67"/>
      <c r="Q29" s="19"/>
      <c r="R29" s="67"/>
      <c r="S29" s="67"/>
      <c r="T29" s="67"/>
      <c r="U29" s="67"/>
      <c r="V29" s="66">
        <f t="shared" si="6"/>
        <v>0</v>
      </c>
      <c r="W29" s="67"/>
      <c r="X29" s="67"/>
      <c r="Y29" s="67"/>
      <c r="Z29" s="12"/>
      <c r="AA29" s="67"/>
      <c r="AB29" s="67"/>
      <c r="AC29" s="66">
        <f t="shared" si="1"/>
        <v>0</v>
      </c>
      <c r="AD29" s="12"/>
      <c r="AE29" s="12"/>
      <c r="AF29" s="12"/>
      <c r="AG29" s="12">
        <v>325250</v>
      </c>
      <c r="AH29" s="66">
        <f t="shared" si="2"/>
        <v>325250</v>
      </c>
      <c r="AI29" s="68">
        <f t="shared" si="13"/>
        <v>325250</v>
      </c>
    </row>
    <row r="30" spans="1:37" ht="17.25" customHeight="1" x14ac:dyDescent="0.25">
      <c r="A30" s="40">
        <f t="shared" si="12"/>
        <v>7</v>
      </c>
      <c r="B30" s="58" t="s">
        <v>103</v>
      </c>
      <c r="C30" s="59" t="s">
        <v>104</v>
      </c>
      <c r="D30" s="67"/>
      <c r="E30" s="67"/>
      <c r="F30" s="67"/>
      <c r="G30" s="67"/>
      <c r="H30" s="66">
        <f t="shared" si="0"/>
        <v>0</v>
      </c>
      <c r="I30" s="12"/>
      <c r="J30" s="12"/>
      <c r="K30" s="12"/>
      <c r="L30" s="67"/>
      <c r="M30" s="67"/>
      <c r="N30" s="67"/>
      <c r="O30" s="66">
        <f t="shared" si="11"/>
        <v>0</v>
      </c>
      <c r="P30" s="67"/>
      <c r="Q30" s="19"/>
      <c r="R30" s="67"/>
      <c r="S30" s="67"/>
      <c r="T30" s="67"/>
      <c r="U30" s="67"/>
      <c r="V30" s="66">
        <f t="shared" si="6"/>
        <v>0</v>
      </c>
      <c r="W30" s="67"/>
      <c r="X30" s="67"/>
      <c r="Y30" s="67"/>
      <c r="Z30" s="67"/>
      <c r="AA30" s="67"/>
      <c r="AB30" s="67"/>
      <c r="AC30" s="66">
        <f t="shared" si="1"/>
        <v>0</v>
      </c>
      <c r="AD30" s="67"/>
      <c r="AE30" s="67"/>
      <c r="AF30" s="67"/>
      <c r="AG30" s="67"/>
      <c r="AH30" s="66">
        <f t="shared" si="2"/>
        <v>0</v>
      </c>
      <c r="AI30" s="68">
        <f t="shared" si="13"/>
        <v>0</v>
      </c>
    </row>
    <row r="31" spans="1:37" ht="17.25" customHeight="1" x14ac:dyDescent="0.25">
      <c r="A31" s="40">
        <f t="shared" si="12"/>
        <v>8</v>
      </c>
      <c r="B31" s="58" t="s">
        <v>98</v>
      </c>
      <c r="C31" s="59" t="s">
        <v>88</v>
      </c>
      <c r="D31" s="67"/>
      <c r="E31" s="67"/>
      <c r="F31" s="67"/>
      <c r="G31" s="67"/>
      <c r="H31" s="66">
        <f t="shared" si="0"/>
        <v>0</v>
      </c>
      <c r="I31" s="12"/>
      <c r="J31" s="12"/>
      <c r="K31" s="12"/>
      <c r="L31" s="67"/>
      <c r="M31" s="67"/>
      <c r="N31" s="67"/>
      <c r="O31" s="66">
        <f t="shared" si="11"/>
        <v>0</v>
      </c>
      <c r="P31" s="67"/>
      <c r="Q31" s="19"/>
      <c r="R31" s="67"/>
      <c r="S31" s="67"/>
      <c r="T31" s="67"/>
      <c r="U31" s="67"/>
      <c r="V31" s="66">
        <f t="shared" si="6"/>
        <v>0</v>
      </c>
      <c r="W31" s="67"/>
      <c r="X31" s="67"/>
      <c r="Y31" s="67"/>
      <c r="Z31" s="67"/>
      <c r="AA31" s="67"/>
      <c r="AB31" s="67"/>
      <c r="AC31" s="66">
        <f t="shared" si="1"/>
        <v>0</v>
      </c>
      <c r="AD31" s="67"/>
      <c r="AE31" s="67"/>
      <c r="AF31" s="67"/>
      <c r="AG31" s="181">
        <v>219099.2</v>
      </c>
      <c r="AH31" s="66">
        <f t="shared" si="2"/>
        <v>219099.2</v>
      </c>
      <c r="AI31" s="68">
        <f t="shared" si="13"/>
        <v>219099.2</v>
      </c>
    </row>
    <row r="32" spans="1:37" ht="17.25" customHeight="1" x14ac:dyDescent="0.25">
      <c r="A32" s="40">
        <f t="shared" si="12"/>
        <v>9</v>
      </c>
      <c r="B32" s="58" t="s">
        <v>114</v>
      </c>
      <c r="C32" s="59" t="s">
        <v>88</v>
      </c>
      <c r="D32" s="67"/>
      <c r="E32" s="67"/>
      <c r="F32" s="67"/>
      <c r="G32" s="67"/>
      <c r="H32" s="66">
        <f t="shared" si="0"/>
        <v>0</v>
      </c>
      <c r="I32" s="12"/>
      <c r="J32" s="12"/>
      <c r="K32" s="12"/>
      <c r="L32" s="67"/>
      <c r="M32" s="67"/>
      <c r="N32" s="67"/>
      <c r="O32" s="66">
        <f t="shared" si="11"/>
        <v>0</v>
      </c>
      <c r="P32" s="67"/>
      <c r="Q32" s="19"/>
      <c r="R32" s="67"/>
      <c r="S32" s="67"/>
      <c r="T32" s="67"/>
      <c r="U32" s="67"/>
      <c r="V32" s="66">
        <f t="shared" si="6"/>
        <v>0</v>
      </c>
      <c r="W32" s="67"/>
      <c r="X32" s="67"/>
      <c r="Y32" s="67"/>
      <c r="Z32" s="67"/>
      <c r="AA32" s="67"/>
      <c r="AB32" s="67"/>
      <c r="AC32" s="66">
        <f t="shared" si="1"/>
        <v>0</v>
      </c>
      <c r="AD32" s="67"/>
      <c r="AE32" s="67"/>
      <c r="AF32" s="67"/>
      <c r="AG32" s="67">
        <v>209833</v>
      </c>
      <c r="AH32" s="66">
        <f t="shared" si="2"/>
        <v>209833</v>
      </c>
      <c r="AI32" s="68">
        <f t="shared" si="13"/>
        <v>209833</v>
      </c>
      <c r="AK32" s="49"/>
    </row>
    <row r="33" spans="1:35" ht="17.25" customHeight="1" x14ac:dyDescent="0.25">
      <c r="A33" s="40">
        <f t="shared" si="12"/>
        <v>10</v>
      </c>
      <c r="B33" s="58" t="s">
        <v>121</v>
      </c>
      <c r="C33" s="59" t="s">
        <v>86</v>
      </c>
      <c r="D33" s="67"/>
      <c r="E33" s="67"/>
      <c r="F33" s="67"/>
      <c r="G33" s="67"/>
      <c r="H33" s="66">
        <f t="shared" si="0"/>
        <v>0</v>
      </c>
      <c r="I33" s="12"/>
      <c r="J33" s="12"/>
      <c r="K33" s="12"/>
      <c r="L33" s="67"/>
      <c r="M33" s="67"/>
      <c r="N33" s="67"/>
      <c r="O33" s="66">
        <f t="shared" si="11"/>
        <v>0</v>
      </c>
      <c r="P33" s="67"/>
      <c r="Q33" s="19"/>
      <c r="R33" s="67"/>
      <c r="S33" s="67"/>
      <c r="T33" s="67"/>
      <c r="U33" s="67"/>
      <c r="V33" s="66">
        <f t="shared" si="6"/>
        <v>0</v>
      </c>
      <c r="W33" s="67"/>
      <c r="X33" s="67"/>
      <c r="Y33" s="67"/>
      <c r="Z33" s="67"/>
      <c r="AA33" s="67"/>
      <c r="AB33" s="67"/>
      <c r="AC33" s="66">
        <f t="shared" si="1"/>
        <v>0</v>
      </c>
      <c r="AD33" s="67"/>
      <c r="AE33" s="67"/>
      <c r="AF33" s="67"/>
      <c r="AG33" s="67"/>
      <c r="AH33" s="66">
        <f t="shared" si="2"/>
        <v>0</v>
      </c>
      <c r="AI33" s="68">
        <f t="shared" si="13"/>
        <v>0</v>
      </c>
    </row>
    <row r="34" spans="1:35" ht="17.25" customHeight="1" x14ac:dyDescent="0.25">
      <c r="A34" s="40">
        <f t="shared" si="12"/>
        <v>11</v>
      </c>
      <c r="B34" s="58" t="s">
        <v>118</v>
      </c>
      <c r="C34" s="59" t="s">
        <v>122</v>
      </c>
      <c r="D34" s="67"/>
      <c r="E34" s="67"/>
      <c r="F34" s="67"/>
      <c r="G34" s="67"/>
      <c r="H34" s="66">
        <f t="shared" si="0"/>
        <v>0</v>
      </c>
      <c r="I34" s="12"/>
      <c r="J34" s="12"/>
      <c r="K34" s="12"/>
      <c r="L34" s="67"/>
      <c r="M34" s="67"/>
      <c r="N34" s="67"/>
      <c r="O34" s="66">
        <f t="shared" si="11"/>
        <v>0</v>
      </c>
      <c r="P34" s="67"/>
      <c r="Q34" s="19"/>
      <c r="R34" s="67"/>
      <c r="S34" s="67"/>
      <c r="T34" s="67"/>
      <c r="U34" s="67"/>
      <c r="V34" s="66">
        <f t="shared" si="6"/>
        <v>0</v>
      </c>
      <c r="W34" s="67"/>
      <c r="X34" s="67"/>
      <c r="Y34" s="67"/>
      <c r="Z34" s="67"/>
      <c r="AA34" s="67"/>
      <c r="AB34" s="67"/>
      <c r="AC34" s="66">
        <f t="shared" si="1"/>
        <v>0</v>
      </c>
      <c r="AD34" s="67"/>
      <c r="AE34" s="67"/>
      <c r="AF34" s="67"/>
      <c r="AG34" s="67"/>
      <c r="AH34" s="66">
        <f t="shared" si="2"/>
        <v>0</v>
      </c>
      <c r="AI34" s="68">
        <f t="shared" si="13"/>
        <v>0</v>
      </c>
    </row>
    <row r="35" spans="1:35" ht="17.25" customHeight="1" x14ac:dyDescent="0.25">
      <c r="A35" s="40">
        <f t="shared" si="12"/>
        <v>12</v>
      </c>
      <c r="B35" s="58" t="s">
        <v>115</v>
      </c>
      <c r="C35" s="59" t="s">
        <v>116</v>
      </c>
      <c r="D35" s="67"/>
      <c r="E35" s="67"/>
      <c r="F35" s="67"/>
      <c r="G35" s="67"/>
      <c r="H35" s="66">
        <f t="shared" si="0"/>
        <v>0</v>
      </c>
      <c r="I35" s="12"/>
      <c r="J35" s="12"/>
      <c r="K35" s="12"/>
      <c r="L35" s="12"/>
      <c r="M35" s="12"/>
      <c r="N35" s="12"/>
      <c r="O35" s="66">
        <f t="shared" si="11"/>
        <v>0</v>
      </c>
      <c r="P35" s="67"/>
      <c r="Q35" s="19"/>
      <c r="R35" s="67"/>
      <c r="S35" s="67"/>
      <c r="T35" s="12"/>
      <c r="U35" s="12"/>
      <c r="V35" s="66">
        <f t="shared" si="6"/>
        <v>0</v>
      </c>
      <c r="W35" s="67"/>
      <c r="X35" s="12"/>
      <c r="Y35" s="12"/>
      <c r="Z35" s="67"/>
      <c r="AA35" s="67"/>
      <c r="AB35" s="67"/>
      <c r="AC35" s="66">
        <f t="shared" si="1"/>
        <v>0</v>
      </c>
      <c r="AD35" s="67"/>
      <c r="AE35" s="67"/>
      <c r="AF35" s="67"/>
      <c r="AG35" s="67"/>
      <c r="AH35" s="66">
        <f t="shared" si="2"/>
        <v>0</v>
      </c>
      <c r="AI35" s="68">
        <f t="shared" si="13"/>
        <v>0</v>
      </c>
    </row>
    <row r="36" spans="1:35" ht="17.25" customHeight="1" x14ac:dyDescent="0.25">
      <c r="A36" s="40">
        <f t="shared" si="12"/>
        <v>13</v>
      </c>
      <c r="B36" s="58" t="s">
        <v>123</v>
      </c>
      <c r="C36" s="59" t="s">
        <v>125</v>
      </c>
      <c r="D36" s="67"/>
      <c r="E36" s="67"/>
      <c r="F36" s="67"/>
      <c r="G36" s="67"/>
      <c r="H36" s="66">
        <f t="shared" si="0"/>
        <v>0</v>
      </c>
      <c r="I36" s="12"/>
      <c r="J36" s="12"/>
      <c r="K36" s="12"/>
      <c r="L36" s="12"/>
      <c r="M36" s="12"/>
      <c r="N36" s="12"/>
      <c r="O36" s="66">
        <f t="shared" si="11"/>
        <v>0</v>
      </c>
      <c r="P36" s="67"/>
      <c r="Q36" s="67"/>
      <c r="R36" s="67"/>
      <c r="S36" s="67"/>
      <c r="T36" s="12"/>
      <c r="U36" s="12"/>
      <c r="V36" s="66">
        <f t="shared" si="6"/>
        <v>0</v>
      </c>
      <c r="W36" s="67"/>
      <c r="X36" s="12"/>
      <c r="Y36" s="12"/>
      <c r="Z36" s="67"/>
      <c r="AA36" s="67"/>
      <c r="AB36" s="67"/>
      <c r="AC36" s="66">
        <f t="shared" si="1"/>
        <v>0</v>
      </c>
      <c r="AD36" s="67"/>
      <c r="AE36" s="67"/>
      <c r="AF36" s="67"/>
      <c r="AG36" s="67"/>
      <c r="AH36" s="66">
        <f t="shared" si="2"/>
        <v>0</v>
      </c>
      <c r="AI36" s="68">
        <f t="shared" si="13"/>
        <v>0</v>
      </c>
    </row>
    <row r="37" spans="1:35" ht="17.25" customHeight="1" x14ac:dyDescent="0.25">
      <c r="A37" s="40">
        <f t="shared" si="12"/>
        <v>14</v>
      </c>
      <c r="B37" s="58" t="s">
        <v>126</v>
      </c>
      <c r="C37" s="59" t="s">
        <v>29</v>
      </c>
      <c r="D37" s="67"/>
      <c r="E37" s="67"/>
      <c r="F37" s="67"/>
      <c r="G37" s="67"/>
      <c r="H37" s="66">
        <f t="shared" si="0"/>
        <v>0</v>
      </c>
      <c r="I37" s="12"/>
      <c r="J37" s="12"/>
      <c r="K37" s="12"/>
      <c r="L37" s="12"/>
      <c r="M37" s="12"/>
      <c r="N37" s="12"/>
      <c r="O37" s="66">
        <f t="shared" si="11"/>
        <v>0</v>
      </c>
      <c r="P37" s="67"/>
      <c r="Q37" s="67"/>
      <c r="R37" s="67"/>
      <c r="S37" s="67"/>
      <c r="T37" s="12"/>
      <c r="U37" s="12"/>
      <c r="V37" s="66">
        <f t="shared" si="6"/>
        <v>0</v>
      </c>
      <c r="W37" s="12"/>
      <c r="X37" s="11"/>
      <c r="Y37" s="12"/>
      <c r="Z37" s="67"/>
      <c r="AA37" s="67"/>
      <c r="AB37" s="67"/>
      <c r="AC37" s="66">
        <f t="shared" si="1"/>
        <v>0</v>
      </c>
      <c r="AD37" s="67"/>
      <c r="AE37" s="67"/>
      <c r="AF37" s="67"/>
      <c r="AG37" s="67">
        <v>59350</v>
      </c>
      <c r="AH37" s="66">
        <f t="shared" si="2"/>
        <v>59350</v>
      </c>
      <c r="AI37" s="68">
        <f t="shared" si="13"/>
        <v>59350</v>
      </c>
    </row>
    <row r="38" spans="1:35" ht="19.5" customHeight="1" x14ac:dyDescent="0.25">
      <c r="A38" s="40">
        <f t="shared" si="12"/>
        <v>15</v>
      </c>
      <c r="B38" s="64" t="s">
        <v>144</v>
      </c>
      <c r="C38" s="59" t="s">
        <v>145</v>
      </c>
      <c r="D38" s="67"/>
      <c r="E38" s="67"/>
      <c r="F38" s="67"/>
      <c r="G38" s="67"/>
      <c r="H38" s="66"/>
      <c r="I38" s="12"/>
      <c r="J38" s="12"/>
      <c r="K38" s="12"/>
      <c r="L38" s="12"/>
      <c r="M38" s="12"/>
      <c r="N38" s="12"/>
      <c r="O38" s="66"/>
      <c r="P38" s="67"/>
      <c r="Q38" s="67"/>
      <c r="R38" s="67"/>
      <c r="S38" s="67"/>
      <c r="T38" s="12"/>
      <c r="U38" s="12"/>
      <c r="V38" s="66"/>
      <c r="W38" s="12"/>
      <c r="X38" s="11"/>
      <c r="Y38" s="12"/>
      <c r="Z38" s="67"/>
      <c r="AA38" s="67"/>
      <c r="AB38" s="67"/>
      <c r="AC38" s="66"/>
      <c r="AD38" s="67"/>
      <c r="AE38" s="67"/>
      <c r="AF38" s="67"/>
      <c r="AG38" s="67"/>
      <c r="AH38" s="66">
        <f t="shared" si="2"/>
        <v>0</v>
      </c>
      <c r="AI38" s="68">
        <f t="shared" si="13"/>
        <v>0</v>
      </c>
    </row>
    <row r="39" spans="1:35" ht="17.25" customHeight="1" x14ac:dyDescent="0.25">
      <c r="A39" s="40">
        <f t="shared" si="12"/>
        <v>16</v>
      </c>
      <c r="B39" s="58" t="s">
        <v>166</v>
      </c>
      <c r="C39" s="59" t="s">
        <v>16</v>
      </c>
      <c r="D39" s="67"/>
      <c r="E39" s="67"/>
      <c r="F39" s="67"/>
      <c r="G39" s="67"/>
      <c r="H39" s="66"/>
      <c r="I39" s="12"/>
      <c r="J39" s="12"/>
      <c r="K39" s="12"/>
      <c r="L39" s="12"/>
      <c r="M39" s="12"/>
      <c r="N39" s="12"/>
      <c r="O39" s="66"/>
      <c r="P39" s="67"/>
      <c r="Q39" s="67"/>
      <c r="R39" s="67"/>
      <c r="S39" s="67"/>
      <c r="T39" s="12"/>
      <c r="U39" s="12"/>
      <c r="V39" s="66"/>
      <c r="W39" s="12"/>
      <c r="X39" s="11"/>
      <c r="Y39" s="12"/>
      <c r="Z39" s="67"/>
      <c r="AA39" s="67"/>
      <c r="AB39" s="67"/>
      <c r="AC39" s="66"/>
      <c r="AD39" s="67"/>
      <c r="AE39" s="67"/>
      <c r="AF39" s="67"/>
      <c r="AG39" s="67">
        <v>200614</v>
      </c>
      <c r="AH39" s="66">
        <f>SUM(AD39:AG39)</f>
        <v>200614</v>
      </c>
      <c r="AI39" s="68">
        <f t="shared" si="13"/>
        <v>200614</v>
      </c>
    </row>
    <row r="40" spans="1:35" ht="17.25" customHeight="1" x14ac:dyDescent="0.25">
      <c r="A40" s="40">
        <f t="shared" si="12"/>
        <v>17</v>
      </c>
      <c r="B40" s="58" t="s">
        <v>322</v>
      </c>
      <c r="C40" s="59" t="s">
        <v>86</v>
      </c>
      <c r="D40" s="67"/>
      <c r="E40" s="67"/>
      <c r="F40" s="67"/>
      <c r="G40" s="67"/>
      <c r="H40" s="66"/>
      <c r="I40" s="12"/>
      <c r="J40" s="12"/>
      <c r="K40" s="12"/>
      <c r="L40" s="12"/>
      <c r="M40" s="12"/>
      <c r="N40" s="12"/>
      <c r="O40" s="66"/>
      <c r="P40" s="67"/>
      <c r="Q40" s="67"/>
      <c r="R40" s="67"/>
      <c r="S40" s="67"/>
      <c r="T40" s="12"/>
      <c r="U40" s="12"/>
      <c r="V40" s="66"/>
      <c r="W40" s="12"/>
      <c r="X40" s="11"/>
      <c r="Y40" s="12"/>
      <c r="Z40" s="67"/>
      <c r="AA40" s="67"/>
      <c r="AB40" s="67"/>
      <c r="AC40" s="66"/>
      <c r="AD40" s="67"/>
      <c r="AE40" s="67"/>
      <c r="AF40" s="67"/>
      <c r="AG40" s="67">
        <v>74750</v>
      </c>
      <c r="AH40" s="66">
        <f t="shared" ref="AH40:AH47" si="14">SUM(AD40:AG40)</f>
        <v>74750</v>
      </c>
      <c r="AI40" s="68">
        <f t="shared" si="13"/>
        <v>74750</v>
      </c>
    </row>
    <row r="41" spans="1:35" ht="17.25" customHeight="1" x14ac:dyDescent="0.25">
      <c r="A41" s="40">
        <f t="shared" si="12"/>
        <v>18</v>
      </c>
      <c r="B41" s="58" t="s">
        <v>227</v>
      </c>
      <c r="C41" s="59" t="s">
        <v>9</v>
      </c>
      <c r="D41" s="67"/>
      <c r="E41" s="67"/>
      <c r="F41" s="67"/>
      <c r="G41" s="67"/>
      <c r="H41" s="66"/>
      <c r="I41" s="12"/>
      <c r="J41" s="12"/>
      <c r="K41" s="12"/>
      <c r="L41" s="12"/>
      <c r="M41" s="12"/>
      <c r="N41" s="12"/>
      <c r="O41" s="66"/>
      <c r="P41" s="67"/>
      <c r="Q41" s="67"/>
      <c r="R41" s="67"/>
      <c r="S41" s="67"/>
      <c r="T41" s="12"/>
      <c r="U41" s="12"/>
      <c r="V41" s="66"/>
      <c r="W41" s="12"/>
      <c r="X41" s="11"/>
      <c r="Y41" s="12"/>
      <c r="Z41" s="67"/>
      <c r="AA41" s="67"/>
      <c r="AB41" s="67"/>
      <c r="AC41" s="66"/>
      <c r="AD41" s="67"/>
      <c r="AE41" s="67"/>
      <c r="AF41" s="67"/>
      <c r="AG41" s="67">
        <v>117175</v>
      </c>
      <c r="AH41" s="66">
        <f t="shared" si="14"/>
        <v>117175</v>
      </c>
      <c r="AI41" s="68">
        <f t="shared" si="13"/>
        <v>117175</v>
      </c>
    </row>
    <row r="42" spans="1:35" ht="17.25" customHeight="1" x14ac:dyDescent="0.25">
      <c r="A42" s="40">
        <f t="shared" si="12"/>
        <v>19</v>
      </c>
      <c r="B42" s="58" t="s">
        <v>168</v>
      </c>
      <c r="C42" s="59" t="s">
        <v>13</v>
      </c>
      <c r="D42" s="67"/>
      <c r="E42" s="67"/>
      <c r="F42" s="67"/>
      <c r="G42" s="67"/>
      <c r="H42" s="66"/>
      <c r="I42" s="12"/>
      <c r="J42" s="12"/>
      <c r="K42" s="12"/>
      <c r="L42" s="12"/>
      <c r="M42" s="12"/>
      <c r="N42" s="12"/>
      <c r="O42" s="66"/>
      <c r="P42" s="67"/>
      <c r="Q42" s="67"/>
      <c r="R42" s="67"/>
      <c r="S42" s="67"/>
      <c r="T42" s="12"/>
      <c r="U42" s="12"/>
      <c r="V42" s="66"/>
      <c r="W42" s="12"/>
      <c r="X42" s="11"/>
      <c r="Y42" s="12"/>
      <c r="Z42" s="67"/>
      <c r="AA42" s="67"/>
      <c r="AB42" s="67"/>
      <c r="AC42" s="66"/>
      <c r="AD42" s="67"/>
      <c r="AE42" s="67"/>
      <c r="AF42" s="67"/>
      <c r="AG42" s="67"/>
      <c r="AH42" s="66">
        <f t="shared" si="14"/>
        <v>0</v>
      </c>
      <c r="AI42" s="68">
        <f t="shared" si="13"/>
        <v>0</v>
      </c>
    </row>
    <row r="43" spans="1:35" ht="17.25" customHeight="1" x14ac:dyDescent="0.25">
      <c r="A43" s="40">
        <f t="shared" si="12"/>
        <v>20</v>
      </c>
      <c r="B43" s="58" t="s">
        <v>188</v>
      </c>
      <c r="C43" s="59" t="s">
        <v>88</v>
      </c>
      <c r="D43" s="67"/>
      <c r="E43" s="67"/>
      <c r="F43" s="67"/>
      <c r="G43" s="67"/>
      <c r="H43" s="66"/>
      <c r="I43" s="12"/>
      <c r="J43" s="12"/>
      <c r="K43" s="12"/>
      <c r="L43" s="12"/>
      <c r="M43" s="12"/>
      <c r="N43" s="12"/>
      <c r="O43" s="66"/>
      <c r="P43" s="67"/>
      <c r="Q43" s="67"/>
      <c r="R43" s="67"/>
      <c r="S43" s="67"/>
      <c r="T43" s="12"/>
      <c r="U43" s="12"/>
      <c r="V43" s="66"/>
      <c r="W43" s="67"/>
      <c r="X43" s="12"/>
      <c r="Y43" s="11"/>
      <c r="Z43" s="67"/>
      <c r="AA43" s="67"/>
      <c r="AB43" s="67"/>
      <c r="AC43" s="66"/>
      <c r="AD43" s="67"/>
      <c r="AE43" s="67"/>
      <c r="AF43" s="67"/>
      <c r="AG43" s="67"/>
      <c r="AH43" s="66">
        <f t="shared" si="14"/>
        <v>0</v>
      </c>
      <c r="AI43" s="68">
        <f t="shared" si="13"/>
        <v>0</v>
      </c>
    </row>
    <row r="44" spans="1:35" ht="30.75" customHeight="1" x14ac:dyDescent="0.25">
      <c r="A44" s="40">
        <f t="shared" si="12"/>
        <v>21</v>
      </c>
      <c r="B44" s="58" t="s">
        <v>231</v>
      </c>
      <c r="C44" s="59" t="s">
        <v>270</v>
      </c>
      <c r="D44" s="67"/>
      <c r="E44" s="67"/>
      <c r="F44" s="67"/>
      <c r="G44" s="67"/>
      <c r="H44" s="66"/>
      <c r="I44" s="12"/>
      <c r="J44" s="12"/>
      <c r="K44" s="12"/>
      <c r="L44" s="12"/>
      <c r="M44" s="12"/>
      <c r="N44" s="12"/>
      <c r="O44" s="66"/>
      <c r="P44" s="67"/>
      <c r="Q44" s="67"/>
      <c r="R44" s="67"/>
      <c r="S44" s="67"/>
      <c r="T44" s="12"/>
      <c r="U44" s="12"/>
      <c r="V44" s="66"/>
      <c r="W44" s="67"/>
      <c r="X44" s="12"/>
      <c r="Y44" s="11"/>
      <c r="Z44" s="67"/>
      <c r="AA44" s="67"/>
      <c r="AB44" s="67"/>
      <c r="AC44" s="66"/>
      <c r="AD44" s="67"/>
      <c r="AE44" s="67"/>
      <c r="AF44" s="67"/>
      <c r="AG44" s="67"/>
      <c r="AH44" s="66">
        <f t="shared" si="14"/>
        <v>0</v>
      </c>
      <c r="AI44" s="68">
        <f t="shared" si="13"/>
        <v>0</v>
      </c>
    </row>
    <row r="45" spans="1:35" ht="17.25" customHeight="1" x14ac:dyDescent="0.25">
      <c r="A45" s="40">
        <f t="shared" si="12"/>
        <v>22</v>
      </c>
      <c r="B45" s="58" t="s">
        <v>323</v>
      </c>
      <c r="C45" s="59" t="s">
        <v>267</v>
      </c>
      <c r="D45" s="67"/>
      <c r="E45" s="67"/>
      <c r="F45" s="67"/>
      <c r="G45" s="67"/>
      <c r="H45" s="66"/>
      <c r="I45" s="12"/>
      <c r="J45" s="12"/>
      <c r="K45" s="12"/>
      <c r="L45" s="12"/>
      <c r="M45" s="12"/>
      <c r="N45" s="12"/>
      <c r="O45" s="66"/>
      <c r="P45" s="67"/>
      <c r="Q45" s="67"/>
      <c r="R45" s="67"/>
      <c r="S45" s="67"/>
      <c r="T45" s="12"/>
      <c r="U45" s="12"/>
      <c r="V45" s="66"/>
      <c r="W45" s="67"/>
      <c r="X45" s="12"/>
      <c r="Y45" s="11"/>
      <c r="Z45" s="67"/>
      <c r="AA45" s="67"/>
      <c r="AB45" s="67"/>
      <c r="AC45" s="66"/>
      <c r="AD45" s="67"/>
      <c r="AE45" s="67"/>
      <c r="AF45" s="67"/>
      <c r="AG45" s="67">
        <v>7480</v>
      </c>
      <c r="AH45" s="66">
        <f t="shared" si="14"/>
        <v>7480</v>
      </c>
      <c r="AI45" s="68">
        <f t="shared" si="13"/>
        <v>7480</v>
      </c>
    </row>
    <row r="46" spans="1:35" ht="17.25" customHeight="1" x14ac:dyDescent="0.25">
      <c r="A46" s="40">
        <f t="shared" si="12"/>
        <v>23</v>
      </c>
      <c r="B46" s="58" t="s">
        <v>310</v>
      </c>
      <c r="C46" s="59" t="s">
        <v>266</v>
      </c>
      <c r="D46" s="67"/>
      <c r="E46" s="67"/>
      <c r="F46" s="67"/>
      <c r="G46" s="67"/>
      <c r="H46" s="66"/>
      <c r="I46" s="12"/>
      <c r="J46" s="12"/>
      <c r="K46" s="12"/>
      <c r="L46" s="12"/>
      <c r="M46" s="12"/>
      <c r="N46" s="12"/>
      <c r="O46" s="66"/>
      <c r="P46" s="67"/>
      <c r="Q46" s="67"/>
      <c r="R46" s="67"/>
      <c r="S46" s="67"/>
      <c r="T46" s="12"/>
      <c r="U46" s="12"/>
      <c r="V46" s="66"/>
      <c r="W46" s="67"/>
      <c r="X46" s="12"/>
      <c r="Y46" s="11"/>
      <c r="Z46" s="67"/>
      <c r="AA46" s="67"/>
      <c r="AB46" s="67"/>
      <c r="AC46" s="66"/>
      <c r="AD46" s="67"/>
      <c r="AE46" s="67"/>
      <c r="AF46" s="67"/>
      <c r="AG46" s="67">
        <v>58539</v>
      </c>
      <c r="AH46" s="66">
        <f t="shared" si="14"/>
        <v>58539</v>
      </c>
      <c r="AI46" s="68">
        <f t="shared" si="13"/>
        <v>58539</v>
      </c>
    </row>
    <row r="47" spans="1:35" ht="17.25" customHeight="1" x14ac:dyDescent="0.25">
      <c r="A47" s="40">
        <f t="shared" si="12"/>
        <v>24</v>
      </c>
      <c r="B47" s="58" t="s">
        <v>199</v>
      </c>
      <c r="C47" s="59" t="s">
        <v>32</v>
      </c>
      <c r="D47" s="67"/>
      <c r="E47" s="67"/>
      <c r="F47" s="67"/>
      <c r="G47" s="67"/>
      <c r="H47" s="66">
        <f t="shared" si="0"/>
        <v>0</v>
      </c>
      <c r="I47" s="12"/>
      <c r="J47" s="12"/>
      <c r="K47" s="12"/>
      <c r="L47" s="12"/>
      <c r="M47" s="12"/>
      <c r="N47" s="12"/>
      <c r="O47" s="66">
        <f t="shared" si="11"/>
        <v>0</v>
      </c>
      <c r="P47" s="67"/>
      <c r="Q47" s="67"/>
      <c r="R47" s="67"/>
      <c r="S47" s="67"/>
      <c r="T47" s="12"/>
      <c r="U47" s="12"/>
      <c r="V47" s="66">
        <f t="shared" si="6"/>
        <v>0</v>
      </c>
      <c r="W47" s="67"/>
      <c r="X47" s="12"/>
      <c r="Y47" s="11"/>
      <c r="Z47" s="67"/>
      <c r="AA47" s="67"/>
      <c r="AB47" s="67"/>
      <c r="AC47" s="66">
        <f t="shared" si="1"/>
        <v>0</v>
      </c>
      <c r="AD47" s="67"/>
      <c r="AE47" s="67"/>
      <c r="AF47" s="67"/>
      <c r="AG47" s="67"/>
      <c r="AH47" s="66">
        <f t="shared" si="14"/>
        <v>0</v>
      </c>
      <c r="AI47" s="68">
        <f t="shared" si="13"/>
        <v>0</v>
      </c>
    </row>
    <row r="48" spans="1:35" ht="17.25" customHeight="1" x14ac:dyDescent="0.25">
      <c r="A48" s="40">
        <f t="shared" si="12"/>
        <v>25</v>
      </c>
      <c r="B48" s="58" t="s">
        <v>184</v>
      </c>
      <c r="C48" s="59" t="s">
        <v>32</v>
      </c>
      <c r="D48" s="67"/>
      <c r="E48" s="67"/>
      <c r="F48" s="67"/>
      <c r="G48" s="67"/>
      <c r="H48" s="66">
        <f t="shared" si="0"/>
        <v>0</v>
      </c>
      <c r="I48" s="12"/>
      <c r="J48" s="12"/>
      <c r="K48" s="12"/>
      <c r="L48" s="12"/>
      <c r="M48" s="12"/>
      <c r="N48" s="12"/>
      <c r="O48" s="66">
        <f t="shared" si="11"/>
        <v>0</v>
      </c>
      <c r="P48" s="67"/>
      <c r="Q48" s="67"/>
      <c r="R48" s="67"/>
      <c r="S48" s="67"/>
      <c r="T48" s="67"/>
      <c r="U48" s="67"/>
      <c r="V48" s="66">
        <f t="shared" si="6"/>
        <v>0</v>
      </c>
      <c r="W48" s="67"/>
      <c r="X48" s="67"/>
      <c r="Y48" s="67"/>
      <c r="Z48" s="67"/>
      <c r="AA48" s="67"/>
      <c r="AB48" s="67"/>
      <c r="AC48" s="66">
        <f t="shared" si="1"/>
        <v>0</v>
      </c>
      <c r="AD48" s="67"/>
      <c r="AE48" s="67"/>
      <c r="AF48" s="67"/>
      <c r="AG48" s="67">
        <f>12185+96677</f>
        <v>108862</v>
      </c>
      <c r="AH48" s="66">
        <f t="shared" si="2"/>
        <v>108862</v>
      </c>
      <c r="AI48" s="68">
        <f t="shared" si="13"/>
        <v>108862</v>
      </c>
    </row>
    <row r="49" spans="1:37" ht="16.5" thickBot="1" x14ac:dyDescent="0.3">
      <c r="A49" s="274" t="s">
        <v>79</v>
      </c>
      <c r="B49" s="274"/>
      <c r="C49" s="274"/>
      <c r="D49" s="92"/>
      <c r="E49" s="92"/>
      <c r="F49" s="92"/>
      <c r="G49" s="92">
        <f>SUM(G24:G48)</f>
        <v>0</v>
      </c>
      <c r="H49" s="91">
        <f t="shared" si="0"/>
        <v>0</v>
      </c>
      <c r="I49" s="92">
        <f t="shared" ref="I49:N49" si="15">SUM(I24:I48)</f>
        <v>0</v>
      </c>
      <c r="J49" s="92">
        <f t="shared" si="15"/>
        <v>0</v>
      </c>
      <c r="K49" s="92">
        <f t="shared" si="15"/>
        <v>0</v>
      </c>
      <c r="L49" s="92">
        <f t="shared" si="15"/>
        <v>0</v>
      </c>
      <c r="M49" s="92">
        <f t="shared" si="15"/>
        <v>0</v>
      </c>
      <c r="N49" s="92">
        <f t="shared" si="15"/>
        <v>0</v>
      </c>
      <c r="O49" s="91">
        <f>SUM(I49:N49)</f>
        <v>0</v>
      </c>
      <c r="P49" s="92">
        <f t="shared" ref="P49:U49" si="16">SUM(P24:P48)</f>
        <v>0</v>
      </c>
      <c r="Q49" s="92">
        <f t="shared" si="16"/>
        <v>0</v>
      </c>
      <c r="R49" s="92">
        <f t="shared" si="16"/>
        <v>0</v>
      </c>
      <c r="S49" s="92">
        <f t="shared" si="16"/>
        <v>0</v>
      </c>
      <c r="T49" s="92">
        <f t="shared" si="16"/>
        <v>0</v>
      </c>
      <c r="U49" s="92">
        <f t="shared" si="16"/>
        <v>0</v>
      </c>
      <c r="V49" s="91">
        <f>SUM(P49:U49)</f>
        <v>0</v>
      </c>
      <c r="W49" s="92">
        <f t="shared" ref="W49:AB49" si="17">SUM(W24:W48)</f>
        <v>0</v>
      </c>
      <c r="X49" s="92">
        <f t="shared" si="17"/>
        <v>0</v>
      </c>
      <c r="Y49" s="92">
        <f t="shared" si="17"/>
        <v>0</v>
      </c>
      <c r="Z49" s="92">
        <f t="shared" si="17"/>
        <v>0</v>
      </c>
      <c r="AA49" s="92">
        <f t="shared" si="17"/>
        <v>0</v>
      </c>
      <c r="AB49" s="92">
        <f t="shared" si="17"/>
        <v>0</v>
      </c>
      <c r="AC49" s="91">
        <f t="shared" si="1"/>
        <v>0</v>
      </c>
      <c r="AD49" s="92">
        <f>SUM(AD24:AD48)</f>
        <v>0</v>
      </c>
      <c r="AE49" s="92">
        <f>SUM(AE24:AE48)</f>
        <v>0</v>
      </c>
      <c r="AF49" s="92">
        <f>SUM(AF24:AF48)</f>
        <v>0</v>
      </c>
      <c r="AG49" s="92">
        <f>SUM(AG24:AG48)</f>
        <v>1545550.2</v>
      </c>
      <c r="AH49" s="66">
        <f>SUM(AD49:AG49)</f>
        <v>1545550.2</v>
      </c>
      <c r="AI49" s="70">
        <f>SUM(AI24:AI48)</f>
        <v>1545550.2</v>
      </c>
    </row>
    <row r="50" spans="1:37" ht="29.25" customHeight="1" thickTop="1" x14ac:dyDescent="0.25">
      <c r="A50" s="269" t="s">
        <v>78</v>
      </c>
      <c r="B50" s="269"/>
      <c r="C50" s="269"/>
      <c r="D50" s="71">
        <f>+D23+D49</f>
        <v>0</v>
      </c>
      <c r="E50" s="71">
        <f>+E23+E49</f>
        <v>0</v>
      </c>
      <c r="F50" s="71">
        <f>+F23+F49</f>
        <v>0</v>
      </c>
      <c r="G50" s="71">
        <f>+G23+G49</f>
        <v>0</v>
      </c>
      <c r="H50" s="66">
        <f t="shared" si="0"/>
        <v>0</v>
      </c>
      <c r="I50" s="71">
        <f t="shared" ref="I50:N50" si="18">+I23+I49</f>
        <v>0</v>
      </c>
      <c r="J50" s="71">
        <f t="shared" si="18"/>
        <v>0</v>
      </c>
      <c r="K50" s="71">
        <f t="shared" si="18"/>
        <v>0</v>
      </c>
      <c r="L50" s="71">
        <f t="shared" si="18"/>
        <v>0</v>
      </c>
      <c r="M50" s="71">
        <f t="shared" si="18"/>
        <v>0</v>
      </c>
      <c r="N50" s="71">
        <f t="shared" si="18"/>
        <v>0</v>
      </c>
      <c r="O50" s="66">
        <f t="shared" si="4"/>
        <v>0</v>
      </c>
      <c r="P50" s="71">
        <f t="shared" ref="P50:U50" si="19">+P23+P49</f>
        <v>0</v>
      </c>
      <c r="Q50" s="71">
        <f t="shared" si="19"/>
        <v>0</v>
      </c>
      <c r="R50" s="71">
        <f t="shared" si="19"/>
        <v>0</v>
      </c>
      <c r="S50" s="71">
        <f t="shared" si="19"/>
        <v>0</v>
      </c>
      <c r="T50" s="71">
        <f t="shared" si="19"/>
        <v>0</v>
      </c>
      <c r="U50" s="71">
        <f t="shared" si="19"/>
        <v>0</v>
      </c>
      <c r="V50" s="66">
        <f>SUM(P50:U50)</f>
        <v>0</v>
      </c>
      <c r="W50" s="71">
        <f t="shared" ref="W50:AB50" si="20">+W23+W49</f>
        <v>0</v>
      </c>
      <c r="X50" s="71">
        <f t="shared" si="20"/>
        <v>0</v>
      </c>
      <c r="Y50" s="71">
        <f t="shared" si="20"/>
        <v>0</v>
      </c>
      <c r="Z50" s="71">
        <f t="shared" si="20"/>
        <v>0</v>
      </c>
      <c r="AA50" s="71">
        <f t="shared" si="20"/>
        <v>0</v>
      </c>
      <c r="AB50" s="71">
        <f t="shared" si="20"/>
        <v>0</v>
      </c>
      <c r="AC50" s="66">
        <f t="shared" si="1"/>
        <v>0</v>
      </c>
      <c r="AD50" s="71">
        <f>+AD23+AD49</f>
        <v>0</v>
      </c>
      <c r="AE50" s="71"/>
      <c r="AF50" s="71"/>
      <c r="AG50" s="71"/>
      <c r="AH50" s="66">
        <f>SUM(AD50:AG50)</f>
        <v>0</v>
      </c>
      <c r="AI50" s="71">
        <f>SUM(AI49,AI23)</f>
        <v>1545550.2</v>
      </c>
    </row>
    <row r="51" spans="1:37" x14ac:dyDescent="0.25">
      <c r="A51" s="37"/>
      <c r="B51" s="33"/>
      <c r="C51" s="33"/>
      <c r="AK51" s="49"/>
    </row>
    <row r="52" spans="1:37" x14ac:dyDescent="0.25">
      <c r="A52" s="37"/>
      <c r="B52" s="34"/>
      <c r="C52" s="34"/>
      <c r="AI52" s="49"/>
    </row>
    <row r="53" spans="1:37" x14ac:dyDescent="0.25">
      <c r="A53" s="37"/>
      <c r="B53" s="34"/>
      <c r="C53" s="34"/>
      <c r="M53" s="49"/>
      <c r="N53" s="100"/>
    </row>
    <row r="54" spans="1:37" x14ac:dyDescent="0.25">
      <c r="M54" s="49"/>
      <c r="N54" s="100"/>
      <c r="AI54" s="49"/>
      <c r="AK54" s="49"/>
    </row>
    <row r="55" spans="1:37" x14ac:dyDescent="0.25">
      <c r="M55" s="49"/>
      <c r="N55" s="101"/>
    </row>
    <row r="56" spans="1:37" x14ac:dyDescent="0.25">
      <c r="M56" s="49"/>
      <c r="N56" s="101"/>
    </row>
    <row r="57" spans="1:37" x14ac:dyDescent="0.25">
      <c r="M57" s="49"/>
      <c r="N57" s="101"/>
    </row>
  </sheetData>
  <mergeCells count="7">
    <mergeCell ref="A50:C50"/>
    <mergeCell ref="A6:A7"/>
    <mergeCell ref="B6:B7"/>
    <mergeCell ref="C6:C7"/>
    <mergeCell ref="AI6:AI7"/>
    <mergeCell ref="A23:C23"/>
    <mergeCell ref="A49:C49"/>
  </mergeCells>
  <pageMargins left="0.7" right="0.7" top="0.75" bottom="0.75" header="0.3" footer="0.3"/>
  <pageSetup paperSize="9" scale="24" orientation="landscape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3382-2E98-4704-80B1-052036A6552C}">
  <sheetPr codeName="Hoja39"/>
  <dimension ref="A1:R61"/>
  <sheetViews>
    <sheetView topLeftCell="A37" zoomScale="90" zoomScaleNormal="90" workbookViewId="0">
      <selection activeCell="E43" sqref="E43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hidden="1" customWidth="1"/>
    <col min="10" max="10" width="27.85546875" style="1" customWidth="1"/>
    <col min="11" max="11" width="5" style="1" customWidth="1"/>
    <col min="12" max="12" width="12.42578125" style="1" bestFit="1" customWidth="1"/>
    <col min="13" max="16384" width="11.42578125" style="1"/>
  </cols>
  <sheetData>
    <row r="1" spans="1:17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7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7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7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7" x14ac:dyDescent="0.25">
      <c r="A5" s="5"/>
      <c r="B5" s="7"/>
      <c r="C5" s="8" t="s">
        <v>49</v>
      </c>
      <c r="D5" s="5" t="s">
        <v>298</v>
      </c>
      <c r="E5" s="9"/>
      <c r="F5" s="9"/>
      <c r="G5" s="9"/>
      <c r="H5" s="9"/>
      <c r="I5" s="9"/>
      <c r="J5" s="9"/>
      <c r="K5" s="5"/>
    </row>
    <row r="6" spans="1:17" x14ac:dyDescent="0.25">
      <c r="A6" s="5"/>
      <c r="B6" s="7"/>
      <c r="C6" s="8" t="s">
        <v>45</v>
      </c>
      <c r="D6" s="13">
        <v>7516576</v>
      </c>
      <c r="E6" s="9"/>
      <c r="F6" s="9"/>
      <c r="G6" s="9"/>
      <c r="H6" s="9"/>
      <c r="I6" s="9"/>
      <c r="J6" s="9"/>
      <c r="K6" s="5"/>
    </row>
    <row r="7" spans="1:17" x14ac:dyDescent="0.25">
      <c r="A7" s="5"/>
      <c r="B7" s="7"/>
      <c r="C7" s="8" t="s">
        <v>48</v>
      </c>
      <c r="D7" s="5" t="s">
        <v>32</v>
      </c>
      <c r="E7" s="9"/>
      <c r="F7" s="9"/>
      <c r="G7" s="9"/>
      <c r="H7" s="9"/>
      <c r="I7" s="9"/>
      <c r="J7" s="9"/>
      <c r="K7" s="5"/>
    </row>
    <row r="8" spans="1:17" x14ac:dyDescent="0.25">
      <c r="A8" s="5"/>
      <c r="B8" s="7"/>
      <c r="C8" s="8" t="s">
        <v>297</v>
      </c>
      <c r="D8" s="16" t="s">
        <v>296</v>
      </c>
      <c r="E8" s="9"/>
      <c r="F8" s="9"/>
      <c r="G8" s="9"/>
      <c r="H8" s="9"/>
      <c r="I8" s="9"/>
      <c r="J8" s="9"/>
      <c r="K8" s="5"/>
    </row>
    <row r="9" spans="1:17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7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7" ht="18" customHeight="1" x14ac:dyDescent="0.25">
      <c r="A11" s="5"/>
      <c r="B11" s="14">
        <v>251204</v>
      </c>
      <c r="C11" s="14">
        <v>2060</v>
      </c>
      <c r="D11" s="22">
        <v>45992</v>
      </c>
      <c r="E11" s="12">
        <v>6660</v>
      </c>
      <c r="F11" s="12"/>
      <c r="G11" s="22"/>
      <c r="H11" s="12">
        <f>+E11-F11</f>
        <v>6660</v>
      </c>
      <c r="I11" s="10"/>
      <c r="J11" s="150"/>
      <c r="K11" s="5"/>
    </row>
    <row r="12" spans="1:17" ht="18" customHeight="1" x14ac:dyDescent="0.25">
      <c r="A12" s="5"/>
      <c r="B12" s="14">
        <v>251207</v>
      </c>
      <c r="C12" s="14">
        <v>2070</v>
      </c>
      <c r="D12" s="22">
        <v>45993</v>
      </c>
      <c r="E12" s="12">
        <v>7806</v>
      </c>
      <c r="F12" s="12">
        <v>6660</v>
      </c>
      <c r="G12" s="22">
        <v>45993</v>
      </c>
      <c r="H12" s="12">
        <f>+H11+E12-F12</f>
        <v>7806</v>
      </c>
      <c r="I12" s="10"/>
      <c r="J12" s="150" t="s">
        <v>299</v>
      </c>
      <c r="K12" s="5"/>
      <c r="L12" s="49" t="s">
        <v>312</v>
      </c>
      <c r="M12" s="1" t="s">
        <v>311</v>
      </c>
      <c r="N12" s="49" t="s">
        <v>312</v>
      </c>
      <c r="O12" s="1" t="s">
        <v>311</v>
      </c>
      <c r="P12" s="49" t="s">
        <v>312</v>
      </c>
      <c r="Q12" s="1" t="s">
        <v>311</v>
      </c>
    </row>
    <row r="13" spans="1:17" ht="18" customHeight="1" x14ac:dyDescent="0.25">
      <c r="A13" s="5"/>
      <c r="B13" s="14">
        <v>251210</v>
      </c>
      <c r="C13" s="14">
        <v>2073</v>
      </c>
      <c r="D13" s="22">
        <v>45993</v>
      </c>
      <c r="E13" s="12">
        <v>7370</v>
      </c>
      <c r="F13" s="12">
        <v>11000</v>
      </c>
      <c r="G13" s="22">
        <v>45994</v>
      </c>
      <c r="H13" s="12">
        <f t="shared" ref="H13:H53" si="0">+H12+E13-F13</f>
        <v>4176</v>
      </c>
      <c r="I13" s="10"/>
      <c r="J13" s="150" t="s">
        <v>301</v>
      </c>
      <c r="K13" s="5"/>
      <c r="L13" s="49">
        <v>4006</v>
      </c>
      <c r="M13" s="49">
        <v>632</v>
      </c>
      <c r="N13" s="1">
        <v>4026</v>
      </c>
      <c r="O13" s="1">
        <v>1390</v>
      </c>
    </row>
    <row r="14" spans="1:17" x14ac:dyDescent="0.25">
      <c r="A14" s="5"/>
      <c r="B14" s="14">
        <v>251211</v>
      </c>
      <c r="C14" s="14">
        <v>2075</v>
      </c>
      <c r="D14" s="22">
        <v>45994</v>
      </c>
      <c r="E14" s="12">
        <v>4280</v>
      </c>
      <c r="F14" s="12">
        <v>6600</v>
      </c>
      <c r="G14" s="22">
        <v>45995</v>
      </c>
      <c r="H14" s="12">
        <f t="shared" si="0"/>
        <v>1856</v>
      </c>
      <c r="I14" s="10"/>
      <c r="J14" s="150"/>
      <c r="K14" s="5"/>
      <c r="L14" s="49">
        <v>4013</v>
      </c>
      <c r="M14" s="1">
        <v>300</v>
      </c>
      <c r="N14" s="1">
        <v>4027</v>
      </c>
      <c r="O14" s="1">
        <v>1150</v>
      </c>
    </row>
    <row r="15" spans="1:17" x14ac:dyDescent="0.25">
      <c r="A15" s="5"/>
      <c r="B15" s="14">
        <v>251215</v>
      </c>
      <c r="C15" s="14">
        <v>2081</v>
      </c>
      <c r="D15" s="22">
        <v>45995</v>
      </c>
      <c r="E15" s="12">
        <v>6410</v>
      </c>
      <c r="F15" s="12">
        <v>8500</v>
      </c>
      <c r="G15" s="22">
        <v>45997</v>
      </c>
      <c r="H15" s="12">
        <f t="shared" si="0"/>
        <v>-234</v>
      </c>
      <c r="I15" s="10"/>
      <c r="J15" s="150"/>
      <c r="K15" s="5"/>
      <c r="L15" s="49">
        <v>4014</v>
      </c>
      <c r="M15" s="1">
        <v>1580</v>
      </c>
      <c r="N15" s="1">
        <v>4039</v>
      </c>
      <c r="O15" s="1">
        <v>642</v>
      </c>
    </row>
    <row r="16" spans="1:17" x14ac:dyDescent="0.25">
      <c r="A16" s="5"/>
      <c r="B16" s="14">
        <v>251216</v>
      </c>
      <c r="C16" s="14">
        <v>2083</v>
      </c>
      <c r="D16" s="22">
        <v>45996</v>
      </c>
      <c r="E16" s="12">
        <v>8590</v>
      </c>
      <c r="F16" s="12">
        <v>1474</v>
      </c>
      <c r="G16" s="22">
        <v>45997</v>
      </c>
      <c r="H16" s="12">
        <f t="shared" si="0"/>
        <v>6882</v>
      </c>
      <c r="I16" s="10"/>
      <c r="J16" s="150" t="s">
        <v>313</v>
      </c>
      <c r="K16" s="5"/>
      <c r="L16" s="49">
        <v>4015</v>
      </c>
      <c r="M16" s="1">
        <v>230</v>
      </c>
    </row>
    <row r="17" spans="1:18" x14ac:dyDescent="0.25">
      <c r="A17" s="5"/>
      <c r="B17" s="14">
        <v>251219</v>
      </c>
      <c r="C17" s="14">
        <v>2086</v>
      </c>
      <c r="D17" s="22">
        <v>45996</v>
      </c>
      <c r="E17" s="12">
        <v>860</v>
      </c>
      <c r="F17" s="12">
        <v>5000</v>
      </c>
      <c r="G17" s="22">
        <v>45997</v>
      </c>
      <c r="H17" s="12">
        <f t="shared" si="0"/>
        <v>2742</v>
      </c>
      <c r="I17" s="10"/>
      <c r="J17" s="150"/>
      <c r="K17" s="5"/>
      <c r="M17" s="201">
        <f>SUM(M13:M16)</f>
        <v>2742</v>
      </c>
      <c r="O17" s="201">
        <f>SUM(O13:O16)</f>
        <v>3182</v>
      </c>
      <c r="Q17" s="1">
        <v>9768.5</v>
      </c>
      <c r="R17" s="1">
        <v>4227.5</v>
      </c>
    </row>
    <row r="18" spans="1:18" ht="16.5" thickBot="1" x14ac:dyDescent="0.3">
      <c r="A18" s="5"/>
      <c r="B18" s="83"/>
      <c r="C18" s="83"/>
      <c r="D18" s="84"/>
      <c r="E18" s="85"/>
      <c r="F18" s="85">
        <v>2742</v>
      </c>
      <c r="G18" s="84">
        <v>45999</v>
      </c>
      <c r="H18" s="85">
        <f t="shared" si="0"/>
        <v>0</v>
      </c>
      <c r="I18" s="87"/>
      <c r="J18" s="175"/>
      <c r="K18" s="5"/>
    </row>
    <row r="19" spans="1:18" ht="16.5" thickTop="1" x14ac:dyDescent="0.25">
      <c r="A19" s="5"/>
      <c r="B19" s="118">
        <v>251221</v>
      </c>
      <c r="C19" s="118">
        <v>2090</v>
      </c>
      <c r="D19" s="117">
        <v>45999</v>
      </c>
      <c r="E19" s="80">
        <v>6720</v>
      </c>
      <c r="F19" s="80">
        <v>4900</v>
      </c>
      <c r="G19" s="117">
        <v>46000</v>
      </c>
      <c r="H19" s="80">
        <f t="shared" si="0"/>
        <v>1820</v>
      </c>
      <c r="I19" s="82"/>
      <c r="J19" s="172">
        <v>1253</v>
      </c>
      <c r="K19" s="5"/>
    </row>
    <row r="20" spans="1:18" x14ac:dyDescent="0.25">
      <c r="A20" s="5"/>
      <c r="B20" s="118"/>
      <c r="C20" s="118"/>
      <c r="D20" s="117"/>
      <c r="E20" s="80"/>
      <c r="F20" s="80">
        <v>1820</v>
      </c>
      <c r="G20" s="117">
        <v>46001</v>
      </c>
      <c r="H20" s="80">
        <f t="shared" si="0"/>
        <v>0</v>
      </c>
      <c r="I20" s="82"/>
      <c r="J20" s="150" t="s">
        <v>316</v>
      </c>
      <c r="K20" s="5"/>
    </row>
    <row r="21" spans="1:18" x14ac:dyDescent="0.25">
      <c r="A21" s="5"/>
      <c r="B21" s="14">
        <v>251226</v>
      </c>
      <c r="C21" s="14">
        <v>2096</v>
      </c>
      <c r="D21" s="22">
        <v>46000</v>
      </c>
      <c r="E21" s="12">
        <v>6940</v>
      </c>
      <c r="F21" s="12">
        <v>2180</v>
      </c>
      <c r="G21" s="22">
        <v>46001</v>
      </c>
      <c r="H21" s="80">
        <f t="shared" si="0"/>
        <v>4760</v>
      </c>
      <c r="I21" s="10"/>
      <c r="J21" s="150" t="s">
        <v>316</v>
      </c>
      <c r="K21" s="5"/>
    </row>
    <row r="22" spans="1:18" x14ac:dyDescent="0.25">
      <c r="A22" s="5"/>
      <c r="B22" s="14">
        <v>251228</v>
      </c>
      <c r="C22" s="14">
        <v>2101</v>
      </c>
      <c r="D22" s="22">
        <v>46000</v>
      </c>
      <c r="E22" s="12">
        <v>3790</v>
      </c>
      <c r="F22" s="12"/>
      <c r="G22" s="22"/>
      <c r="H22" s="80">
        <f t="shared" si="0"/>
        <v>8550</v>
      </c>
      <c r="I22" s="10"/>
      <c r="J22" s="150"/>
      <c r="K22" s="5"/>
    </row>
    <row r="23" spans="1:18" x14ac:dyDescent="0.25">
      <c r="A23" s="5"/>
      <c r="B23" s="14">
        <v>251230</v>
      </c>
      <c r="C23" s="14">
        <v>2104</v>
      </c>
      <c r="D23" s="22">
        <v>46001</v>
      </c>
      <c r="E23" s="12">
        <v>4070</v>
      </c>
      <c r="F23" s="12">
        <v>2100</v>
      </c>
      <c r="G23" s="22">
        <v>46002</v>
      </c>
      <c r="H23" s="80">
        <f t="shared" si="0"/>
        <v>10520</v>
      </c>
      <c r="I23" s="10"/>
      <c r="J23" s="150">
        <v>1259</v>
      </c>
      <c r="K23" s="5"/>
    </row>
    <row r="24" spans="1:18" x14ac:dyDescent="0.25">
      <c r="A24" s="5"/>
      <c r="B24" s="14">
        <v>251233</v>
      </c>
      <c r="C24" s="14">
        <v>2110</v>
      </c>
      <c r="D24" s="22">
        <v>46002</v>
      </c>
      <c r="E24" s="12">
        <v>3040</v>
      </c>
      <c r="F24" s="12">
        <v>4400</v>
      </c>
      <c r="G24" s="22">
        <v>46003</v>
      </c>
      <c r="H24" s="12">
        <f t="shared" si="0"/>
        <v>9160</v>
      </c>
      <c r="I24" s="10"/>
      <c r="J24" s="150">
        <v>1262</v>
      </c>
      <c r="K24" s="5"/>
      <c r="L24" s="49"/>
    </row>
    <row r="25" spans="1:18" x14ac:dyDescent="0.25">
      <c r="A25" s="5"/>
      <c r="B25" s="14">
        <v>251236</v>
      </c>
      <c r="C25" s="14">
        <v>2113</v>
      </c>
      <c r="D25" s="22">
        <v>46003</v>
      </c>
      <c r="E25" s="12">
        <v>4600</v>
      </c>
      <c r="F25" s="12">
        <v>3800</v>
      </c>
      <c r="G25" s="22">
        <v>46004</v>
      </c>
      <c r="H25" s="12">
        <f t="shared" si="0"/>
        <v>9960</v>
      </c>
      <c r="I25" s="10"/>
      <c r="J25" s="150">
        <v>1265</v>
      </c>
      <c r="K25" s="5"/>
    </row>
    <row r="26" spans="1:18" x14ac:dyDescent="0.25">
      <c r="A26" s="5"/>
      <c r="B26" s="14">
        <v>251238</v>
      </c>
      <c r="C26" s="14">
        <v>2117</v>
      </c>
      <c r="D26" s="22">
        <v>46004</v>
      </c>
      <c r="E26" s="12">
        <v>1200</v>
      </c>
      <c r="F26" s="12">
        <v>5000</v>
      </c>
      <c r="G26" s="22">
        <v>46004</v>
      </c>
      <c r="H26" s="12">
        <f t="shared" si="0"/>
        <v>6160</v>
      </c>
      <c r="I26" s="10"/>
      <c r="J26" s="150" t="s">
        <v>317</v>
      </c>
      <c r="K26" s="5"/>
    </row>
    <row r="27" spans="1:18" x14ac:dyDescent="0.25">
      <c r="A27" s="5"/>
      <c r="B27" s="14"/>
      <c r="C27" s="14"/>
      <c r="D27" s="22"/>
      <c r="E27" s="12"/>
      <c r="F27" s="12">
        <v>1200</v>
      </c>
      <c r="G27" s="22">
        <v>46004</v>
      </c>
      <c r="H27" s="12">
        <f t="shared" si="0"/>
        <v>4960</v>
      </c>
      <c r="I27" s="10"/>
      <c r="J27" s="150">
        <v>1266</v>
      </c>
      <c r="K27" s="5"/>
    </row>
    <row r="28" spans="1:18" ht="16.5" thickBot="1" x14ac:dyDescent="0.3">
      <c r="A28" s="5"/>
      <c r="B28" s="83"/>
      <c r="C28" s="83"/>
      <c r="D28" s="84"/>
      <c r="E28" s="85"/>
      <c r="F28" s="85">
        <v>4960</v>
      </c>
      <c r="G28" s="84">
        <v>46006</v>
      </c>
      <c r="H28" s="85">
        <f t="shared" si="0"/>
        <v>0</v>
      </c>
      <c r="I28" s="87"/>
      <c r="J28" s="175"/>
      <c r="K28" s="5"/>
    </row>
    <row r="29" spans="1:18" ht="16.5" thickTop="1" x14ac:dyDescent="0.25">
      <c r="A29" s="5"/>
      <c r="B29" s="118">
        <v>251242</v>
      </c>
      <c r="C29" s="118">
        <v>2121</v>
      </c>
      <c r="D29" s="117">
        <v>46006</v>
      </c>
      <c r="E29" s="80">
        <v>7010</v>
      </c>
      <c r="F29" s="80">
        <v>4000</v>
      </c>
      <c r="G29" s="117">
        <v>46007</v>
      </c>
      <c r="H29" s="80">
        <f t="shared" si="0"/>
        <v>3010</v>
      </c>
      <c r="I29" s="82"/>
      <c r="J29" s="172">
        <v>1274</v>
      </c>
      <c r="K29" s="5"/>
    </row>
    <row r="30" spans="1:18" x14ac:dyDescent="0.25">
      <c r="A30" s="5"/>
      <c r="B30" s="118">
        <v>251248</v>
      </c>
      <c r="C30" s="118">
        <v>2128</v>
      </c>
      <c r="D30" s="117">
        <v>46007</v>
      </c>
      <c r="E30" s="80">
        <v>6170</v>
      </c>
      <c r="F30" s="80">
        <v>5200</v>
      </c>
      <c r="G30" s="117">
        <v>46008</v>
      </c>
      <c r="H30" s="80">
        <f t="shared" si="0"/>
        <v>3980</v>
      </c>
      <c r="I30" s="82"/>
      <c r="J30" s="172">
        <v>1278</v>
      </c>
      <c r="K30" s="5"/>
    </row>
    <row r="31" spans="1:18" x14ac:dyDescent="0.25">
      <c r="A31" s="5"/>
      <c r="B31" s="118">
        <v>251252</v>
      </c>
      <c r="C31" s="118">
        <v>2133</v>
      </c>
      <c r="D31" s="117">
        <v>46007</v>
      </c>
      <c r="E31" s="80">
        <v>4320</v>
      </c>
      <c r="F31" s="80">
        <v>3000</v>
      </c>
      <c r="G31" s="117">
        <v>46009</v>
      </c>
      <c r="H31" s="80">
        <f t="shared" si="0"/>
        <v>5300</v>
      </c>
      <c r="I31" s="82"/>
      <c r="J31" s="172">
        <v>1282</v>
      </c>
      <c r="K31" s="5"/>
    </row>
    <row r="32" spans="1:18" x14ac:dyDescent="0.25">
      <c r="A32" s="5"/>
      <c r="B32" s="118">
        <v>251253</v>
      </c>
      <c r="C32" s="118">
        <v>2135</v>
      </c>
      <c r="D32" s="117">
        <v>46008</v>
      </c>
      <c r="E32" s="80">
        <v>3380</v>
      </c>
      <c r="F32" s="210">
        <v>3380</v>
      </c>
      <c r="G32" s="117">
        <v>46010</v>
      </c>
      <c r="H32" s="80">
        <f t="shared" si="0"/>
        <v>5300</v>
      </c>
      <c r="I32" s="82"/>
      <c r="J32" s="172" t="s">
        <v>318</v>
      </c>
      <c r="K32" s="5"/>
    </row>
    <row r="33" spans="1:15" x14ac:dyDescent="0.25">
      <c r="A33" s="5"/>
      <c r="B33" s="118">
        <v>251254</v>
      </c>
      <c r="C33" s="118">
        <v>2036</v>
      </c>
      <c r="D33" s="117">
        <v>46008</v>
      </c>
      <c r="E33" s="80">
        <v>860</v>
      </c>
      <c r="F33" s="210">
        <v>860</v>
      </c>
      <c r="G33" s="117">
        <v>46010</v>
      </c>
      <c r="H33" s="80">
        <f t="shared" si="0"/>
        <v>5300</v>
      </c>
      <c r="I33" s="82"/>
      <c r="J33" s="172" t="s">
        <v>318</v>
      </c>
      <c r="K33" s="5"/>
    </row>
    <row r="34" spans="1:15" x14ac:dyDescent="0.25">
      <c r="A34" s="5"/>
      <c r="B34" s="118">
        <v>251260</v>
      </c>
      <c r="C34" s="118">
        <v>2140</v>
      </c>
      <c r="D34" s="117">
        <v>46009</v>
      </c>
      <c r="E34" s="80">
        <v>8720</v>
      </c>
      <c r="F34" s="210">
        <v>8720</v>
      </c>
      <c r="G34" s="117">
        <v>46010</v>
      </c>
      <c r="H34" s="80">
        <f t="shared" si="0"/>
        <v>5300</v>
      </c>
      <c r="I34" s="82"/>
      <c r="J34" s="172" t="s">
        <v>318</v>
      </c>
      <c r="K34" s="5"/>
    </row>
    <row r="35" spans="1:15" x14ac:dyDescent="0.25">
      <c r="A35" s="5"/>
      <c r="B35" s="118">
        <v>251263</v>
      </c>
      <c r="C35" s="118">
        <v>2146</v>
      </c>
      <c r="D35" s="117">
        <v>46009</v>
      </c>
      <c r="E35" s="80">
        <v>7960</v>
      </c>
      <c r="F35" s="210">
        <v>10040</v>
      </c>
      <c r="G35" s="117">
        <v>46010</v>
      </c>
      <c r="H35" s="80">
        <f t="shared" si="0"/>
        <v>3220</v>
      </c>
      <c r="I35" s="82"/>
      <c r="J35" s="172" t="s">
        <v>318</v>
      </c>
      <c r="K35" s="5"/>
    </row>
    <row r="36" spans="1:15" x14ac:dyDescent="0.25">
      <c r="A36" s="5"/>
      <c r="B36" s="118">
        <v>251266</v>
      </c>
      <c r="C36" s="118">
        <v>2151</v>
      </c>
      <c r="D36" s="117">
        <v>46009</v>
      </c>
      <c r="E36" s="80">
        <v>10730</v>
      </c>
      <c r="F36" s="80">
        <v>6300</v>
      </c>
      <c r="G36" s="117">
        <v>46011</v>
      </c>
      <c r="H36" s="80">
        <f t="shared" si="0"/>
        <v>7650</v>
      </c>
      <c r="I36" s="82"/>
      <c r="J36" s="172"/>
      <c r="K36" s="5"/>
    </row>
    <row r="37" spans="1:15" x14ac:dyDescent="0.25">
      <c r="A37" s="5"/>
      <c r="B37" s="118">
        <v>251267</v>
      </c>
      <c r="C37" s="118">
        <v>2152</v>
      </c>
      <c r="D37" s="117">
        <v>46009</v>
      </c>
      <c r="E37" s="80">
        <v>13692</v>
      </c>
      <c r="F37" s="80">
        <v>0</v>
      </c>
      <c r="G37" s="117"/>
      <c r="H37" s="80">
        <f t="shared" si="0"/>
        <v>21342</v>
      </c>
      <c r="I37" s="82"/>
      <c r="J37" s="172"/>
      <c r="K37" s="5"/>
      <c r="O37" s="1">
        <v>450000</v>
      </c>
    </row>
    <row r="38" spans="1:15" x14ac:dyDescent="0.25">
      <c r="A38" s="5"/>
      <c r="B38" s="118">
        <v>251273</v>
      </c>
      <c r="C38" s="118">
        <v>2159</v>
      </c>
      <c r="D38" s="117">
        <v>46010</v>
      </c>
      <c r="E38" s="80">
        <v>3096</v>
      </c>
      <c r="F38" s="80">
        <v>0</v>
      </c>
      <c r="G38" s="117"/>
      <c r="H38" s="80">
        <f t="shared" si="0"/>
        <v>24438</v>
      </c>
      <c r="I38" s="82"/>
      <c r="J38" s="172"/>
      <c r="K38" s="5"/>
      <c r="O38" s="1">
        <f>+O37*8</f>
        <v>3600000</v>
      </c>
    </row>
    <row r="39" spans="1:15" x14ac:dyDescent="0.25">
      <c r="A39" s="5"/>
      <c r="B39" s="118">
        <v>251275</v>
      </c>
      <c r="C39" s="118">
        <v>2161</v>
      </c>
      <c r="D39" s="117">
        <v>46010</v>
      </c>
      <c r="E39" s="80">
        <v>8642</v>
      </c>
      <c r="F39" s="80">
        <v>28700</v>
      </c>
      <c r="G39" s="117">
        <v>46013</v>
      </c>
      <c r="H39" s="80">
        <f t="shared" si="0"/>
        <v>4380</v>
      </c>
      <c r="I39" s="82"/>
      <c r="J39" s="172">
        <v>1294</v>
      </c>
      <c r="K39" s="5"/>
    </row>
    <row r="40" spans="1:15" x14ac:dyDescent="0.25">
      <c r="A40" s="5"/>
      <c r="B40" s="118">
        <v>251277</v>
      </c>
      <c r="C40" s="118">
        <v>2163</v>
      </c>
      <c r="D40" s="117">
        <v>46010</v>
      </c>
      <c r="E40" s="80">
        <v>10079</v>
      </c>
      <c r="F40" s="80"/>
      <c r="G40" s="117"/>
      <c r="H40" s="80">
        <f t="shared" si="0"/>
        <v>14459</v>
      </c>
      <c r="I40" s="82"/>
      <c r="J40" s="172"/>
      <c r="K40" s="5"/>
    </row>
    <row r="41" spans="1:15" x14ac:dyDescent="0.25">
      <c r="A41" s="5"/>
      <c r="B41" s="14">
        <v>251280</v>
      </c>
      <c r="C41" s="14">
        <v>2167</v>
      </c>
      <c r="D41" s="22">
        <v>46011</v>
      </c>
      <c r="E41" s="12">
        <v>9760</v>
      </c>
      <c r="F41" s="12"/>
      <c r="G41" s="22"/>
      <c r="H41" s="12">
        <f t="shared" si="0"/>
        <v>24219</v>
      </c>
      <c r="I41" s="10"/>
      <c r="J41" s="150"/>
      <c r="K41" s="5"/>
    </row>
    <row r="42" spans="1:15" ht="16.5" thickBot="1" x14ac:dyDescent="0.3">
      <c r="A42" s="5"/>
      <c r="B42" s="192">
        <v>251282</v>
      </c>
      <c r="C42" s="192">
        <v>2170</v>
      </c>
      <c r="D42" s="193">
        <v>46011</v>
      </c>
      <c r="E42" s="131">
        <v>17225</v>
      </c>
      <c r="F42" s="131"/>
      <c r="G42" s="193"/>
      <c r="H42" s="131">
        <f t="shared" si="0"/>
        <v>41444</v>
      </c>
      <c r="I42" s="132"/>
      <c r="J42" s="211"/>
      <c r="K42" s="5"/>
    </row>
    <row r="43" spans="1:15" ht="16.5" thickTop="1" x14ac:dyDescent="0.25">
      <c r="A43" s="5"/>
      <c r="B43" s="118"/>
      <c r="C43" s="118"/>
      <c r="D43" s="117"/>
      <c r="E43" s="80"/>
      <c r="F43" s="80">
        <v>10500</v>
      </c>
      <c r="G43" s="117">
        <v>46014</v>
      </c>
      <c r="H43" s="80">
        <f t="shared" si="0"/>
        <v>30944</v>
      </c>
      <c r="I43" s="82"/>
      <c r="J43" s="172">
        <v>1297</v>
      </c>
      <c r="K43" s="5"/>
    </row>
    <row r="44" spans="1:15" x14ac:dyDescent="0.25">
      <c r="A44" s="5"/>
      <c r="B44" s="118"/>
      <c r="C44" s="118"/>
      <c r="D44" s="117"/>
      <c r="E44" s="80"/>
      <c r="F44" s="80">
        <v>13500</v>
      </c>
      <c r="G44" s="117">
        <v>46014</v>
      </c>
      <c r="H44" s="80">
        <f t="shared" si="0"/>
        <v>17444</v>
      </c>
      <c r="I44" s="82"/>
      <c r="J44" s="172" t="s">
        <v>320</v>
      </c>
      <c r="K44" s="5"/>
    </row>
    <row r="45" spans="1:15" x14ac:dyDescent="0.25">
      <c r="A45" s="5"/>
      <c r="B45" s="118"/>
      <c r="C45" s="118"/>
      <c r="D45" s="117"/>
      <c r="E45" s="80"/>
      <c r="F45" s="80">
        <v>7150</v>
      </c>
      <c r="G45" s="117">
        <v>46015</v>
      </c>
      <c r="H45" s="80">
        <f t="shared" si="0"/>
        <v>10294</v>
      </c>
      <c r="I45" s="82"/>
      <c r="J45" s="172">
        <v>1302</v>
      </c>
      <c r="K45" s="5"/>
    </row>
    <row r="46" spans="1:15" x14ac:dyDescent="0.25">
      <c r="A46" s="5"/>
      <c r="B46" s="118">
        <v>251288</v>
      </c>
      <c r="C46" s="118">
        <v>2177</v>
      </c>
      <c r="D46" s="117">
        <v>46014</v>
      </c>
      <c r="E46" s="80">
        <v>5340</v>
      </c>
      <c r="F46" s="80">
        <v>3800</v>
      </c>
      <c r="G46" s="117">
        <v>46018</v>
      </c>
      <c r="H46" s="80">
        <f t="shared" si="0"/>
        <v>11834</v>
      </c>
      <c r="I46" s="82"/>
      <c r="J46" s="172" t="s">
        <v>324</v>
      </c>
      <c r="K46" s="5"/>
    </row>
    <row r="47" spans="1:15" x14ac:dyDescent="0.25">
      <c r="A47" s="5"/>
      <c r="B47" s="118">
        <v>251295</v>
      </c>
      <c r="C47" s="118">
        <v>2185</v>
      </c>
      <c r="D47" s="117">
        <v>46015</v>
      </c>
      <c r="E47" s="80">
        <v>6820</v>
      </c>
      <c r="F47" s="80">
        <v>5020</v>
      </c>
      <c r="G47" s="117">
        <v>46020</v>
      </c>
      <c r="H47" s="80">
        <f t="shared" si="0"/>
        <v>13634</v>
      </c>
      <c r="I47" s="82"/>
      <c r="J47" s="172" t="s">
        <v>320</v>
      </c>
      <c r="K47" s="5"/>
    </row>
    <row r="48" spans="1:15" x14ac:dyDescent="0.25">
      <c r="A48" s="5"/>
      <c r="B48" s="118"/>
      <c r="C48" s="118"/>
      <c r="D48" s="117"/>
      <c r="E48" s="80"/>
      <c r="F48" s="80">
        <v>3850</v>
      </c>
      <c r="G48" s="117">
        <v>46020</v>
      </c>
      <c r="H48" s="80">
        <f t="shared" si="0"/>
        <v>9784</v>
      </c>
      <c r="I48" s="82"/>
      <c r="J48" s="172" t="s">
        <v>131</v>
      </c>
      <c r="K48" s="5"/>
    </row>
    <row r="49" spans="1:11" ht="16.5" thickBot="1" x14ac:dyDescent="0.3">
      <c r="A49" s="5"/>
      <c r="B49" s="83">
        <v>2512119</v>
      </c>
      <c r="C49" s="83">
        <v>2209</v>
      </c>
      <c r="D49" s="84">
        <v>46022</v>
      </c>
      <c r="E49" s="85">
        <v>-5285</v>
      </c>
      <c r="F49" s="85">
        <v>271.5</v>
      </c>
      <c r="G49" s="84">
        <v>46022</v>
      </c>
      <c r="H49" s="85">
        <f t="shared" si="0"/>
        <v>4227.5</v>
      </c>
      <c r="I49" s="87"/>
      <c r="J49" s="175"/>
      <c r="K49" s="5"/>
    </row>
    <row r="50" spans="1:11" ht="16.5" thickTop="1" x14ac:dyDescent="0.25">
      <c r="A50" s="5"/>
      <c r="B50" s="118"/>
      <c r="C50" s="118"/>
      <c r="D50" s="117"/>
      <c r="E50" s="80"/>
      <c r="F50" s="80"/>
      <c r="G50" s="117"/>
      <c r="H50" s="80">
        <f t="shared" si="0"/>
        <v>4227.5</v>
      </c>
      <c r="I50" s="82"/>
      <c r="J50" s="172"/>
      <c r="K50" s="5"/>
    </row>
    <row r="51" spans="1:11" x14ac:dyDescent="0.25">
      <c r="A51" s="5"/>
      <c r="B51" s="14"/>
      <c r="C51" s="14"/>
      <c r="D51" s="22"/>
      <c r="E51" s="12"/>
      <c r="F51" s="12">
        <v>4227.5</v>
      </c>
      <c r="G51" s="5" t="s">
        <v>345</v>
      </c>
      <c r="H51" s="80">
        <f t="shared" si="0"/>
        <v>0</v>
      </c>
      <c r="I51" s="10"/>
      <c r="J51" s="150" t="s">
        <v>354</v>
      </c>
      <c r="K51" s="5"/>
    </row>
    <row r="52" spans="1:11" x14ac:dyDescent="0.25">
      <c r="A52" s="5"/>
      <c r="B52" s="14"/>
      <c r="C52" s="14"/>
      <c r="D52" s="22"/>
      <c r="E52" s="12"/>
      <c r="F52" s="12"/>
      <c r="G52" s="22"/>
      <c r="H52" s="12">
        <f t="shared" si="0"/>
        <v>0</v>
      </c>
      <c r="I52" s="10"/>
      <c r="J52" s="10"/>
      <c r="K52" s="5"/>
    </row>
    <row r="53" spans="1:11" x14ac:dyDescent="0.25">
      <c r="A53" s="5"/>
      <c r="B53" s="14"/>
      <c r="C53" s="14"/>
      <c r="D53" s="22"/>
      <c r="E53" s="12"/>
      <c r="F53" s="12"/>
      <c r="G53" s="11"/>
      <c r="H53" s="27">
        <f t="shared" si="0"/>
        <v>0</v>
      </c>
      <c r="I53" s="10"/>
      <c r="J53" s="10"/>
      <c r="K53" s="5"/>
    </row>
    <row r="54" spans="1:11" ht="16.5" thickBot="1" x14ac:dyDescent="0.3">
      <c r="A54" s="5"/>
      <c r="B54" s="275" t="s">
        <v>55</v>
      </c>
      <c r="C54" s="275"/>
      <c r="D54" s="275"/>
      <c r="E54" s="147">
        <f>SUM(E11:E53)</f>
        <v>190855</v>
      </c>
      <c r="F54" s="148">
        <f>SUM(F11:F53)</f>
        <v>190855</v>
      </c>
      <c r="G54" s="5"/>
      <c r="H54" s="5"/>
      <c r="I54" s="5"/>
      <c r="J54" s="5"/>
      <c r="K54" s="5"/>
    </row>
    <row r="55" spans="1:11" ht="16.5" thickBot="1" x14ac:dyDescent="0.3">
      <c r="A55" s="5"/>
      <c r="B55" s="5"/>
      <c r="C55" s="5"/>
      <c r="D55" s="202"/>
      <c r="E55" s="204" t="s">
        <v>46</v>
      </c>
      <c r="F55" s="203">
        <f>+E54-F54</f>
        <v>0</v>
      </c>
      <c r="G55" s="5"/>
      <c r="H55" s="5"/>
      <c r="I55" s="5"/>
      <c r="J55" s="5"/>
      <c r="K55" s="5"/>
    </row>
    <row r="56" spans="1:11" x14ac:dyDescent="0.25">
      <c r="A56" s="5"/>
      <c r="B56" s="5"/>
      <c r="C56" s="5"/>
      <c r="D56" s="205"/>
      <c r="E56" s="205" t="s">
        <v>314</v>
      </c>
      <c r="F56" s="206">
        <v>0</v>
      </c>
      <c r="G56" s="5"/>
      <c r="H56" s="16"/>
      <c r="I56" s="16"/>
      <c r="J56" s="5"/>
      <c r="K56" s="5"/>
    </row>
    <row r="57" spans="1:11" x14ac:dyDescent="0.25">
      <c r="A57" s="5"/>
      <c r="B57" s="5"/>
      <c r="C57" s="5"/>
      <c r="D57" s="205"/>
      <c r="E57" s="205" t="s">
        <v>319</v>
      </c>
      <c r="F57" s="206">
        <v>0</v>
      </c>
      <c r="G57" s="5"/>
      <c r="H57" s="16"/>
      <c r="I57" s="16"/>
      <c r="J57" s="5"/>
      <c r="K57" s="5"/>
    </row>
    <row r="58" spans="1:11" ht="16.5" thickBot="1" x14ac:dyDescent="0.3">
      <c r="A58" s="5"/>
      <c r="B58" s="5"/>
      <c r="C58" s="5"/>
      <c r="D58" s="207"/>
      <c r="E58" s="208" t="s">
        <v>315</v>
      </c>
      <c r="F58" s="209">
        <f>+F55-F56-F57</f>
        <v>0</v>
      </c>
      <c r="G58" s="5"/>
      <c r="H58" s="16"/>
      <c r="I58" s="5"/>
      <c r="J58" s="5"/>
      <c r="K58" s="5"/>
    </row>
    <row r="59" spans="1:11" ht="16.5" thickBot="1" x14ac:dyDescent="0.3">
      <c r="D59" s="215"/>
      <c r="E59" s="214" t="s">
        <v>342</v>
      </c>
      <c r="F59" s="216">
        <f>+E54*5%</f>
        <v>9542.75</v>
      </c>
    </row>
    <row r="60" spans="1:11" x14ac:dyDescent="0.25">
      <c r="F60" s="49"/>
    </row>
    <row r="61" spans="1:11" x14ac:dyDescent="0.25">
      <c r="F61" s="49"/>
    </row>
  </sheetData>
  <mergeCells count="3">
    <mergeCell ref="B2:J2"/>
    <mergeCell ref="B3:J3"/>
    <mergeCell ref="B54:D54"/>
  </mergeCells>
  <pageMargins left="0.7" right="0.7" top="0.75" bottom="0.75" header="0.3" footer="0.3"/>
  <pageSetup paperSize="9" scale="65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40"/>
  <dimension ref="A1:R170"/>
  <sheetViews>
    <sheetView topLeftCell="B81" zoomScale="80" zoomScaleNormal="80" workbookViewId="0">
      <selection activeCell="F97" sqref="F97"/>
    </sheetView>
  </sheetViews>
  <sheetFormatPr baseColWidth="10" defaultColWidth="11.42578125" defaultRowHeight="15.75" x14ac:dyDescent="0.25"/>
  <cols>
    <col min="1" max="1" width="5" style="1" customWidth="1"/>
    <col min="2" max="3" width="10.7109375" style="1" customWidth="1"/>
    <col min="4" max="4" width="14.7109375" style="1" customWidth="1"/>
    <col min="5" max="5" width="16.7109375" style="1" customWidth="1"/>
    <col min="6" max="6" width="17.7109375" style="1" customWidth="1"/>
    <col min="7" max="7" width="14.85546875" style="1" customWidth="1"/>
    <col min="8" max="8" width="14.140625" style="1" customWidth="1"/>
    <col min="9" max="9" width="11.140625" style="1" hidden="1" customWidth="1"/>
    <col min="10" max="10" width="27" style="1" customWidth="1"/>
    <col min="11" max="11" width="5" style="1" customWidth="1"/>
    <col min="12" max="12" width="14.5703125" style="1" customWidth="1"/>
    <col min="13" max="14" width="12.42578125" style="1" bestFit="1" customWidth="1"/>
    <col min="15" max="17" width="11.42578125" style="1"/>
    <col min="18" max="18" width="13.85546875" style="1" bestFit="1" customWidth="1"/>
    <col min="19" max="16384" width="11.42578125" style="1"/>
  </cols>
  <sheetData>
    <row r="1" spans="1:18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8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8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8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8" x14ac:dyDescent="0.25">
      <c r="A5" s="5"/>
      <c r="B5" s="7"/>
      <c r="C5" s="8" t="s">
        <v>49</v>
      </c>
      <c r="D5" s="5" t="s">
        <v>31</v>
      </c>
      <c r="E5" s="9"/>
      <c r="F5" s="9"/>
      <c r="G5" s="9"/>
      <c r="H5" s="9"/>
      <c r="I5" s="9"/>
      <c r="J5" s="9"/>
      <c r="K5" s="5"/>
    </row>
    <row r="6" spans="1:18" x14ac:dyDescent="0.25">
      <c r="A6" s="5"/>
      <c r="B6" s="7"/>
      <c r="C6" s="8" t="s">
        <v>45</v>
      </c>
      <c r="D6" s="13">
        <v>73417475</v>
      </c>
      <c r="E6" s="9"/>
      <c r="F6" s="9"/>
      <c r="G6" s="9"/>
      <c r="H6" s="9"/>
      <c r="I6" s="9"/>
      <c r="J6" s="9"/>
      <c r="K6" s="5"/>
    </row>
    <row r="7" spans="1:18" x14ac:dyDescent="0.25">
      <c r="A7" s="5"/>
      <c r="B7" s="7"/>
      <c r="C7" s="8" t="s">
        <v>48</v>
      </c>
      <c r="D7" s="5" t="s">
        <v>30</v>
      </c>
      <c r="E7" s="9"/>
      <c r="F7" s="9"/>
      <c r="G7" s="9"/>
      <c r="H7" s="9"/>
      <c r="I7" s="9"/>
      <c r="J7" s="9"/>
      <c r="K7" s="5"/>
    </row>
    <row r="8" spans="1:18" x14ac:dyDescent="0.25">
      <c r="A8" s="5"/>
      <c r="B8" s="7"/>
      <c r="C8" s="8" t="s">
        <v>47</v>
      </c>
      <c r="D8" s="16">
        <v>0</v>
      </c>
      <c r="E8" s="9"/>
      <c r="F8" s="9"/>
      <c r="G8" s="9"/>
      <c r="H8" s="9"/>
      <c r="I8" s="9"/>
      <c r="J8" s="9"/>
      <c r="K8" s="5"/>
    </row>
    <row r="9" spans="1:18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8" s="2" customFormat="1" ht="42" customHeight="1" thickBot="1" x14ac:dyDescent="0.3">
      <c r="A10" s="6"/>
      <c r="B10" s="3" t="s">
        <v>0</v>
      </c>
      <c r="C10" s="3" t="s">
        <v>38</v>
      </c>
      <c r="D10" s="3" t="s">
        <v>43</v>
      </c>
      <c r="E10" s="121" t="s">
        <v>44</v>
      </c>
      <c r="F10" s="122" t="s">
        <v>127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8" ht="16.5" hidden="1" customHeight="1" x14ac:dyDescent="0.25">
      <c r="A11" s="5"/>
      <c r="B11" s="281" t="s">
        <v>171</v>
      </c>
      <c r="C11" s="282"/>
      <c r="D11" s="282"/>
      <c r="E11" s="283"/>
      <c r="F11" s="75"/>
      <c r="G11" s="76"/>
      <c r="H11" s="12">
        <v>101349.62</v>
      </c>
      <c r="I11" s="10"/>
      <c r="J11" s="10"/>
      <c r="K11" s="5"/>
    </row>
    <row r="12" spans="1:18" ht="16.5" hidden="1" customHeight="1" x14ac:dyDescent="0.25">
      <c r="A12" s="5"/>
      <c r="B12" s="123">
        <v>250401</v>
      </c>
      <c r="C12" s="123">
        <v>1693</v>
      </c>
      <c r="D12" s="124">
        <v>45751</v>
      </c>
      <c r="E12" s="75">
        <v>30900</v>
      </c>
      <c r="F12" s="75">
        <v>17000</v>
      </c>
      <c r="G12" s="76">
        <v>45749</v>
      </c>
      <c r="H12" s="12">
        <f>+H11+E12-F12</f>
        <v>115249.62</v>
      </c>
      <c r="I12" s="10"/>
      <c r="J12" s="10" t="s">
        <v>172</v>
      </c>
      <c r="K12" s="5"/>
    </row>
    <row r="13" spans="1:18" ht="15.75" hidden="1" customHeight="1" x14ac:dyDescent="0.25">
      <c r="A13" s="5"/>
      <c r="B13" s="123">
        <v>250406</v>
      </c>
      <c r="C13" s="123">
        <v>1699</v>
      </c>
      <c r="D13" s="124">
        <v>45756</v>
      </c>
      <c r="E13" s="75">
        <v>30206.5</v>
      </c>
      <c r="F13" s="75">
        <v>9000</v>
      </c>
      <c r="G13" s="76">
        <v>45749</v>
      </c>
      <c r="H13" s="12">
        <f t="shared" ref="H13" si="0">+H12+E13-F13</f>
        <v>136456.12</v>
      </c>
      <c r="I13" s="10"/>
      <c r="J13" s="10" t="s">
        <v>181</v>
      </c>
      <c r="K13" s="5"/>
    </row>
    <row r="14" spans="1:18" ht="15.75" hidden="1" customHeight="1" x14ac:dyDescent="0.25">
      <c r="A14" s="5"/>
      <c r="B14" s="123">
        <v>250409</v>
      </c>
      <c r="C14" s="123">
        <v>1703</v>
      </c>
      <c r="D14" s="124">
        <v>45757</v>
      </c>
      <c r="E14" s="75">
        <v>29950</v>
      </c>
      <c r="F14" s="75">
        <v>30000</v>
      </c>
      <c r="G14" s="76">
        <v>45755</v>
      </c>
      <c r="H14" s="12">
        <f t="shared" ref="H14:H54" si="1">+H13+E14-F14</f>
        <v>136406.12</v>
      </c>
      <c r="I14" s="10"/>
      <c r="J14" s="10" t="s">
        <v>173</v>
      </c>
      <c r="K14" s="5"/>
    </row>
    <row r="15" spans="1:18" ht="16.5" hidden="1" customHeight="1" x14ac:dyDescent="0.25">
      <c r="A15" s="5"/>
      <c r="B15" s="123">
        <v>250415</v>
      </c>
      <c r="C15" s="123">
        <v>1710</v>
      </c>
      <c r="D15" s="124">
        <v>45763</v>
      </c>
      <c r="E15" s="75">
        <v>35356</v>
      </c>
      <c r="F15" s="75">
        <v>70000</v>
      </c>
      <c r="G15" s="76">
        <v>45762</v>
      </c>
      <c r="H15" s="12">
        <f t="shared" si="1"/>
        <v>101762.12</v>
      </c>
      <c r="I15" s="10"/>
      <c r="J15" s="10" t="s">
        <v>174</v>
      </c>
      <c r="K15" s="5" t="s">
        <v>135</v>
      </c>
      <c r="M15" s="49"/>
      <c r="R15" s="50"/>
    </row>
    <row r="16" spans="1:18" ht="16.5" hidden="1" customHeight="1" x14ac:dyDescent="0.25">
      <c r="A16" s="5"/>
      <c r="B16" s="123">
        <v>250425</v>
      </c>
      <c r="C16" s="123">
        <v>1719</v>
      </c>
      <c r="D16" s="124">
        <v>45769</v>
      </c>
      <c r="E16" s="75">
        <v>30705</v>
      </c>
      <c r="F16" s="75">
        <v>32800</v>
      </c>
      <c r="G16" s="76">
        <v>45770</v>
      </c>
      <c r="H16" s="12">
        <f t="shared" si="1"/>
        <v>99667.12</v>
      </c>
      <c r="I16" s="10"/>
      <c r="J16" s="10" t="s">
        <v>182</v>
      </c>
      <c r="K16" s="5"/>
    </row>
    <row r="17" spans="1:12" ht="16.5" hidden="1" customHeight="1" x14ac:dyDescent="0.25">
      <c r="A17" s="5"/>
      <c r="B17" s="123">
        <v>250428</v>
      </c>
      <c r="C17" s="123">
        <v>1722</v>
      </c>
      <c r="D17" s="124">
        <v>45772</v>
      </c>
      <c r="E17" s="75">
        <v>32255</v>
      </c>
      <c r="F17" s="75">
        <v>13200</v>
      </c>
      <c r="G17" s="76">
        <v>45770</v>
      </c>
      <c r="H17" s="12">
        <f t="shared" si="1"/>
        <v>118722.12</v>
      </c>
      <c r="I17" s="10"/>
      <c r="J17" s="10" t="s">
        <v>181</v>
      </c>
      <c r="K17" s="5" t="s">
        <v>135</v>
      </c>
    </row>
    <row r="18" spans="1:12" ht="15.75" hidden="1" customHeight="1" x14ac:dyDescent="0.25">
      <c r="A18" s="5"/>
      <c r="B18" s="123">
        <v>250430</v>
      </c>
      <c r="C18" s="123">
        <v>1724</v>
      </c>
      <c r="D18" s="124">
        <v>45773</v>
      </c>
      <c r="E18" s="75">
        <v>31395</v>
      </c>
      <c r="F18" s="75"/>
      <c r="G18" s="76"/>
      <c r="H18" s="12">
        <f t="shared" si="1"/>
        <v>150117.12</v>
      </c>
      <c r="I18" s="10"/>
      <c r="J18" s="10"/>
      <c r="K18" s="5"/>
    </row>
    <row r="19" spans="1:12" ht="15.75" hidden="1" customHeight="1" thickBot="1" x14ac:dyDescent="0.3">
      <c r="A19" s="5"/>
      <c r="B19" s="168">
        <v>250435</v>
      </c>
      <c r="C19" s="168">
        <v>1729</v>
      </c>
      <c r="D19" s="169">
        <v>45775</v>
      </c>
      <c r="E19" s="170">
        <v>31102</v>
      </c>
      <c r="F19" s="170"/>
      <c r="G19" s="171"/>
      <c r="H19" s="85">
        <f>+H18+E19-F19</f>
        <v>181219.12</v>
      </c>
      <c r="I19" s="87"/>
      <c r="J19" s="87"/>
      <c r="K19" s="5"/>
    </row>
    <row r="20" spans="1:12" ht="15.75" hidden="1" customHeight="1" thickTop="1" thickBot="1" x14ac:dyDescent="0.3">
      <c r="A20" s="5"/>
      <c r="B20" s="284" t="s">
        <v>216</v>
      </c>
      <c r="C20" s="285"/>
      <c r="D20" s="286"/>
      <c r="E20" s="186">
        <f>SUM(E12:E19)</f>
        <v>251869.5</v>
      </c>
      <c r="F20" s="186">
        <f>SUM(F12:F19)</f>
        <v>172000</v>
      </c>
      <c r="G20" s="187"/>
      <c r="H20" s="188"/>
      <c r="I20" s="189"/>
      <c r="J20" s="190"/>
      <c r="K20" s="5"/>
    </row>
    <row r="21" spans="1:12" ht="15.75" hidden="1" customHeight="1" thickTop="1" x14ac:dyDescent="0.25">
      <c r="A21" s="5"/>
      <c r="B21" s="165"/>
      <c r="C21" s="165"/>
      <c r="D21" s="166"/>
      <c r="E21" s="108"/>
      <c r="F21" s="108">
        <v>30000</v>
      </c>
      <c r="G21" s="167">
        <v>45782</v>
      </c>
      <c r="H21" s="80">
        <f>+H19+E21-F21</f>
        <v>151219.12</v>
      </c>
      <c r="I21" s="82"/>
      <c r="J21" s="82" t="s">
        <v>182</v>
      </c>
      <c r="K21" s="5"/>
    </row>
    <row r="22" spans="1:12" ht="15.75" hidden="1" customHeight="1" x14ac:dyDescent="0.25">
      <c r="A22" s="5"/>
      <c r="B22" s="123"/>
      <c r="C22" s="123"/>
      <c r="D22" s="124"/>
      <c r="E22" s="75"/>
      <c r="F22" s="75">
        <v>39000</v>
      </c>
      <c r="G22" s="76">
        <v>45417</v>
      </c>
      <c r="H22" s="12">
        <f>+H21+E22-F22</f>
        <v>112219.12</v>
      </c>
      <c r="I22" s="10"/>
      <c r="J22" s="10" t="s">
        <v>174</v>
      </c>
      <c r="K22" s="5" t="s">
        <v>135</v>
      </c>
      <c r="L22" s="49">
        <f>SUM(F12:F22)</f>
        <v>413000</v>
      </c>
    </row>
    <row r="23" spans="1:12" ht="15.75" hidden="1" customHeight="1" x14ac:dyDescent="0.25">
      <c r="A23" s="5"/>
      <c r="B23" s="123">
        <v>250508</v>
      </c>
      <c r="C23" s="123">
        <v>1747</v>
      </c>
      <c r="D23" s="124">
        <v>45790</v>
      </c>
      <c r="E23" s="75">
        <v>35829</v>
      </c>
      <c r="F23" s="75">
        <v>35000</v>
      </c>
      <c r="G23" s="76">
        <v>45785</v>
      </c>
      <c r="H23" s="12">
        <f t="shared" si="1"/>
        <v>113048.12</v>
      </c>
      <c r="I23" s="10"/>
      <c r="J23" s="10" t="s">
        <v>185</v>
      </c>
      <c r="K23" s="5"/>
    </row>
    <row r="24" spans="1:12" ht="15.75" hidden="1" customHeight="1" x14ac:dyDescent="0.25">
      <c r="A24" s="5"/>
      <c r="B24" s="123">
        <v>250509</v>
      </c>
      <c r="C24" s="123">
        <v>1749</v>
      </c>
      <c r="D24" s="124">
        <v>45791</v>
      </c>
      <c r="E24" s="75">
        <v>34311</v>
      </c>
      <c r="F24" s="75">
        <v>15000</v>
      </c>
      <c r="G24" s="76">
        <v>45785</v>
      </c>
      <c r="H24" s="12">
        <f t="shared" si="1"/>
        <v>132359.12</v>
      </c>
      <c r="I24" s="10"/>
      <c r="J24" s="10" t="s">
        <v>181</v>
      </c>
      <c r="K24" s="5" t="s">
        <v>135</v>
      </c>
    </row>
    <row r="25" spans="1:12" ht="15.75" hidden="1" customHeight="1" x14ac:dyDescent="0.25">
      <c r="A25" s="5"/>
      <c r="B25" s="123">
        <v>250516</v>
      </c>
      <c r="C25" s="123">
        <v>1764</v>
      </c>
      <c r="D25" s="124">
        <v>45800</v>
      </c>
      <c r="E25" s="75">
        <v>52463</v>
      </c>
      <c r="F25" s="75">
        <v>30000</v>
      </c>
      <c r="G25" s="76">
        <v>45792</v>
      </c>
      <c r="H25" s="12">
        <f t="shared" si="1"/>
        <v>154822.12</v>
      </c>
      <c r="I25" s="10"/>
      <c r="J25" s="10" t="s">
        <v>174</v>
      </c>
      <c r="K25" s="5" t="s">
        <v>135</v>
      </c>
    </row>
    <row r="26" spans="1:12" ht="15.75" hidden="1" customHeight="1" x14ac:dyDescent="0.25">
      <c r="A26" s="5"/>
      <c r="B26" s="123">
        <v>250525</v>
      </c>
      <c r="C26" s="123">
        <v>1770</v>
      </c>
      <c r="D26" s="124">
        <v>45806</v>
      </c>
      <c r="E26" s="75">
        <v>21562.5</v>
      </c>
      <c r="F26" s="75">
        <v>26000</v>
      </c>
      <c r="G26" s="76">
        <v>45797</v>
      </c>
      <c r="H26" s="12">
        <f t="shared" si="1"/>
        <v>150384.62</v>
      </c>
      <c r="I26" s="10"/>
      <c r="J26" s="10" t="s">
        <v>186</v>
      </c>
      <c r="K26" s="5"/>
    </row>
    <row r="27" spans="1:12" ht="15.75" hidden="1" customHeight="1" thickBot="1" x14ac:dyDescent="0.3">
      <c r="A27" s="5"/>
      <c r="B27" s="168"/>
      <c r="C27" s="168"/>
      <c r="D27" s="169"/>
      <c r="E27" s="170"/>
      <c r="F27" s="170">
        <v>30000</v>
      </c>
      <c r="G27" s="171">
        <v>45806</v>
      </c>
      <c r="H27" s="85">
        <f t="shared" si="1"/>
        <v>120384.62</v>
      </c>
      <c r="I27" s="87"/>
      <c r="J27" s="87" t="s">
        <v>187</v>
      </c>
      <c r="K27" s="5"/>
      <c r="L27" s="49">
        <f>SUM(F21:F27)</f>
        <v>205000</v>
      </c>
    </row>
    <row r="28" spans="1:12" ht="15.75" hidden="1" customHeight="1" thickTop="1" thickBot="1" x14ac:dyDescent="0.3">
      <c r="A28" s="5"/>
      <c r="B28" s="284" t="s">
        <v>215</v>
      </c>
      <c r="C28" s="285"/>
      <c r="D28" s="286"/>
      <c r="E28" s="186">
        <f>SUM(E21:E27)</f>
        <v>144165.5</v>
      </c>
      <c r="F28" s="186">
        <f>SUM(F21:F27)</f>
        <v>205000</v>
      </c>
      <c r="G28" s="187"/>
      <c r="H28" s="188"/>
      <c r="I28" s="189"/>
      <c r="J28" s="190"/>
      <c r="K28" s="5"/>
    </row>
    <row r="29" spans="1:12" ht="15.75" hidden="1" customHeight="1" thickTop="1" x14ac:dyDescent="0.25">
      <c r="A29" s="5"/>
      <c r="B29" s="165"/>
      <c r="C29" s="165"/>
      <c r="D29" s="166"/>
      <c r="E29" s="108"/>
      <c r="F29" s="108">
        <v>60000</v>
      </c>
      <c r="G29" s="167">
        <v>45812</v>
      </c>
      <c r="H29" s="80">
        <f>+H27+E29-F29</f>
        <v>60384.619999999995</v>
      </c>
      <c r="I29" s="82"/>
      <c r="J29" s="82" t="s">
        <v>196</v>
      </c>
      <c r="K29" s="5"/>
    </row>
    <row r="30" spans="1:12" ht="15.75" hidden="1" customHeight="1" thickBot="1" x14ac:dyDescent="0.3">
      <c r="A30" s="5"/>
      <c r="B30" s="168">
        <v>250620</v>
      </c>
      <c r="C30" s="168">
        <v>1794</v>
      </c>
      <c r="D30" s="169">
        <v>45838</v>
      </c>
      <c r="E30" s="170">
        <v>36850</v>
      </c>
      <c r="F30" s="170">
        <v>40000</v>
      </c>
      <c r="G30" s="171">
        <v>45838</v>
      </c>
      <c r="H30" s="85">
        <f t="shared" si="1"/>
        <v>57234.619999999995</v>
      </c>
      <c r="I30" s="87"/>
      <c r="J30" s="87" t="s">
        <v>198</v>
      </c>
      <c r="K30" s="5"/>
      <c r="L30" s="49">
        <f>SUM(F29:F30)</f>
        <v>100000</v>
      </c>
    </row>
    <row r="31" spans="1:12" ht="15.75" hidden="1" customHeight="1" thickTop="1" thickBot="1" x14ac:dyDescent="0.3">
      <c r="A31" s="5"/>
      <c r="B31" s="284" t="s">
        <v>214</v>
      </c>
      <c r="C31" s="285"/>
      <c r="D31" s="286"/>
      <c r="E31" s="186">
        <f>SUM(E29:E30)</f>
        <v>36850</v>
      </c>
      <c r="F31" s="186">
        <f>SUM(F29:F30)</f>
        <v>100000</v>
      </c>
      <c r="G31" s="187"/>
      <c r="H31" s="188"/>
      <c r="I31" s="189"/>
      <c r="J31" s="190"/>
      <c r="K31" s="5"/>
    </row>
    <row r="32" spans="1:12" ht="15.75" hidden="1" customHeight="1" thickTop="1" x14ac:dyDescent="0.25">
      <c r="A32" s="5"/>
      <c r="B32" s="165">
        <v>250701</v>
      </c>
      <c r="C32" s="165">
        <v>1795</v>
      </c>
      <c r="D32" s="166">
        <v>45839</v>
      </c>
      <c r="E32" s="108">
        <v>38425</v>
      </c>
      <c r="F32" s="108">
        <v>60000</v>
      </c>
      <c r="G32" s="167">
        <v>45841</v>
      </c>
      <c r="H32" s="80">
        <f>+H30+E32-F32</f>
        <v>35659.619999999995</v>
      </c>
      <c r="I32" s="82"/>
      <c r="J32" s="82" t="s">
        <v>200</v>
      </c>
      <c r="K32" s="5"/>
    </row>
    <row r="33" spans="1:13" ht="15.75" hidden="1" customHeight="1" x14ac:dyDescent="0.25">
      <c r="A33" s="5"/>
      <c r="B33" s="123">
        <v>250706</v>
      </c>
      <c r="C33" s="123">
        <v>1800</v>
      </c>
      <c r="D33" s="124">
        <v>45841</v>
      </c>
      <c r="E33" s="75">
        <v>39362.5</v>
      </c>
      <c r="F33" s="75">
        <v>50000</v>
      </c>
      <c r="G33" s="76">
        <v>45845</v>
      </c>
      <c r="H33" s="12">
        <f t="shared" si="1"/>
        <v>25022.119999999995</v>
      </c>
      <c r="I33" s="10"/>
      <c r="J33" s="10" t="s">
        <v>201</v>
      </c>
      <c r="K33" s="5"/>
    </row>
    <row r="34" spans="1:13" ht="15.75" hidden="1" customHeight="1" x14ac:dyDescent="0.25">
      <c r="A34" s="5"/>
      <c r="B34" s="123">
        <v>250707</v>
      </c>
      <c r="C34" s="123">
        <v>1802</v>
      </c>
      <c r="D34" s="124">
        <v>45845</v>
      </c>
      <c r="E34" s="75">
        <v>23825</v>
      </c>
      <c r="F34" s="75">
        <v>40000</v>
      </c>
      <c r="G34" s="76">
        <v>45846</v>
      </c>
      <c r="H34" s="12">
        <f t="shared" si="1"/>
        <v>8847.1199999999953</v>
      </c>
      <c r="I34" s="10"/>
      <c r="J34" s="10" t="s">
        <v>202</v>
      </c>
      <c r="K34" s="5"/>
    </row>
    <row r="35" spans="1:13" ht="15.75" hidden="1" customHeight="1" x14ac:dyDescent="0.25">
      <c r="A35" s="5"/>
      <c r="B35" s="123">
        <v>250710</v>
      </c>
      <c r="C35" s="123">
        <v>1811</v>
      </c>
      <c r="D35" s="124">
        <v>45846</v>
      </c>
      <c r="E35" s="75">
        <v>37970</v>
      </c>
      <c r="F35" s="75">
        <v>55000</v>
      </c>
      <c r="G35" s="76">
        <v>45849</v>
      </c>
      <c r="H35" s="12">
        <f t="shared" si="1"/>
        <v>-8182.8800000000047</v>
      </c>
      <c r="I35" s="10"/>
      <c r="J35" s="10" t="s">
        <v>207</v>
      </c>
      <c r="K35" s="5"/>
    </row>
    <row r="36" spans="1:13" ht="16.5" hidden="1" customHeight="1" x14ac:dyDescent="0.25">
      <c r="A36" s="5"/>
      <c r="B36" s="123">
        <v>250713</v>
      </c>
      <c r="C36" s="123">
        <v>1808</v>
      </c>
      <c r="D36" s="124">
        <v>45849</v>
      </c>
      <c r="E36" s="75">
        <v>38635</v>
      </c>
      <c r="F36" s="75">
        <v>24940</v>
      </c>
      <c r="G36" s="76">
        <v>45852</v>
      </c>
      <c r="H36" s="12">
        <f t="shared" si="1"/>
        <v>5512.1199999999953</v>
      </c>
      <c r="I36" s="10"/>
      <c r="J36" s="10" t="s">
        <v>208</v>
      </c>
      <c r="K36" s="5"/>
    </row>
    <row r="37" spans="1:13" ht="16.5" hidden="1" customHeight="1" x14ac:dyDescent="0.25">
      <c r="A37" s="5"/>
      <c r="B37" s="123">
        <v>250717</v>
      </c>
      <c r="C37" s="123">
        <v>1813</v>
      </c>
      <c r="D37" s="124">
        <v>45852</v>
      </c>
      <c r="E37" s="75">
        <v>39112.5</v>
      </c>
      <c r="F37" s="75">
        <v>15060</v>
      </c>
      <c r="G37" s="76">
        <v>45852</v>
      </c>
      <c r="H37" s="12">
        <f t="shared" si="1"/>
        <v>29564.619999999995</v>
      </c>
      <c r="I37" s="10"/>
      <c r="J37" s="10" t="s">
        <v>181</v>
      </c>
      <c r="K37" s="5" t="s">
        <v>135</v>
      </c>
    </row>
    <row r="38" spans="1:13" ht="15.75" hidden="1" customHeight="1" x14ac:dyDescent="0.25">
      <c r="A38" s="5"/>
      <c r="B38" s="123">
        <v>250725</v>
      </c>
      <c r="C38" s="123">
        <v>1823</v>
      </c>
      <c r="D38" s="124">
        <v>45855</v>
      </c>
      <c r="E38" s="75">
        <v>37850</v>
      </c>
      <c r="F38" s="75">
        <v>26000</v>
      </c>
      <c r="G38" s="76">
        <v>45855</v>
      </c>
      <c r="H38" s="12">
        <f t="shared" si="1"/>
        <v>41414.619999999995</v>
      </c>
      <c r="I38" s="10"/>
      <c r="J38" s="10" t="s">
        <v>209</v>
      </c>
      <c r="K38" s="5"/>
    </row>
    <row r="39" spans="1:13" ht="15.75" hidden="1" customHeight="1" x14ac:dyDescent="0.25">
      <c r="A39" s="5"/>
      <c r="B39" s="123">
        <v>250734</v>
      </c>
      <c r="C39" s="123">
        <v>1832</v>
      </c>
      <c r="D39" s="124">
        <v>45862</v>
      </c>
      <c r="E39" s="75">
        <v>38250</v>
      </c>
      <c r="F39" s="75">
        <v>34500</v>
      </c>
      <c r="G39" s="76">
        <v>45861</v>
      </c>
      <c r="H39" s="12">
        <f t="shared" si="1"/>
        <v>45164.619999999995</v>
      </c>
      <c r="I39" s="10"/>
      <c r="J39" s="10" t="s">
        <v>210</v>
      </c>
      <c r="K39" s="5"/>
    </row>
    <row r="40" spans="1:13" ht="15.75" hidden="1" customHeight="1" x14ac:dyDescent="0.25">
      <c r="A40" s="5"/>
      <c r="B40" s="123">
        <v>250737</v>
      </c>
      <c r="C40" s="123">
        <v>1835</v>
      </c>
      <c r="D40" s="124">
        <v>45867</v>
      </c>
      <c r="E40" s="75">
        <v>38698</v>
      </c>
      <c r="F40" s="75">
        <v>16000</v>
      </c>
      <c r="G40" s="76">
        <v>45863</v>
      </c>
      <c r="H40" s="12">
        <f t="shared" si="1"/>
        <v>67862.62</v>
      </c>
      <c r="I40" s="10"/>
      <c r="J40" s="10" t="s">
        <v>174</v>
      </c>
      <c r="K40" s="5" t="s">
        <v>136</v>
      </c>
    </row>
    <row r="41" spans="1:13" ht="15.75" hidden="1" customHeight="1" x14ac:dyDescent="0.25">
      <c r="A41" s="5"/>
      <c r="B41" s="123"/>
      <c r="C41" s="123"/>
      <c r="D41" s="124"/>
      <c r="E41" s="75"/>
      <c r="F41" s="75">
        <v>4000</v>
      </c>
      <c r="G41" s="76">
        <v>45863</v>
      </c>
      <c r="H41" s="12">
        <f t="shared" si="1"/>
        <v>63862.619999999995</v>
      </c>
      <c r="I41" s="10"/>
      <c r="J41" s="10" t="s">
        <v>181</v>
      </c>
      <c r="K41" s="5" t="s">
        <v>136</v>
      </c>
    </row>
    <row r="42" spans="1:13" ht="15.75" hidden="1" customHeight="1" thickBot="1" x14ac:dyDescent="0.3">
      <c r="A42" s="5"/>
      <c r="B42" s="123"/>
      <c r="C42" s="123"/>
      <c r="D42" s="124"/>
      <c r="E42" s="75"/>
      <c r="F42" s="75">
        <v>16000</v>
      </c>
      <c r="G42" s="76">
        <v>45867</v>
      </c>
      <c r="H42" s="12">
        <f t="shared" si="1"/>
        <v>47862.619999999995</v>
      </c>
      <c r="I42" s="10"/>
      <c r="J42" s="10" t="s">
        <v>211</v>
      </c>
      <c r="K42" s="5"/>
      <c r="L42" s="49">
        <f>SUM(E32:E40)</f>
        <v>332128</v>
      </c>
      <c r="M42" s="1">
        <f>+L42/65000</f>
        <v>5.1096615384615385</v>
      </c>
    </row>
    <row r="43" spans="1:13" ht="15.75" hidden="1" customHeight="1" thickTop="1" thickBot="1" x14ac:dyDescent="0.3">
      <c r="A43" s="5"/>
      <c r="B43" s="284" t="s">
        <v>212</v>
      </c>
      <c r="C43" s="285"/>
      <c r="D43" s="286"/>
      <c r="E43" s="186">
        <f>SUM(E32:E42)</f>
        <v>332128</v>
      </c>
      <c r="F43" s="186">
        <f>SUM(F32:F42)</f>
        <v>341500</v>
      </c>
      <c r="G43" s="187"/>
      <c r="H43" s="188"/>
      <c r="I43" s="189"/>
      <c r="J43" s="190"/>
      <c r="K43" s="5"/>
    </row>
    <row r="44" spans="1:13" ht="15.75" hidden="1" customHeight="1" thickTop="1" x14ac:dyDescent="0.25">
      <c r="A44" s="5"/>
      <c r="B44" s="123">
        <v>250801</v>
      </c>
      <c r="C44" s="123">
        <v>1843</v>
      </c>
      <c r="D44" s="124">
        <v>45871</v>
      </c>
      <c r="E44" s="75">
        <v>38362.5</v>
      </c>
      <c r="F44" s="75">
        <v>23000</v>
      </c>
      <c r="G44" s="76">
        <v>45871</v>
      </c>
      <c r="H44" s="12">
        <f>+H42+E44-F44</f>
        <v>63225.119999999995</v>
      </c>
      <c r="I44" s="10"/>
      <c r="J44" s="10"/>
      <c r="K44" s="5"/>
    </row>
    <row r="45" spans="1:13" ht="15.75" hidden="1" customHeight="1" x14ac:dyDescent="0.25">
      <c r="A45" s="5"/>
      <c r="B45" s="123">
        <v>250805</v>
      </c>
      <c r="C45" s="123">
        <v>1845</v>
      </c>
      <c r="D45" s="124">
        <v>45877</v>
      </c>
      <c r="E45" s="75">
        <v>37735</v>
      </c>
      <c r="F45" s="75">
        <v>20000</v>
      </c>
      <c r="G45" s="76">
        <v>45877</v>
      </c>
      <c r="H45" s="12">
        <f t="shared" si="1"/>
        <v>80960.12</v>
      </c>
      <c r="I45" s="10"/>
      <c r="J45" s="10"/>
      <c r="K45" s="5"/>
    </row>
    <row r="46" spans="1:13" ht="15.75" hidden="1" customHeight="1" x14ac:dyDescent="0.25">
      <c r="A46" s="5"/>
      <c r="B46" s="123">
        <v>250809</v>
      </c>
      <c r="C46" s="123">
        <v>1849</v>
      </c>
      <c r="D46" s="124">
        <v>45884</v>
      </c>
      <c r="E46" s="75">
        <v>37382.5</v>
      </c>
      <c r="F46" s="75">
        <v>10000</v>
      </c>
      <c r="G46" s="76">
        <v>45880</v>
      </c>
      <c r="H46" s="12">
        <f>+H45+E46-F46</f>
        <v>108342.62</v>
      </c>
      <c r="I46" s="10"/>
      <c r="J46" s="10"/>
      <c r="K46" s="5"/>
    </row>
    <row r="47" spans="1:13" ht="15.75" hidden="1" customHeight="1" x14ac:dyDescent="0.25">
      <c r="A47" s="5"/>
      <c r="B47" s="123">
        <v>250815</v>
      </c>
      <c r="C47" s="123">
        <v>1855</v>
      </c>
      <c r="D47" s="124">
        <v>45888</v>
      </c>
      <c r="E47" s="75">
        <v>37922.5</v>
      </c>
      <c r="F47" s="75">
        <v>40000</v>
      </c>
      <c r="G47" s="76">
        <v>45884</v>
      </c>
      <c r="H47" s="12">
        <f t="shared" si="1"/>
        <v>106265.12</v>
      </c>
      <c r="I47" s="10"/>
      <c r="J47" s="10"/>
      <c r="K47" s="5"/>
    </row>
    <row r="48" spans="1:13" ht="15.75" hidden="1" customHeight="1" x14ac:dyDescent="0.25">
      <c r="A48" s="5"/>
      <c r="B48" s="123"/>
      <c r="C48" s="123"/>
      <c r="D48" s="124"/>
      <c r="E48" s="75"/>
      <c r="F48" s="75">
        <v>40000</v>
      </c>
      <c r="G48" s="76">
        <v>45888</v>
      </c>
      <c r="H48" s="75">
        <f>+H47+E48-F48</f>
        <v>66265.119999999995</v>
      </c>
      <c r="I48" s="10"/>
      <c r="J48" s="10"/>
      <c r="K48" s="5"/>
    </row>
    <row r="49" spans="1:14" ht="15.75" hidden="1" customHeight="1" x14ac:dyDescent="0.25">
      <c r="A49" s="5"/>
      <c r="B49" s="123">
        <v>250819</v>
      </c>
      <c r="C49" s="123">
        <v>1860</v>
      </c>
      <c r="D49" s="124">
        <v>45890</v>
      </c>
      <c r="E49" s="75">
        <v>36810</v>
      </c>
      <c r="F49" s="75">
        <v>100000</v>
      </c>
      <c r="G49" s="76">
        <v>45890</v>
      </c>
      <c r="H49" s="12">
        <f t="shared" si="1"/>
        <v>3075.1199999999953</v>
      </c>
      <c r="I49" s="10"/>
      <c r="J49" s="10"/>
      <c r="K49" s="5"/>
    </row>
    <row r="50" spans="1:14" ht="15.75" hidden="1" customHeight="1" x14ac:dyDescent="0.25">
      <c r="A50" s="5"/>
      <c r="B50" s="123">
        <v>250820</v>
      </c>
      <c r="C50" s="123">
        <v>1861</v>
      </c>
      <c r="D50" s="124">
        <v>45892</v>
      </c>
      <c r="E50" s="75">
        <v>36180</v>
      </c>
      <c r="F50" s="75">
        <v>28360</v>
      </c>
      <c r="G50" s="76">
        <v>45892</v>
      </c>
      <c r="H50" s="12">
        <f t="shared" si="1"/>
        <v>10895.119999999995</v>
      </c>
      <c r="I50" s="10"/>
      <c r="J50" s="10"/>
      <c r="K50" s="5"/>
    </row>
    <row r="51" spans="1:14" ht="16.5" hidden="1" customHeight="1" x14ac:dyDescent="0.25">
      <c r="A51" s="5"/>
      <c r="B51" s="123"/>
      <c r="C51" s="123"/>
      <c r="D51" s="124"/>
      <c r="E51" s="75"/>
      <c r="F51" s="75">
        <v>8400</v>
      </c>
      <c r="G51" s="76">
        <v>45892</v>
      </c>
      <c r="H51" s="12">
        <f t="shared" si="1"/>
        <v>2495.1199999999953</v>
      </c>
      <c r="I51" s="10"/>
      <c r="J51" s="10" t="s">
        <v>181</v>
      </c>
      <c r="K51" s="5" t="s">
        <v>135</v>
      </c>
    </row>
    <row r="52" spans="1:14" ht="16.5" hidden="1" customHeight="1" x14ac:dyDescent="0.25">
      <c r="A52" s="5"/>
      <c r="B52" s="123"/>
      <c r="C52" s="123"/>
      <c r="D52" s="124"/>
      <c r="E52" s="75"/>
      <c r="F52" s="75">
        <v>2495.12</v>
      </c>
      <c r="G52" s="76">
        <v>45894</v>
      </c>
      <c r="H52" s="12">
        <f t="shared" si="1"/>
        <v>-4.5474735088646412E-12</v>
      </c>
      <c r="I52" s="10"/>
      <c r="J52" s="10"/>
      <c r="K52" s="5"/>
    </row>
    <row r="53" spans="1:14" ht="15.75" hidden="1" customHeight="1" x14ac:dyDescent="0.25">
      <c r="A53" s="5"/>
      <c r="B53" s="123">
        <v>250822</v>
      </c>
      <c r="C53" s="123">
        <v>1864</v>
      </c>
      <c r="D53" s="124">
        <v>45897</v>
      </c>
      <c r="E53" s="75">
        <v>36627.5</v>
      </c>
      <c r="F53" s="75">
        <v>30000</v>
      </c>
      <c r="G53" s="76">
        <v>45897</v>
      </c>
      <c r="H53" s="12">
        <f t="shared" si="1"/>
        <v>6627.4999999999927</v>
      </c>
      <c r="I53" s="10"/>
      <c r="J53" s="10"/>
      <c r="K53" s="5"/>
    </row>
    <row r="54" spans="1:14" ht="15.75" hidden="1" customHeight="1" thickBot="1" x14ac:dyDescent="0.3">
      <c r="A54" s="5"/>
      <c r="B54" s="168">
        <v>250823</v>
      </c>
      <c r="C54" s="168">
        <v>1865</v>
      </c>
      <c r="D54" s="169">
        <v>45898</v>
      </c>
      <c r="E54" s="170">
        <v>16231.5</v>
      </c>
      <c r="F54" s="170">
        <v>22859</v>
      </c>
      <c r="G54" s="171">
        <v>45898</v>
      </c>
      <c r="H54" s="85">
        <f t="shared" si="1"/>
        <v>0</v>
      </c>
      <c r="I54" s="87"/>
      <c r="J54" s="10" t="s">
        <v>181</v>
      </c>
      <c r="K54" s="5" t="s">
        <v>135</v>
      </c>
    </row>
    <row r="55" spans="1:14" ht="15.75" hidden="1" customHeight="1" thickTop="1" thickBot="1" x14ac:dyDescent="0.3">
      <c r="A55" s="5"/>
      <c r="B55" s="284" t="s">
        <v>222</v>
      </c>
      <c r="C55" s="285"/>
      <c r="D55" s="286"/>
      <c r="E55" s="186">
        <f>SUM(E44:E54)</f>
        <v>277251.5</v>
      </c>
      <c r="F55" s="186">
        <f>SUM(F44:F54)</f>
        <v>325114.12</v>
      </c>
      <c r="G55" s="187"/>
      <c r="H55" s="188"/>
      <c r="I55" s="189"/>
      <c r="J55" s="190"/>
      <c r="K55" s="5"/>
      <c r="L55" s="49">
        <f>+E20+E28+E31+E43+E55</f>
        <v>1042264.5</v>
      </c>
    </row>
    <row r="56" spans="1:14" ht="15.75" hidden="1" customHeight="1" thickTop="1" x14ac:dyDescent="0.25">
      <c r="A56" s="5"/>
      <c r="B56" s="165">
        <v>250901</v>
      </c>
      <c r="C56" s="165">
        <v>1877</v>
      </c>
      <c r="D56" s="166">
        <v>45903</v>
      </c>
      <c r="E56" s="108">
        <v>36835</v>
      </c>
      <c r="F56" s="108">
        <v>36000</v>
      </c>
      <c r="G56" s="167">
        <v>45903</v>
      </c>
      <c r="H56" s="80">
        <f>+H54+E56-F56</f>
        <v>835</v>
      </c>
      <c r="I56" s="82"/>
      <c r="J56" s="82" t="s">
        <v>229</v>
      </c>
      <c r="K56" s="5"/>
    </row>
    <row r="57" spans="1:14" ht="15.75" hidden="1" customHeight="1" x14ac:dyDescent="0.25">
      <c r="A57" s="5"/>
      <c r="B57" s="123">
        <v>250908</v>
      </c>
      <c r="C57" s="123">
        <v>1885</v>
      </c>
      <c r="D57" s="124">
        <v>45909</v>
      </c>
      <c r="E57" s="75">
        <v>36712.5</v>
      </c>
      <c r="F57" s="75">
        <v>37627.5</v>
      </c>
      <c r="G57" s="76">
        <v>45909</v>
      </c>
      <c r="H57" s="12">
        <f t="shared" ref="H57:H110" si="2">+H56+E57-F57</f>
        <v>-80</v>
      </c>
      <c r="I57" s="10"/>
      <c r="J57" s="10" t="s">
        <v>228</v>
      </c>
      <c r="K57" s="5"/>
    </row>
    <row r="58" spans="1:14" ht="15.75" hidden="1" customHeight="1" x14ac:dyDescent="0.25">
      <c r="A58" s="5"/>
      <c r="B58" s="123">
        <v>250905</v>
      </c>
      <c r="C58" s="123">
        <v>1881</v>
      </c>
      <c r="D58" s="124">
        <v>45911</v>
      </c>
      <c r="E58" s="75">
        <v>14310</v>
      </c>
      <c r="F58" s="75">
        <v>30900</v>
      </c>
      <c r="G58" s="76">
        <v>45916</v>
      </c>
      <c r="H58" s="12">
        <f t="shared" si="2"/>
        <v>-16670</v>
      </c>
      <c r="I58" s="10"/>
      <c r="J58" s="10" t="s">
        <v>230</v>
      </c>
      <c r="K58" s="5"/>
    </row>
    <row r="59" spans="1:14" ht="15.75" hidden="1" customHeight="1" x14ac:dyDescent="0.25">
      <c r="A59" s="5"/>
      <c r="B59" s="123">
        <v>250920</v>
      </c>
      <c r="C59" s="123">
        <v>1899</v>
      </c>
      <c r="D59" s="124">
        <v>45916</v>
      </c>
      <c r="E59" s="75">
        <v>35236.5</v>
      </c>
      <c r="F59" s="75">
        <v>29000</v>
      </c>
      <c r="G59" s="76">
        <v>45919</v>
      </c>
      <c r="H59" s="12">
        <f t="shared" si="2"/>
        <v>-10433.5</v>
      </c>
      <c r="I59" s="10"/>
      <c r="J59" s="10" t="s">
        <v>250</v>
      </c>
      <c r="K59" s="5"/>
    </row>
    <row r="60" spans="1:14" ht="15.75" hidden="1" customHeight="1" x14ac:dyDescent="0.25">
      <c r="A60" s="5"/>
      <c r="B60" s="123">
        <v>250923</v>
      </c>
      <c r="C60" s="123">
        <v>1905</v>
      </c>
      <c r="D60" s="124">
        <v>45919</v>
      </c>
      <c r="E60" s="75">
        <v>36081</v>
      </c>
      <c r="F60" s="75">
        <v>11000</v>
      </c>
      <c r="G60" s="76">
        <v>45923</v>
      </c>
      <c r="H60" s="12">
        <f>+H59+E60-F60</f>
        <v>14647.5</v>
      </c>
      <c r="I60" s="10"/>
      <c r="J60" s="10" t="s">
        <v>181</v>
      </c>
      <c r="K60" s="5" t="s">
        <v>135</v>
      </c>
    </row>
    <row r="61" spans="1:14" ht="15.75" hidden="1" customHeight="1" x14ac:dyDescent="0.25">
      <c r="A61" s="5"/>
      <c r="B61" s="123">
        <v>250929</v>
      </c>
      <c r="C61" s="123">
        <v>1907</v>
      </c>
      <c r="D61" s="124">
        <v>45924</v>
      </c>
      <c r="E61" s="75">
        <v>31750</v>
      </c>
      <c r="F61" s="75">
        <v>8000</v>
      </c>
      <c r="G61" s="76">
        <v>45923</v>
      </c>
      <c r="H61" s="12">
        <f t="shared" si="2"/>
        <v>38397.5</v>
      </c>
      <c r="I61" s="10"/>
      <c r="J61" s="10" t="s">
        <v>181</v>
      </c>
      <c r="K61" s="5" t="s">
        <v>135</v>
      </c>
    </row>
    <row r="62" spans="1:14" ht="16.5" hidden="1" customHeight="1" x14ac:dyDescent="0.25">
      <c r="A62" s="5"/>
      <c r="B62" s="123">
        <v>250934</v>
      </c>
      <c r="C62" s="123">
        <v>1913</v>
      </c>
      <c r="D62" s="124">
        <v>45927</v>
      </c>
      <c r="E62" s="75">
        <v>12775</v>
      </c>
      <c r="F62" s="75">
        <v>18000</v>
      </c>
      <c r="G62" s="76">
        <v>45924</v>
      </c>
      <c r="H62" s="12">
        <f t="shared" si="2"/>
        <v>33172.5</v>
      </c>
      <c r="I62" s="10"/>
      <c r="J62" s="10" t="s">
        <v>251</v>
      </c>
      <c r="K62" s="5"/>
      <c r="L62" s="102"/>
      <c r="M62" s="103"/>
      <c r="N62" s="104"/>
    </row>
    <row r="63" spans="1:14" ht="16.5" hidden="1" customHeight="1" x14ac:dyDescent="0.25">
      <c r="A63" s="5"/>
      <c r="B63" s="123"/>
      <c r="C63" s="123"/>
      <c r="D63" s="124"/>
      <c r="E63" s="75"/>
      <c r="F63" s="75">
        <v>17000</v>
      </c>
      <c r="G63" s="76">
        <v>45926</v>
      </c>
      <c r="H63" s="12">
        <f t="shared" si="2"/>
        <v>16172.5</v>
      </c>
      <c r="I63" s="10"/>
      <c r="J63" s="10" t="s">
        <v>252</v>
      </c>
      <c r="K63" s="5"/>
      <c r="L63" s="102"/>
      <c r="M63" s="103"/>
      <c r="N63" s="104"/>
    </row>
    <row r="64" spans="1:14" ht="16.5" hidden="1" customHeight="1" x14ac:dyDescent="0.25">
      <c r="A64" s="5"/>
      <c r="B64" s="123"/>
      <c r="C64" s="123"/>
      <c r="D64" s="124"/>
      <c r="E64" s="75"/>
      <c r="F64" s="75">
        <v>3397.5</v>
      </c>
      <c r="G64" s="76">
        <v>45926</v>
      </c>
      <c r="H64" s="12">
        <f>+H63+E64-F64</f>
        <v>12775</v>
      </c>
      <c r="I64" s="10"/>
      <c r="J64" s="10" t="s">
        <v>181</v>
      </c>
      <c r="K64" s="5" t="s">
        <v>135</v>
      </c>
      <c r="M64" s="103"/>
      <c r="N64" s="104"/>
    </row>
    <row r="65" spans="1:15" ht="16.5" hidden="1" customHeight="1" thickBot="1" x14ac:dyDescent="0.3">
      <c r="A65" s="5"/>
      <c r="B65" s="168"/>
      <c r="C65" s="168"/>
      <c r="D65" s="169"/>
      <c r="E65" s="170"/>
      <c r="F65" s="195">
        <v>10000</v>
      </c>
      <c r="G65" s="196">
        <v>45927</v>
      </c>
      <c r="H65" s="12">
        <f>+H64+E65-F65</f>
        <v>2775</v>
      </c>
      <c r="I65" s="87"/>
      <c r="J65" s="87" t="s">
        <v>253</v>
      </c>
      <c r="K65" s="5"/>
      <c r="L65" s="102"/>
      <c r="M65" s="103"/>
      <c r="N65" s="104"/>
    </row>
    <row r="66" spans="1:15" ht="16.5" customHeight="1" thickTop="1" thickBot="1" x14ac:dyDescent="0.3">
      <c r="A66" s="5"/>
      <c r="B66" s="284" t="s">
        <v>280</v>
      </c>
      <c r="C66" s="285"/>
      <c r="D66" s="286"/>
      <c r="E66" s="186">
        <f>SUM(E56:E65)</f>
        <v>203700</v>
      </c>
      <c r="F66" s="186">
        <f>SUM(F56:F65)</f>
        <v>200925</v>
      </c>
      <c r="G66" s="187"/>
      <c r="H66" s="188"/>
      <c r="I66" s="189"/>
      <c r="J66" s="190"/>
      <c r="K66" s="5"/>
      <c r="L66" s="102"/>
      <c r="M66" s="103"/>
      <c r="N66" s="104"/>
    </row>
    <row r="67" spans="1:15" ht="16.5" customHeight="1" thickTop="1" x14ac:dyDescent="0.25">
      <c r="A67" s="5"/>
      <c r="B67" s="123">
        <v>251001</v>
      </c>
      <c r="C67" s="123">
        <v>1921</v>
      </c>
      <c r="D67" s="124">
        <v>45931</v>
      </c>
      <c r="E67" s="75">
        <v>34480</v>
      </c>
      <c r="F67" s="75">
        <v>20000</v>
      </c>
      <c r="G67" s="76">
        <v>45931</v>
      </c>
      <c r="H67" s="12">
        <f>+H65+E67-F67</f>
        <v>17255</v>
      </c>
      <c r="I67" s="10"/>
      <c r="J67" s="10" t="s">
        <v>254</v>
      </c>
      <c r="K67" s="5"/>
      <c r="L67" s="102"/>
      <c r="M67" s="103"/>
      <c r="N67" s="104"/>
    </row>
    <row r="68" spans="1:15" ht="15.75" customHeight="1" x14ac:dyDescent="0.25">
      <c r="A68" s="5"/>
      <c r="B68" s="123">
        <v>251005</v>
      </c>
      <c r="C68" s="123">
        <v>1925</v>
      </c>
      <c r="D68" s="124">
        <v>45933</v>
      </c>
      <c r="E68" s="75">
        <v>32440</v>
      </c>
      <c r="F68" s="75">
        <v>10000</v>
      </c>
      <c r="G68" s="76">
        <v>45932</v>
      </c>
      <c r="H68" s="12">
        <f t="shared" si="2"/>
        <v>39695</v>
      </c>
      <c r="I68" s="10"/>
      <c r="J68" s="10" t="s">
        <v>181</v>
      </c>
      <c r="K68" s="5" t="s">
        <v>135</v>
      </c>
    </row>
    <row r="69" spans="1:15" ht="15.75" customHeight="1" x14ac:dyDescent="0.25">
      <c r="A69" s="5"/>
      <c r="B69" s="123">
        <v>251010</v>
      </c>
      <c r="C69" s="123">
        <v>1932</v>
      </c>
      <c r="D69" s="124">
        <v>45937</v>
      </c>
      <c r="E69" s="75">
        <v>33570</v>
      </c>
      <c r="F69" s="75">
        <v>13600</v>
      </c>
      <c r="G69" s="76">
        <v>45933</v>
      </c>
      <c r="H69" s="12">
        <f t="shared" si="2"/>
        <v>59665</v>
      </c>
      <c r="I69" s="10"/>
      <c r="J69" s="10" t="s">
        <v>255</v>
      </c>
      <c r="K69" s="5"/>
    </row>
    <row r="70" spans="1:15" ht="15.75" customHeight="1" x14ac:dyDescent="0.25">
      <c r="A70" s="5"/>
      <c r="B70" s="123">
        <v>251013</v>
      </c>
      <c r="C70" s="123">
        <v>1936</v>
      </c>
      <c r="D70" s="124">
        <v>45938</v>
      </c>
      <c r="E70" s="75">
        <v>13635</v>
      </c>
      <c r="F70" s="75">
        <v>44000</v>
      </c>
      <c r="G70" s="76">
        <v>45937</v>
      </c>
      <c r="H70" s="12">
        <f>+H69+E70-F70</f>
        <v>29300</v>
      </c>
      <c r="I70" s="10"/>
      <c r="J70" s="10" t="s">
        <v>271</v>
      </c>
      <c r="K70" s="5"/>
    </row>
    <row r="71" spans="1:15" ht="16.5" customHeight="1" x14ac:dyDescent="0.25">
      <c r="A71" s="5"/>
      <c r="B71" s="123">
        <v>251014</v>
      </c>
      <c r="C71" s="123">
        <v>1941</v>
      </c>
      <c r="D71" s="124">
        <v>45940</v>
      </c>
      <c r="E71" s="75">
        <v>32960</v>
      </c>
      <c r="F71" s="75">
        <v>13200</v>
      </c>
      <c r="G71" s="76">
        <v>45938</v>
      </c>
      <c r="H71" s="12">
        <f t="shared" ref="H71:H107" si="3">+H70+E71-F71</f>
        <v>49060</v>
      </c>
      <c r="I71" s="10"/>
      <c r="J71" s="10" t="s">
        <v>181</v>
      </c>
      <c r="K71" s="5" t="s">
        <v>135</v>
      </c>
    </row>
    <row r="72" spans="1:15" ht="16.5" customHeight="1" x14ac:dyDescent="0.25">
      <c r="A72" s="5"/>
      <c r="B72" s="123">
        <v>251015</v>
      </c>
      <c r="C72" s="123">
        <v>1942</v>
      </c>
      <c r="D72" s="124">
        <v>45941</v>
      </c>
      <c r="E72" s="75">
        <v>20859</v>
      </c>
      <c r="F72" s="75">
        <v>11000</v>
      </c>
      <c r="G72" s="76">
        <v>45938</v>
      </c>
      <c r="H72" s="12">
        <f t="shared" si="3"/>
        <v>58919</v>
      </c>
      <c r="I72" s="10"/>
      <c r="J72" s="10" t="s">
        <v>272</v>
      </c>
      <c r="K72" s="5"/>
    </row>
    <row r="73" spans="1:15" ht="15.75" customHeight="1" x14ac:dyDescent="0.25">
      <c r="A73" s="5"/>
      <c r="B73" s="123">
        <v>251021</v>
      </c>
      <c r="C73" s="123">
        <v>1949</v>
      </c>
      <c r="D73" s="124">
        <v>45944</v>
      </c>
      <c r="E73" s="75">
        <v>34618</v>
      </c>
      <c r="F73" s="75">
        <v>20000</v>
      </c>
      <c r="G73" s="76">
        <v>45940</v>
      </c>
      <c r="H73" s="12">
        <f t="shared" si="3"/>
        <v>73537</v>
      </c>
      <c r="I73" s="10"/>
      <c r="J73" s="10" t="s">
        <v>274</v>
      </c>
      <c r="K73" s="5"/>
    </row>
    <row r="74" spans="1:15" ht="15.75" customHeight="1" x14ac:dyDescent="0.25">
      <c r="A74" s="5"/>
      <c r="B74" s="123">
        <v>251023</v>
      </c>
      <c r="C74" s="123">
        <v>1953</v>
      </c>
      <c r="D74" s="124">
        <v>45946</v>
      </c>
      <c r="E74" s="75">
        <v>13410</v>
      </c>
      <c r="F74" s="75">
        <v>7700</v>
      </c>
      <c r="G74" s="76">
        <v>45941</v>
      </c>
      <c r="H74" s="12">
        <f t="shared" si="3"/>
        <v>79247</v>
      </c>
      <c r="I74" s="10"/>
      <c r="J74" s="10" t="s">
        <v>275</v>
      </c>
      <c r="K74" s="5"/>
    </row>
    <row r="75" spans="1:15" ht="15.75" customHeight="1" x14ac:dyDescent="0.25">
      <c r="A75" s="5"/>
      <c r="B75" s="123">
        <v>251024</v>
      </c>
      <c r="C75" s="123">
        <v>1956</v>
      </c>
      <c r="D75" s="124">
        <v>45947</v>
      </c>
      <c r="E75" s="75">
        <v>20685</v>
      </c>
      <c r="F75" s="75">
        <v>8000</v>
      </c>
      <c r="G75" s="76">
        <v>45944</v>
      </c>
      <c r="H75" s="12">
        <f t="shared" si="3"/>
        <v>91932</v>
      </c>
      <c r="I75" s="10"/>
      <c r="J75" s="10" t="s">
        <v>181</v>
      </c>
      <c r="K75" s="5" t="s">
        <v>135</v>
      </c>
    </row>
    <row r="76" spans="1:15" ht="15.75" customHeight="1" x14ac:dyDescent="0.25">
      <c r="A76" s="5"/>
      <c r="B76" s="123">
        <v>251026</v>
      </c>
      <c r="C76" s="123">
        <v>1963</v>
      </c>
      <c r="D76" s="124">
        <v>45950</v>
      </c>
      <c r="E76" s="75">
        <v>34360</v>
      </c>
      <c r="F76" s="75">
        <v>6000</v>
      </c>
      <c r="G76" s="76">
        <v>45944</v>
      </c>
      <c r="H76" s="12">
        <f t="shared" si="3"/>
        <v>120292</v>
      </c>
      <c r="I76" s="10"/>
      <c r="J76" s="10" t="s">
        <v>181</v>
      </c>
      <c r="K76" s="5" t="s">
        <v>135</v>
      </c>
    </row>
    <row r="77" spans="1:15" ht="15.75" customHeight="1" x14ac:dyDescent="0.25">
      <c r="A77" s="5"/>
      <c r="B77" s="123">
        <v>251032</v>
      </c>
      <c r="C77" s="123">
        <v>1972</v>
      </c>
      <c r="D77" s="124">
        <v>45952</v>
      </c>
      <c r="E77" s="75">
        <v>34535</v>
      </c>
      <c r="F77" s="75">
        <v>24000</v>
      </c>
      <c r="G77" s="76">
        <v>45944</v>
      </c>
      <c r="H77" s="12">
        <f t="shared" si="3"/>
        <v>130827</v>
      </c>
      <c r="I77" s="10"/>
      <c r="J77" s="10" t="s">
        <v>273</v>
      </c>
      <c r="K77" s="5"/>
    </row>
    <row r="78" spans="1:15" ht="15.75" customHeight="1" x14ac:dyDescent="0.25">
      <c r="A78" s="5"/>
      <c r="B78" s="123">
        <v>251036</v>
      </c>
      <c r="C78" s="123">
        <v>1977</v>
      </c>
      <c r="D78" s="124">
        <v>45955</v>
      </c>
      <c r="E78" s="75">
        <v>13645</v>
      </c>
      <c r="F78" s="75">
        <v>3900</v>
      </c>
      <c r="G78" s="76">
        <v>45946</v>
      </c>
      <c r="H78" s="12">
        <f t="shared" si="3"/>
        <v>140572</v>
      </c>
      <c r="I78" s="10"/>
      <c r="J78" s="10" t="s">
        <v>181</v>
      </c>
      <c r="K78" s="5" t="s">
        <v>135</v>
      </c>
    </row>
    <row r="79" spans="1:15" ht="15.75" customHeight="1" x14ac:dyDescent="0.25">
      <c r="A79" s="5"/>
      <c r="B79" s="123">
        <v>251039</v>
      </c>
      <c r="C79" s="123">
        <v>1984</v>
      </c>
      <c r="D79" s="124">
        <v>45958</v>
      </c>
      <c r="E79" s="75">
        <v>34640</v>
      </c>
      <c r="F79" s="75">
        <v>8800</v>
      </c>
      <c r="G79" s="76">
        <v>45946</v>
      </c>
      <c r="H79" s="12">
        <f t="shared" si="3"/>
        <v>166412</v>
      </c>
      <c r="I79" s="10"/>
      <c r="J79" s="10" t="s">
        <v>276</v>
      </c>
      <c r="K79" s="5"/>
      <c r="N79" s="49">
        <f>SUM(E67:E79)</f>
        <v>353837</v>
      </c>
      <c r="O79" s="1">
        <f>+N79/65000</f>
        <v>5.4436461538461538</v>
      </c>
    </row>
    <row r="80" spans="1:15" ht="15.75" customHeight="1" x14ac:dyDescent="0.25">
      <c r="A80" s="5"/>
      <c r="B80" s="123"/>
      <c r="C80" s="123"/>
      <c r="D80" s="124"/>
      <c r="E80" s="75"/>
      <c r="F80" s="75">
        <v>5000</v>
      </c>
      <c r="G80" s="76">
        <v>45947</v>
      </c>
      <c r="H80" s="12">
        <f t="shared" si="3"/>
        <v>161412</v>
      </c>
      <c r="I80" s="10"/>
      <c r="J80" s="10" t="s">
        <v>181</v>
      </c>
      <c r="K80" s="5" t="s">
        <v>135</v>
      </c>
    </row>
    <row r="81" spans="1:11" ht="15.75" customHeight="1" x14ac:dyDescent="0.25">
      <c r="A81" s="5"/>
      <c r="B81" s="123"/>
      <c r="C81" s="123"/>
      <c r="D81" s="124"/>
      <c r="E81" s="75"/>
      <c r="F81" s="75">
        <v>11000</v>
      </c>
      <c r="G81" s="76">
        <v>45947</v>
      </c>
      <c r="H81" s="12">
        <f t="shared" si="3"/>
        <v>150412</v>
      </c>
      <c r="I81" s="10"/>
      <c r="J81" s="10" t="s">
        <v>277</v>
      </c>
      <c r="K81" s="5"/>
    </row>
    <row r="82" spans="1:11" ht="15.75" customHeight="1" x14ac:dyDescent="0.25">
      <c r="A82" s="5"/>
      <c r="B82" s="123"/>
      <c r="C82" s="123"/>
      <c r="D82" s="124"/>
      <c r="E82" s="75"/>
      <c r="F82" s="75">
        <v>22000</v>
      </c>
      <c r="G82" s="76">
        <v>45950</v>
      </c>
      <c r="H82" s="12">
        <f t="shared" si="3"/>
        <v>128412</v>
      </c>
      <c r="I82" s="10"/>
      <c r="J82" s="10" t="s">
        <v>278</v>
      </c>
      <c r="K82" s="5"/>
    </row>
    <row r="83" spans="1:11" ht="15.75" customHeight="1" x14ac:dyDescent="0.25">
      <c r="A83" s="5"/>
      <c r="B83" s="123"/>
      <c r="C83" s="123"/>
      <c r="D83" s="124"/>
      <c r="E83" s="75"/>
      <c r="F83" s="75">
        <v>35000</v>
      </c>
      <c r="G83" s="76">
        <v>45952</v>
      </c>
      <c r="H83" s="12">
        <f t="shared" si="3"/>
        <v>93412</v>
      </c>
      <c r="I83" s="10"/>
      <c r="J83" s="10" t="s">
        <v>279</v>
      </c>
      <c r="K83" s="5"/>
    </row>
    <row r="84" spans="1:11" ht="15.75" customHeight="1" x14ac:dyDescent="0.25">
      <c r="A84" s="5"/>
      <c r="B84" s="123"/>
      <c r="C84" s="123"/>
      <c r="D84" s="124"/>
      <c r="E84" s="75"/>
      <c r="F84" s="75">
        <v>2000</v>
      </c>
      <c r="G84" s="76">
        <v>45955</v>
      </c>
      <c r="H84" s="12">
        <f t="shared" si="3"/>
        <v>91412</v>
      </c>
      <c r="I84" s="10"/>
      <c r="J84" s="10" t="s">
        <v>181</v>
      </c>
      <c r="K84" s="5" t="s">
        <v>135</v>
      </c>
    </row>
    <row r="85" spans="1:11" ht="15.75" customHeight="1" x14ac:dyDescent="0.25">
      <c r="A85" s="5"/>
      <c r="B85" s="123"/>
      <c r="C85" s="123"/>
      <c r="D85" s="124"/>
      <c r="E85" s="75"/>
      <c r="F85" s="75">
        <v>31000</v>
      </c>
      <c r="G85" s="76">
        <v>45955</v>
      </c>
      <c r="H85" s="12">
        <f t="shared" si="3"/>
        <v>60412</v>
      </c>
      <c r="I85" s="10"/>
      <c r="J85" s="10" t="s">
        <v>281</v>
      </c>
      <c r="K85" s="5"/>
    </row>
    <row r="86" spans="1:11" ht="16.5" customHeight="1" x14ac:dyDescent="0.25">
      <c r="A86" s="5"/>
      <c r="B86" s="123"/>
      <c r="C86" s="123"/>
      <c r="D86" s="124"/>
      <c r="E86" s="75"/>
      <c r="F86" s="75">
        <v>4000</v>
      </c>
      <c r="G86" s="76">
        <v>45959</v>
      </c>
      <c r="H86" s="12">
        <f t="shared" si="3"/>
        <v>56412</v>
      </c>
      <c r="I86" s="10"/>
      <c r="J86" s="10" t="s">
        <v>181</v>
      </c>
      <c r="K86" s="5" t="s">
        <v>135</v>
      </c>
    </row>
    <row r="87" spans="1:11" ht="16.5" customHeight="1" thickBot="1" x14ac:dyDescent="0.3">
      <c r="A87" s="5"/>
      <c r="B87" s="123"/>
      <c r="C87" s="123"/>
      <c r="D87" s="124"/>
      <c r="E87" s="75"/>
      <c r="F87" s="75">
        <v>36000</v>
      </c>
      <c r="G87" s="76">
        <v>45959</v>
      </c>
      <c r="H87" s="12">
        <f t="shared" si="3"/>
        <v>20412</v>
      </c>
      <c r="I87" s="10"/>
      <c r="J87" s="10" t="s">
        <v>279</v>
      </c>
      <c r="K87" s="5"/>
    </row>
    <row r="88" spans="1:11" ht="15.75" customHeight="1" thickTop="1" thickBot="1" x14ac:dyDescent="0.3">
      <c r="A88" s="5"/>
      <c r="B88" s="284" t="s">
        <v>288</v>
      </c>
      <c r="C88" s="285"/>
      <c r="D88" s="286"/>
      <c r="E88" s="186">
        <f>SUM(E67:E87)</f>
        <v>353837</v>
      </c>
      <c r="F88" s="186">
        <f>SUM(F67:F87)</f>
        <v>336200</v>
      </c>
      <c r="G88" s="187"/>
      <c r="H88" s="188"/>
      <c r="I88" s="189"/>
      <c r="J88" s="190"/>
      <c r="K88" s="5"/>
    </row>
    <row r="89" spans="1:11" ht="15.75" customHeight="1" thickTop="1" x14ac:dyDescent="0.25">
      <c r="A89" s="5"/>
      <c r="B89" s="123">
        <v>251101</v>
      </c>
      <c r="C89" s="123">
        <v>1996</v>
      </c>
      <c r="D89" s="124">
        <v>45966</v>
      </c>
      <c r="E89" s="75">
        <v>36235</v>
      </c>
      <c r="F89" s="75">
        <v>5000</v>
      </c>
      <c r="G89" s="76">
        <v>45966</v>
      </c>
      <c r="H89" s="12">
        <f>+H87+E89-F89</f>
        <v>51647</v>
      </c>
      <c r="I89" s="10"/>
      <c r="J89" s="10" t="s">
        <v>181</v>
      </c>
      <c r="K89" s="5" t="s">
        <v>135</v>
      </c>
    </row>
    <row r="90" spans="1:11" ht="15.75" customHeight="1" x14ac:dyDescent="0.25">
      <c r="A90" s="5"/>
      <c r="B90" s="123">
        <v>251102</v>
      </c>
      <c r="C90" s="123">
        <v>1998</v>
      </c>
      <c r="D90" s="124">
        <v>45968</v>
      </c>
      <c r="E90" s="75">
        <v>21295</v>
      </c>
      <c r="F90" s="75">
        <v>2000</v>
      </c>
      <c r="G90" s="76">
        <v>45966</v>
      </c>
      <c r="H90" s="12">
        <f t="shared" si="3"/>
        <v>70942</v>
      </c>
      <c r="I90" s="10"/>
      <c r="J90" s="10" t="s">
        <v>181</v>
      </c>
      <c r="K90" s="5" t="s">
        <v>135</v>
      </c>
    </row>
    <row r="91" spans="1:11" ht="15.75" customHeight="1" x14ac:dyDescent="0.25">
      <c r="A91" s="5"/>
      <c r="B91" s="123">
        <v>251105</v>
      </c>
      <c r="C91" s="123">
        <v>2005</v>
      </c>
      <c r="D91" s="124">
        <v>45972</v>
      </c>
      <c r="E91" s="75">
        <v>33890</v>
      </c>
      <c r="F91" s="75">
        <v>28000</v>
      </c>
      <c r="G91" s="76">
        <v>45966</v>
      </c>
      <c r="H91" s="12">
        <f t="shared" si="3"/>
        <v>76832</v>
      </c>
      <c r="I91" s="10"/>
      <c r="J91" s="10" t="s">
        <v>291</v>
      </c>
      <c r="K91" s="5"/>
    </row>
    <row r="92" spans="1:11" ht="15.75" customHeight="1" x14ac:dyDescent="0.25">
      <c r="A92" s="5"/>
      <c r="B92" s="123">
        <v>251108</v>
      </c>
      <c r="C92" s="123">
        <v>2017</v>
      </c>
      <c r="D92" s="124">
        <v>45975</v>
      </c>
      <c r="E92" s="75">
        <v>35134</v>
      </c>
      <c r="F92" s="75">
        <v>14000</v>
      </c>
      <c r="G92" s="76">
        <v>45968</v>
      </c>
      <c r="H92" s="12">
        <f t="shared" si="3"/>
        <v>97966</v>
      </c>
      <c r="I92" s="10"/>
      <c r="J92" s="10" t="s">
        <v>292</v>
      </c>
      <c r="K92" s="5"/>
    </row>
    <row r="93" spans="1:11" ht="15.75" customHeight="1" x14ac:dyDescent="0.25">
      <c r="A93" s="5"/>
      <c r="B93" s="123"/>
      <c r="C93" s="123"/>
      <c r="D93" s="124"/>
      <c r="E93" s="75"/>
      <c r="F93" s="75">
        <v>23700</v>
      </c>
      <c r="G93" s="76">
        <v>45972</v>
      </c>
      <c r="H93" s="12">
        <f t="shared" si="3"/>
        <v>74266</v>
      </c>
      <c r="I93" s="10"/>
      <c r="J93" s="10" t="s">
        <v>293</v>
      </c>
      <c r="K93" s="5"/>
    </row>
    <row r="94" spans="1:11" ht="15.75" customHeight="1" x14ac:dyDescent="0.25">
      <c r="A94" s="5"/>
      <c r="B94" s="123"/>
      <c r="C94" s="123"/>
      <c r="D94" s="124"/>
      <c r="E94" s="75"/>
      <c r="F94" s="75">
        <v>27000</v>
      </c>
      <c r="G94" s="76">
        <v>45975</v>
      </c>
      <c r="H94" s="12">
        <f t="shared" si="3"/>
        <v>47266</v>
      </c>
      <c r="I94" s="10"/>
      <c r="J94" s="10" t="s">
        <v>294</v>
      </c>
      <c r="K94" s="5"/>
    </row>
    <row r="95" spans="1:11" ht="15.75" customHeight="1" x14ac:dyDescent="0.25">
      <c r="A95" s="5"/>
      <c r="B95" s="123"/>
      <c r="C95" s="123"/>
      <c r="D95" s="124"/>
      <c r="E95" s="75"/>
      <c r="F95" s="75">
        <v>46266</v>
      </c>
      <c r="G95" s="76">
        <v>45985</v>
      </c>
      <c r="H95" s="12">
        <f t="shared" si="3"/>
        <v>1000</v>
      </c>
      <c r="I95" s="10"/>
      <c r="J95" s="10" t="s">
        <v>295</v>
      </c>
      <c r="K95" s="5"/>
    </row>
    <row r="96" spans="1:11" ht="15.75" customHeight="1" thickBot="1" x14ac:dyDescent="0.3">
      <c r="A96" s="5"/>
      <c r="B96" s="123"/>
      <c r="C96" s="123"/>
      <c r="D96" s="124"/>
      <c r="E96" s="75"/>
      <c r="F96" s="75">
        <v>1000</v>
      </c>
      <c r="G96" s="76">
        <v>45986</v>
      </c>
      <c r="H96" s="12">
        <f t="shared" si="3"/>
        <v>0</v>
      </c>
      <c r="I96" s="10"/>
      <c r="J96" s="10" t="s">
        <v>181</v>
      </c>
      <c r="K96" s="5" t="s">
        <v>135</v>
      </c>
    </row>
    <row r="97" spans="1:13" ht="15.75" customHeight="1" thickTop="1" thickBot="1" x14ac:dyDescent="0.3">
      <c r="A97" s="5"/>
      <c r="B97" s="284" t="s">
        <v>300</v>
      </c>
      <c r="C97" s="285"/>
      <c r="D97" s="286"/>
      <c r="E97" s="186">
        <f>SUM(E89:E96)</f>
        <v>126554</v>
      </c>
      <c r="F97" s="186">
        <f>SUM(F89:F96)</f>
        <v>146966</v>
      </c>
      <c r="G97" s="187"/>
      <c r="H97" s="188"/>
      <c r="I97" s="189"/>
      <c r="J97" s="190"/>
      <c r="K97" s="5"/>
    </row>
    <row r="98" spans="1:13" ht="15.75" customHeight="1" thickTop="1" x14ac:dyDescent="0.25">
      <c r="A98" s="5"/>
      <c r="B98" s="123"/>
      <c r="C98" s="123"/>
      <c r="D98" s="124"/>
      <c r="E98" s="75"/>
      <c r="F98" s="75"/>
      <c r="G98" s="76"/>
      <c r="H98" s="12">
        <f>+H96+E98-F98</f>
        <v>0</v>
      </c>
      <c r="I98" s="10"/>
      <c r="J98" s="10"/>
      <c r="K98" s="5"/>
    </row>
    <row r="99" spans="1:13" ht="15.75" customHeight="1" x14ac:dyDescent="0.25">
      <c r="A99" s="5"/>
      <c r="B99" s="123"/>
      <c r="C99" s="123"/>
      <c r="D99" s="124"/>
      <c r="E99" s="75"/>
      <c r="F99" s="75"/>
      <c r="G99" s="76"/>
      <c r="H99" s="12">
        <f t="shared" si="3"/>
        <v>0</v>
      </c>
      <c r="I99" s="10"/>
      <c r="J99" s="10"/>
      <c r="K99" s="5"/>
    </row>
    <row r="100" spans="1:13" ht="15.75" hidden="1" customHeight="1" x14ac:dyDescent="0.25">
      <c r="A100" s="5"/>
      <c r="B100" s="123"/>
      <c r="C100" s="123"/>
      <c r="D100" s="124"/>
      <c r="E100" s="75"/>
      <c r="F100" s="75"/>
      <c r="G100" s="76"/>
      <c r="H100" s="12">
        <f t="shared" si="3"/>
        <v>0</v>
      </c>
      <c r="I100" s="10"/>
      <c r="J100" s="10"/>
      <c r="K100" s="5"/>
    </row>
    <row r="101" spans="1:13" ht="16.5" hidden="1" customHeight="1" x14ac:dyDescent="0.25">
      <c r="A101" s="5"/>
      <c r="B101" s="123"/>
      <c r="C101" s="123"/>
      <c r="D101" s="124"/>
      <c r="E101" s="75"/>
      <c r="F101" s="75"/>
      <c r="G101" s="76"/>
      <c r="H101" s="12">
        <f t="shared" si="3"/>
        <v>0</v>
      </c>
      <c r="I101" s="10"/>
      <c r="J101" s="10"/>
      <c r="K101" s="5"/>
    </row>
    <row r="102" spans="1:13" ht="16.5" hidden="1" customHeight="1" x14ac:dyDescent="0.25">
      <c r="A102" s="5"/>
      <c r="B102" s="123"/>
      <c r="C102" s="123"/>
      <c r="D102" s="124"/>
      <c r="E102" s="75"/>
      <c r="F102" s="75"/>
      <c r="G102" s="76"/>
      <c r="H102" s="12">
        <f t="shared" si="3"/>
        <v>0</v>
      </c>
      <c r="I102" s="10"/>
      <c r="J102" s="10"/>
      <c r="K102" s="5"/>
    </row>
    <row r="103" spans="1:13" ht="15.75" customHeight="1" x14ac:dyDescent="0.25">
      <c r="A103" s="5"/>
      <c r="B103" s="123"/>
      <c r="C103" s="123"/>
      <c r="D103" s="124"/>
      <c r="E103" s="75"/>
      <c r="F103" s="75"/>
      <c r="G103" s="76"/>
      <c r="H103" s="12">
        <f t="shared" si="3"/>
        <v>0</v>
      </c>
      <c r="I103" s="10"/>
      <c r="J103" s="10"/>
      <c r="K103" s="5"/>
    </row>
    <row r="104" spans="1:13" ht="15.75" hidden="1" customHeight="1" x14ac:dyDescent="0.25">
      <c r="A104" s="5"/>
      <c r="B104" s="123"/>
      <c r="C104" s="123"/>
      <c r="D104" s="124"/>
      <c r="E104" s="75"/>
      <c r="F104" s="75"/>
      <c r="G104" s="76"/>
      <c r="H104" s="12">
        <f t="shared" si="3"/>
        <v>0</v>
      </c>
      <c r="I104" s="10"/>
      <c r="J104" s="10"/>
      <c r="K104" s="5"/>
    </row>
    <row r="105" spans="1:13" ht="15.75" hidden="1" customHeight="1" x14ac:dyDescent="0.25">
      <c r="A105" s="5"/>
      <c r="B105" s="123"/>
      <c r="C105" s="123"/>
      <c r="D105" s="124"/>
      <c r="E105" s="75"/>
      <c r="F105" s="75"/>
      <c r="G105" s="76"/>
      <c r="H105" s="12">
        <f t="shared" si="3"/>
        <v>0</v>
      </c>
      <c r="I105" s="10"/>
      <c r="J105" s="10"/>
      <c r="K105" s="5"/>
    </row>
    <row r="106" spans="1:13" ht="15.75" hidden="1" customHeight="1" x14ac:dyDescent="0.25">
      <c r="A106" s="5"/>
      <c r="B106" s="123"/>
      <c r="C106" s="123"/>
      <c r="D106" s="124"/>
      <c r="E106" s="75"/>
      <c r="F106" s="75"/>
      <c r="G106" s="76"/>
      <c r="H106" s="12">
        <f t="shared" si="3"/>
        <v>0</v>
      </c>
      <c r="I106" s="10"/>
      <c r="J106" s="10"/>
      <c r="K106" s="5"/>
    </row>
    <row r="107" spans="1:13" ht="15.75" hidden="1" customHeight="1" x14ac:dyDescent="0.25">
      <c r="A107" s="5"/>
      <c r="B107" s="123"/>
      <c r="C107" s="123"/>
      <c r="D107" s="124"/>
      <c r="E107" s="75"/>
      <c r="F107" s="75"/>
      <c r="G107" s="76"/>
      <c r="H107" s="12">
        <f t="shared" si="3"/>
        <v>0</v>
      </c>
      <c r="I107" s="10"/>
      <c r="J107" s="10"/>
      <c r="K107" s="5"/>
    </row>
    <row r="108" spans="1:13" ht="15.75" customHeight="1" x14ac:dyDescent="0.25">
      <c r="A108" s="5"/>
      <c r="B108" s="123"/>
      <c r="C108" s="123"/>
      <c r="D108" s="124"/>
      <c r="E108" s="75"/>
      <c r="F108" s="75"/>
      <c r="G108" s="76"/>
      <c r="H108" s="12">
        <f t="shared" si="2"/>
        <v>0</v>
      </c>
      <c r="I108" s="10"/>
      <c r="J108" s="10"/>
      <c r="K108" s="5"/>
    </row>
    <row r="109" spans="1:13" x14ac:dyDescent="0.25">
      <c r="A109" s="5"/>
      <c r="B109" s="123"/>
      <c r="C109" s="123"/>
      <c r="D109" s="124"/>
      <c r="E109" s="75"/>
      <c r="F109" s="75"/>
      <c r="G109" s="76"/>
      <c r="H109" s="12">
        <f t="shared" si="2"/>
        <v>0</v>
      </c>
      <c r="I109" s="10"/>
      <c r="J109" s="10"/>
      <c r="K109" s="5"/>
      <c r="L109" s="49"/>
      <c r="M109" s="49"/>
    </row>
    <row r="110" spans="1:13" hidden="1" x14ac:dyDescent="0.25">
      <c r="A110" s="5"/>
      <c r="B110" s="123"/>
      <c r="C110" s="123"/>
      <c r="D110" s="124"/>
      <c r="E110" s="75"/>
      <c r="F110" s="75"/>
      <c r="G110" s="76"/>
      <c r="H110" s="12">
        <f t="shared" si="2"/>
        <v>0</v>
      </c>
      <c r="I110" s="10"/>
      <c r="J110" s="10"/>
      <c r="K110" s="5"/>
      <c r="M110" s="49"/>
    </row>
    <row r="111" spans="1:13" hidden="1" x14ac:dyDescent="0.25">
      <c r="A111" s="5"/>
      <c r="B111" s="123"/>
      <c r="C111" s="123"/>
      <c r="D111" s="124"/>
      <c r="E111" s="75"/>
      <c r="F111" s="75"/>
      <c r="G111" s="76"/>
      <c r="H111" s="12">
        <f>+H110+E111-F111</f>
        <v>0</v>
      </c>
      <c r="I111" s="10"/>
      <c r="J111" s="10"/>
      <c r="K111" s="5"/>
      <c r="M111" s="49"/>
    </row>
    <row r="112" spans="1:13" hidden="1" x14ac:dyDescent="0.25">
      <c r="A112" s="5"/>
      <c r="B112" s="123"/>
      <c r="C112" s="123"/>
      <c r="D112" s="124"/>
      <c r="E112" s="75"/>
      <c r="F112" s="75"/>
      <c r="G112" s="76"/>
      <c r="H112" s="12">
        <f t="shared" ref="H112:H145" si="4">+H111+E112-F112</f>
        <v>0</v>
      </c>
      <c r="I112" s="10"/>
      <c r="J112" s="10"/>
      <c r="K112" s="5"/>
      <c r="M112" s="49"/>
    </row>
    <row r="113" spans="1:13" hidden="1" x14ac:dyDescent="0.25">
      <c r="A113" s="5"/>
      <c r="B113" s="123"/>
      <c r="C113" s="123"/>
      <c r="D113" s="124"/>
      <c r="E113" s="75"/>
      <c r="F113" s="75"/>
      <c r="G113" s="76"/>
      <c r="H113" s="12">
        <f t="shared" si="4"/>
        <v>0</v>
      </c>
      <c r="I113" s="10"/>
      <c r="J113" s="10"/>
      <c r="K113" s="5"/>
      <c r="M113" s="49"/>
    </row>
    <row r="114" spans="1:13" hidden="1" x14ac:dyDescent="0.25">
      <c r="A114" s="5"/>
      <c r="B114" s="123"/>
      <c r="C114" s="123"/>
      <c r="D114" s="124"/>
      <c r="E114" s="75"/>
      <c r="F114" s="75"/>
      <c r="G114" s="76"/>
      <c r="H114" s="12">
        <f t="shared" si="4"/>
        <v>0</v>
      </c>
      <c r="I114" s="10"/>
      <c r="J114" s="10"/>
      <c r="K114" s="5"/>
      <c r="M114" s="49"/>
    </row>
    <row r="115" spans="1:13" hidden="1" x14ac:dyDescent="0.25">
      <c r="A115" s="5"/>
      <c r="B115" s="123"/>
      <c r="C115" s="123"/>
      <c r="D115" s="124"/>
      <c r="E115" s="75"/>
      <c r="F115" s="75"/>
      <c r="G115" s="76"/>
      <c r="H115" s="12">
        <f t="shared" si="4"/>
        <v>0</v>
      </c>
      <c r="I115" s="10"/>
      <c r="J115" s="10"/>
      <c r="K115" s="5"/>
      <c r="M115" s="49"/>
    </row>
    <row r="116" spans="1:13" hidden="1" x14ac:dyDescent="0.25">
      <c r="A116" s="5"/>
      <c r="B116" s="123"/>
      <c r="C116" s="123"/>
      <c r="D116" s="124"/>
      <c r="E116" s="75"/>
      <c r="F116" s="75"/>
      <c r="G116" s="76"/>
      <c r="H116" s="12">
        <f t="shared" si="4"/>
        <v>0</v>
      </c>
      <c r="I116" s="10"/>
      <c r="J116" s="10"/>
      <c r="K116" s="5"/>
      <c r="M116" s="49"/>
    </row>
    <row r="117" spans="1:13" hidden="1" x14ac:dyDescent="0.25">
      <c r="A117" s="5"/>
      <c r="B117" s="123"/>
      <c r="C117" s="123"/>
      <c r="D117" s="124"/>
      <c r="E117" s="75"/>
      <c r="F117" s="75"/>
      <c r="G117" s="76"/>
      <c r="H117" s="12">
        <f t="shared" si="4"/>
        <v>0</v>
      </c>
      <c r="I117" s="10"/>
      <c r="J117" s="10"/>
      <c r="K117" s="5"/>
      <c r="M117" s="49"/>
    </row>
    <row r="118" spans="1:13" hidden="1" x14ac:dyDescent="0.25">
      <c r="A118" s="5"/>
      <c r="B118" s="123"/>
      <c r="C118" s="123"/>
      <c r="D118" s="124"/>
      <c r="E118" s="75"/>
      <c r="F118" s="75"/>
      <c r="G118" s="76"/>
      <c r="H118" s="12">
        <f t="shared" si="4"/>
        <v>0</v>
      </c>
      <c r="I118" s="10"/>
      <c r="J118" s="10"/>
      <c r="K118" s="5"/>
      <c r="M118" s="49"/>
    </row>
    <row r="119" spans="1:13" hidden="1" x14ac:dyDescent="0.25">
      <c r="A119" s="5"/>
      <c r="B119" s="123"/>
      <c r="C119" s="123"/>
      <c r="D119" s="124"/>
      <c r="E119" s="75"/>
      <c r="F119" s="75"/>
      <c r="G119" s="76"/>
      <c r="H119" s="12">
        <f t="shared" si="4"/>
        <v>0</v>
      </c>
      <c r="I119" s="10"/>
      <c r="J119" s="10"/>
      <c r="K119" s="5"/>
      <c r="L119" s="49"/>
      <c r="M119" s="49"/>
    </row>
    <row r="120" spans="1:13" hidden="1" x14ac:dyDescent="0.25">
      <c r="A120" s="5"/>
      <c r="B120" s="123"/>
      <c r="C120" s="123"/>
      <c r="D120" s="124"/>
      <c r="E120" s="75"/>
      <c r="F120" s="75"/>
      <c r="G120" s="76"/>
      <c r="H120" s="12">
        <f t="shared" si="4"/>
        <v>0</v>
      </c>
      <c r="I120" s="10"/>
      <c r="J120" s="10"/>
      <c r="K120" s="5"/>
      <c r="M120" s="49"/>
    </row>
    <row r="121" spans="1:13" hidden="1" x14ac:dyDescent="0.25">
      <c r="A121" s="5"/>
      <c r="B121" s="123"/>
      <c r="C121" s="123"/>
      <c r="D121" s="124"/>
      <c r="E121" s="75"/>
      <c r="F121" s="75"/>
      <c r="G121" s="76"/>
      <c r="H121" s="12">
        <f t="shared" si="4"/>
        <v>0</v>
      </c>
      <c r="I121" s="10"/>
      <c r="J121" s="10"/>
      <c r="K121" s="5"/>
      <c r="M121" s="49"/>
    </row>
    <row r="122" spans="1:13" hidden="1" x14ac:dyDescent="0.25">
      <c r="A122" s="5"/>
      <c r="B122" s="123"/>
      <c r="C122" s="123"/>
      <c r="D122" s="124"/>
      <c r="E122" s="75"/>
      <c r="F122" s="75"/>
      <c r="G122" s="76"/>
      <c r="H122" s="12">
        <f t="shared" si="4"/>
        <v>0</v>
      </c>
      <c r="I122" s="10"/>
      <c r="J122" s="10"/>
      <c r="K122" s="5"/>
      <c r="M122" s="49"/>
    </row>
    <row r="123" spans="1:13" hidden="1" x14ac:dyDescent="0.25">
      <c r="A123" s="5"/>
      <c r="B123" s="123"/>
      <c r="C123" s="123"/>
      <c r="D123" s="124"/>
      <c r="E123" s="75"/>
      <c r="F123" s="75"/>
      <c r="G123" s="76"/>
      <c r="H123" s="12">
        <f t="shared" si="4"/>
        <v>0</v>
      </c>
      <c r="I123" s="10"/>
      <c r="J123" s="10"/>
      <c r="K123" s="5"/>
      <c r="M123" s="49"/>
    </row>
    <row r="124" spans="1:13" hidden="1" x14ac:dyDescent="0.25">
      <c r="A124" s="5"/>
      <c r="B124" s="123"/>
      <c r="C124" s="123"/>
      <c r="D124" s="124"/>
      <c r="E124" s="75"/>
      <c r="F124" s="75"/>
      <c r="G124" s="76"/>
      <c r="H124" s="12">
        <f t="shared" si="4"/>
        <v>0</v>
      </c>
      <c r="I124" s="10"/>
      <c r="J124" s="10"/>
      <c r="K124" s="5"/>
      <c r="M124" s="49"/>
    </row>
    <row r="125" spans="1:13" hidden="1" x14ac:dyDescent="0.25">
      <c r="A125" s="5"/>
      <c r="B125" s="123"/>
      <c r="C125" s="123"/>
      <c r="D125" s="124"/>
      <c r="E125" s="75"/>
      <c r="F125" s="75"/>
      <c r="G125" s="76"/>
      <c r="H125" s="12">
        <f t="shared" si="4"/>
        <v>0</v>
      </c>
      <c r="I125" s="10"/>
      <c r="J125" s="10"/>
      <c r="K125" s="5"/>
      <c r="M125" s="49"/>
    </row>
    <row r="126" spans="1:13" hidden="1" x14ac:dyDescent="0.25">
      <c r="A126" s="5"/>
      <c r="B126" s="123"/>
      <c r="C126" s="123"/>
      <c r="D126" s="124"/>
      <c r="E126" s="75"/>
      <c r="F126" s="75"/>
      <c r="G126" s="76"/>
      <c r="H126" s="12">
        <f t="shared" si="4"/>
        <v>0</v>
      </c>
      <c r="I126" s="10"/>
      <c r="J126" s="10"/>
      <c r="K126" s="5"/>
      <c r="M126" s="49"/>
    </row>
    <row r="127" spans="1:13" x14ac:dyDescent="0.25">
      <c r="A127" s="5"/>
      <c r="B127" s="123"/>
      <c r="C127" s="123"/>
      <c r="D127" s="124"/>
      <c r="E127" s="75"/>
      <c r="F127" s="75"/>
      <c r="G127" s="76"/>
      <c r="H127" s="12">
        <f t="shared" si="4"/>
        <v>0</v>
      </c>
      <c r="I127" s="10"/>
      <c r="J127" s="10"/>
      <c r="K127" s="5"/>
      <c r="M127" s="49"/>
    </row>
    <row r="128" spans="1:13" x14ac:dyDescent="0.25">
      <c r="A128" s="5"/>
      <c r="B128" s="123"/>
      <c r="C128" s="123"/>
      <c r="D128" s="124"/>
      <c r="E128" s="75"/>
      <c r="F128" s="75"/>
      <c r="G128" s="76"/>
      <c r="H128" s="12">
        <f t="shared" si="4"/>
        <v>0</v>
      </c>
      <c r="I128" s="10"/>
      <c r="J128" s="10"/>
      <c r="K128" s="5"/>
      <c r="M128" s="49"/>
    </row>
    <row r="129" spans="1:13" x14ac:dyDescent="0.25">
      <c r="A129" s="5"/>
      <c r="B129" s="123"/>
      <c r="C129" s="123"/>
      <c r="D129" s="124"/>
      <c r="E129" s="75"/>
      <c r="F129" s="75"/>
      <c r="G129" s="76"/>
      <c r="H129" s="12">
        <f t="shared" si="4"/>
        <v>0</v>
      </c>
      <c r="I129" s="10"/>
      <c r="J129" s="10"/>
      <c r="K129" s="5"/>
      <c r="M129" s="49"/>
    </row>
    <row r="130" spans="1:13" hidden="1" x14ac:dyDescent="0.25">
      <c r="A130" s="5"/>
      <c r="B130" s="123"/>
      <c r="C130" s="123"/>
      <c r="D130" s="124"/>
      <c r="E130" s="75"/>
      <c r="F130" s="75"/>
      <c r="G130" s="76"/>
      <c r="H130" s="12">
        <f t="shared" si="4"/>
        <v>0</v>
      </c>
      <c r="I130" s="10"/>
      <c r="J130" s="10"/>
      <c r="K130" s="5"/>
      <c r="M130" s="49"/>
    </row>
    <row r="131" spans="1:13" hidden="1" x14ac:dyDescent="0.25">
      <c r="A131" s="5"/>
      <c r="B131" s="123"/>
      <c r="C131" s="123"/>
      <c r="D131" s="124"/>
      <c r="E131" s="75"/>
      <c r="F131" s="75"/>
      <c r="G131" s="76"/>
      <c r="H131" s="12">
        <f t="shared" si="4"/>
        <v>0</v>
      </c>
      <c r="I131" s="10"/>
      <c r="J131" s="10"/>
      <c r="K131" s="5"/>
      <c r="M131" s="49"/>
    </row>
    <row r="132" spans="1:13" hidden="1" x14ac:dyDescent="0.25">
      <c r="A132" s="5"/>
      <c r="B132" s="123"/>
      <c r="C132" s="123"/>
      <c r="D132" s="124"/>
      <c r="E132" s="75"/>
      <c r="F132" s="75"/>
      <c r="G132" s="76"/>
      <c r="H132" s="12">
        <f t="shared" si="4"/>
        <v>0</v>
      </c>
      <c r="I132" s="10"/>
      <c r="J132" s="10"/>
      <c r="K132" s="5"/>
      <c r="M132" s="49"/>
    </row>
    <row r="133" spans="1:13" hidden="1" x14ac:dyDescent="0.25">
      <c r="A133" s="5"/>
      <c r="B133" s="123"/>
      <c r="C133" s="123"/>
      <c r="D133" s="124"/>
      <c r="E133" s="75"/>
      <c r="F133" s="75"/>
      <c r="G133" s="76"/>
      <c r="H133" s="12">
        <f t="shared" si="4"/>
        <v>0</v>
      </c>
      <c r="I133" s="10"/>
      <c r="J133" s="10"/>
      <c r="K133" s="5"/>
      <c r="M133" s="49"/>
    </row>
    <row r="134" spans="1:13" hidden="1" x14ac:dyDescent="0.25">
      <c r="A134" s="5"/>
      <c r="B134" s="123"/>
      <c r="C134" s="123"/>
      <c r="D134" s="124"/>
      <c r="E134" s="75"/>
      <c r="F134" s="75"/>
      <c r="G134" s="76"/>
      <c r="H134" s="12">
        <f t="shared" si="4"/>
        <v>0</v>
      </c>
      <c r="I134" s="10"/>
      <c r="J134" s="10"/>
      <c r="K134" s="5"/>
      <c r="M134" s="49"/>
    </row>
    <row r="135" spans="1:13" hidden="1" x14ac:dyDescent="0.25">
      <c r="A135" s="5"/>
      <c r="B135" s="123"/>
      <c r="C135" s="123"/>
      <c r="D135" s="124"/>
      <c r="E135" s="75"/>
      <c r="F135" s="75"/>
      <c r="G135" s="76"/>
      <c r="H135" s="12">
        <f t="shared" si="4"/>
        <v>0</v>
      </c>
      <c r="I135" s="10"/>
      <c r="J135" s="10"/>
      <c r="K135" s="5"/>
      <c r="M135" s="49"/>
    </row>
    <row r="136" spans="1:13" hidden="1" x14ac:dyDescent="0.25">
      <c r="A136" s="5"/>
      <c r="B136" s="123"/>
      <c r="C136" s="123"/>
      <c r="D136" s="124"/>
      <c r="E136" s="75"/>
      <c r="F136" s="75"/>
      <c r="G136" s="76"/>
      <c r="H136" s="12">
        <f t="shared" si="4"/>
        <v>0</v>
      </c>
      <c r="I136" s="10"/>
      <c r="J136" s="10"/>
      <c r="K136" s="5"/>
      <c r="M136" s="49"/>
    </row>
    <row r="137" spans="1:13" hidden="1" x14ac:dyDescent="0.25">
      <c r="A137" s="5"/>
      <c r="B137" s="123"/>
      <c r="C137" s="123"/>
      <c r="D137" s="124"/>
      <c r="E137" s="75"/>
      <c r="F137" s="75"/>
      <c r="G137" s="76"/>
      <c r="H137" s="12">
        <f t="shared" si="4"/>
        <v>0</v>
      </c>
      <c r="I137" s="10"/>
      <c r="J137" s="10"/>
      <c r="K137" s="5"/>
      <c r="M137" s="49"/>
    </row>
    <row r="138" spans="1:13" hidden="1" x14ac:dyDescent="0.25">
      <c r="A138" s="5"/>
      <c r="B138" s="123"/>
      <c r="C138" s="123"/>
      <c r="D138" s="124"/>
      <c r="E138" s="75"/>
      <c r="F138" s="75"/>
      <c r="G138" s="76"/>
      <c r="H138" s="12">
        <f t="shared" si="4"/>
        <v>0</v>
      </c>
      <c r="I138" s="10"/>
      <c r="J138" s="10"/>
      <c r="K138" s="5"/>
      <c r="M138" s="49"/>
    </row>
    <row r="139" spans="1:13" hidden="1" x14ac:dyDescent="0.25">
      <c r="A139" s="5"/>
      <c r="B139" s="123"/>
      <c r="C139" s="123"/>
      <c r="D139" s="124"/>
      <c r="E139" s="75"/>
      <c r="F139" s="75"/>
      <c r="G139" s="76"/>
      <c r="H139" s="12">
        <f t="shared" si="4"/>
        <v>0</v>
      </c>
      <c r="I139" s="10"/>
      <c r="J139" s="10"/>
      <c r="K139" s="5"/>
      <c r="M139" s="49"/>
    </row>
    <row r="140" spans="1:13" hidden="1" x14ac:dyDescent="0.25">
      <c r="A140" s="5"/>
      <c r="B140" s="123"/>
      <c r="C140" s="123"/>
      <c r="D140" s="124"/>
      <c r="E140" s="75"/>
      <c r="F140" s="75"/>
      <c r="G140" s="76"/>
      <c r="H140" s="12">
        <f t="shared" si="4"/>
        <v>0</v>
      </c>
      <c r="I140" s="10"/>
      <c r="J140" s="10"/>
      <c r="K140" s="5"/>
      <c r="M140" s="49"/>
    </row>
    <row r="141" spans="1:13" hidden="1" x14ac:dyDescent="0.25">
      <c r="A141" s="5"/>
      <c r="B141" s="123"/>
      <c r="C141" s="123"/>
      <c r="D141" s="124"/>
      <c r="E141" s="75"/>
      <c r="F141" s="75"/>
      <c r="G141" s="76"/>
      <c r="H141" s="12">
        <f t="shared" si="4"/>
        <v>0</v>
      </c>
      <c r="I141" s="10"/>
      <c r="J141" s="10"/>
      <c r="K141" s="5"/>
      <c r="M141" s="49"/>
    </row>
    <row r="142" spans="1:13" hidden="1" x14ac:dyDescent="0.25">
      <c r="A142" s="5"/>
      <c r="B142" s="123"/>
      <c r="C142" s="123"/>
      <c r="D142" s="124"/>
      <c r="E142" s="75"/>
      <c r="F142" s="75"/>
      <c r="G142" s="76"/>
      <c r="H142" s="12">
        <f t="shared" si="4"/>
        <v>0</v>
      </c>
      <c r="I142" s="10"/>
      <c r="J142" s="10"/>
      <c r="K142" s="5"/>
      <c r="M142" s="49"/>
    </row>
    <row r="143" spans="1:13" hidden="1" x14ac:dyDescent="0.25">
      <c r="A143" s="5"/>
      <c r="B143" s="123"/>
      <c r="C143" s="123"/>
      <c r="D143" s="124"/>
      <c r="E143" s="75"/>
      <c r="F143" s="75"/>
      <c r="G143" s="76"/>
      <c r="H143" s="12">
        <f t="shared" si="4"/>
        <v>0</v>
      </c>
      <c r="I143" s="10"/>
      <c r="J143" s="10"/>
      <c r="K143" s="5"/>
      <c r="M143" s="49"/>
    </row>
    <row r="144" spans="1:13" hidden="1" x14ac:dyDescent="0.25">
      <c r="A144" s="5"/>
      <c r="B144" s="123"/>
      <c r="C144" s="123"/>
      <c r="D144" s="124"/>
      <c r="E144" s="75"/>
      <c r="F144" s="75"/>
      <c r="G144" s="76"/>
      <c r="H144" s="12">
        <f t="shared" si="4"/>
        <v>0</v>
      </c>
      <c r="I144" s="10"/>
      <c r="J144" s="10"/>
      <c r="K144" s="5"/>
      <c r="M144" s="49"/>
    </row>
    <row r="145" spans="1:13" hidden="1" x14ac:dyDescent="0.25">
      <c r="A145" s="5"/>
      <c r="B145" s="123"/>
      <c r="C145" s="123"/>
      <c r="D145" s="124"/>
      <c r="E145" s="75"/>
      <c r="F145" s="75"/>
      <c r="G145" s="76"/>
      <c r="H145" s="12">
        <f t="shared" si="4"/>
        <v>0</v>
      </c>
      <c r="I145" s="10"/>
      <c r="J145" s="10"/>
      <c r="K145" s="5"/>
      <c r="M145" s="49"/>
    </row>
    <row r="146" spans="1:13" hidden="1" x14ac:dyDescent="0.25">
      <c r="A146" s="5"/>
      <c r="B146" s="123"/>
      <c r="C146" s="123"/>
      <c r="D146" s="124"/>
      <c r="E146" s="75"/>
      <c r="F146" s="75"/>
      <c r="G146" s="76"/>
      <c r="H146" s="12">
        <f>+H145+E146-F146</f>
        <v>0</v>
      </c>
      <c r="I146" s="10"/>
      <c r="J146" s="10"/>
      <c r="K146" s="5"/>
      <c r="M146" s="49"/>
    </row>
    <row r="147" spans="1:13" x14ac:dyDescent="0.25">
      <c r="A147" s="5"/>
      <c r="B147" s="123"/>
      <c r="C147" s="123"/>
      <c r="D147" s="124"/>
      <c r="E147" s="75"/>
      <c r="F147" s="75"/>
      <c r="G147" s="76"/>
      <c r="H147" s="12">
        <f t="shared" ref="H147:H153" si="5">+H146+E147-F147</f>
        <v>0</v>
      </c>
      <c r="I147" s="10"/>
      <c r="J147" s="10"/>
      <c r="K147" s="5"/>
      <c r="M147" s="49"/>
    </row>
    <row r="148" spans="1:13" x14ac:dyDescent="0.25">
      <c r="A148" s="5"/>
      <c r="B148" s="123"/>
      <c r="C148" s="123"/>
      <c r="D148" s="124"/>
      <c r="E148" s="75"/>
      <c r="F148" s="75"/>
      <c r="G148" s="76"/>
      <c r="H148" s="12">
        <f t="shared" si="5"/>
        <v>0</v>
      </c>
      <c r="I148" s="10"/>
      <c r="J148" s="10"/>
      <c r="K148" s="5"/>
      <c r="M148" s="49"/>
    </row>
    <row r="149" spans="1:13" hidden="1" x14ac:dyDescent="0.25">
      <c r="A149" s="5"/>
      <c r="B149" s="123"/>
      <c r="C149" s="123"/>
      <c r="D149" s="124"/>
      <c r="E149" s="75"/>
      <c r="F149" s="75"/>
      <c r="G149" s="76"/>
      <c r="H149" s="12">
        <f t="shared" si="5"/>
        <v>0</v>
      </c>
      <c r="I149" s="10"/>
      <c r="J149" s="10"/>
      <c r="K149" s="5"/>
      <c r="M149" s="49"/>
    </row>
    <row r="150" spans="1:13" hidden="1" x14ac:dyDescent="0.25">
      <c r="A150" s="5"/>
      <c r="B150" s="123"/>
      <c r="C150" s="123"/>
      <c r="D150" s="124"/>
      <c r="E150" s="75"/>
      <c r="F150" s="75"/>
      <c r="G150" s="76"/>
      <c r="H150" s="12">
        <f t="shared" si="5"/>
        <v>0</v>
      </c>
      <c r="I150" s="10"/>
      <c r="J150" s="10"/>
      <c r="K150" s="5"/>
      <c r="M150" s="49"/>
    </row>
    <row r="151" spans="1:13" hidden="1" x14ac:dyDescent="0.25">
      <c r="A151" s="5"/>
      <c r="B151" s="123"/>
      <c r="C151" s="123"/>
      <c r="D151" s="124"/>
      <c r="E151" s="75"/>
      <c r="F151" s="75"/>
      <c r="G151" s="76"/>
      <c r="H151" s="12">
        <f t="shared" si="5"/>
        <v>0</v>
      </c>
      <c r="I151" s="10"/>
      <c r="J151" s="10"/>
      <c r="K151" s="5"/>
      <c r="M151" s="49"/>
    </row>
    <row r="152" spans="1:13" hidden="1" x14ac:dyDescent="0.25">
      <c r="A152" s="5"/>
      <c r="B152" s="123"/>
      <c r="C152" s="123"/>
      <c r="D152" s="124"/>
      <c r="E152" s="75"/>
      <c r="F152" s="75"/>
      <c r="G152" s="76"/>
      <c r="H152" s="12">
        <f t="shared" si="5"/>
        <v>0</v>
      </c>
      <c r="I152" s="10"/>
      <c r="J152" s="10"/>
      <c r="K152" s="5"/>
      <c r="M152" s="49"/>
    </row>
    <row r="153" spans="1:13" hidden="1" x14ac:dyDescent="0.25">
      <c r="A153" s="5"/>
      <c r="B153" s="123"/>
      <c r="C153" s="123"/>
      <c r="D153" s="124"/>
      <c r="E153" s="75"/>
      <c r="F153" s="75"/>
      <c r="G153" s="76"/>
      <c r="H153" s="12">
        <f t="shared" si="5"/>
        <v>0</v>
      </c>
      <c r="I153" s="10"/>
      <c r="J153" s="10"/>
      <c r="K153" s="5"/>
      <c r="M153" s="49"/>
    </row>
    <row r="154" spans="1:13" hidden="1" x14ac:dyDescent="0.25">
      <c r="A154" s="5"/>
      <c r="B154" s="123"/>
      <c r="C154" s="123"/>
      <c r="D154" s="124"/>
      <c r="E154" s="75"/>
      <c r="F154" s="75"/>
      <c r="G154" s="76"/>
      <c r="H154" s="12">
        <f>+H153+E154-F154</f>
        <v>0</v>
      </c>
      <c r="I154" s="10"/>
      <c r="J154" s="10"/>
      <c r="K154" s="5"/>
      <c r="M154" s="49"/>
    </row>
    <row r="155" spans="1:13" hidden="1" x14ac:dyDescent="0.25">
      <c r="A155" s="5"/>
      <c r="B155" s="123"/>
      <c r="C155" s="123"/>
      <c r="D155" s="124"/>
      <c r="E155" s="75"/>
      <c r="F155" s="75"/>
      <c r="G155" s="76"/>
      <c r="H155" s="12">
        <f t="shared" ref="H155:H163" si="6">+H154+E155-F155</f>
        <v>0</v>
      </c>
      <c r="I155" s="10"/>
      <c r="J155" s="10"/>
      <c r="K155" s="5"/>
      <c r="M155" s="49"/>
    </row>
    <row r="156" spans="1:13" hidden="1" x14ac:dyDescent="0.25">
      <c r="A156" s="5"/>
      <c r="B156" s="123"/>
      <c r="C156" s="123"/>
      <c r="D156" s="124"/>
      <c r="E156" s="75"/>
      <c r="F156" s="75"/>
      <c r="G156" s="76"/>
      <c r="H156" s="12">
        <f t="shared" si="6"/>
        <v>0</v>
      </c>
      <c r="I156" s="10"/>
      <c r="J156" s="10"/>
      <c r="K156" s="5"/>
      <c r="M156" s="49"/>
    </row>
    <row r="157" spans="1:13" hidden="1" x14ac:dyDescent="0.25">
      <c r="A157" s="5"/>
      <c r="B157" s="123"/>
      <c r="C157" s="123"/>
      <c r="D157" s="124"/>
      <c r="E157" s="75"/>
      <c r="F157" s="75"/>
      <c r="G157" s="76"/>
      <c r="H157" s="12">
        <f t="shared" si="6"/>
        <v>0</v>
      </c>
      <c r="I157" s="10"/>
      <c r="J157" s="10"/>
      <c r="K157" s="5"/>
      <c r="M157" s="49"/>
    </row>
    <row r="158" spans="1:13" hidden="1" x14ac:dyDescent="0.25">
      <c r="A158" s="5"/>
      <c r="B158" s="123"/>
      <c r="C158" s="123"/>
      <c r="D158" s="124"/>
      <c r="E158" s="75"/>
      <c r="F158" s="75"/>
      <c r="G158" s="76"/>
      <c r="H158" s="12">
        <f t="shared" si="6"/>
        <v>0</v>
      </c>
      <c r="I158" s="10"/>
      <c r="J158" s="10"/>
      <c r="K158" s="5"/>
      <c r="M158" s="49"/>
    </row>
    <row r="159" spans="1:13" hidden="1" x14ac:dyDescent="0.25">
      <c r="A159" s="5"/>
      <c r="B159" s="123"/>
      <c r="C159" s="123"/>
      <c r="D159" s="124"/>
      <c r="E159" s="75"/>
      <c r="F159" s="75"/>
      <c r="G159" s="76"/>
      <c r="H159" s="12">
        <f t="shared" si="6"/>
        <v>0</v>
      </c>
      <c r="I159" s="10"/>
      <c r="J159" s="10"/>
      <c r="K159" s="5"/>
      <c r="M159" s="49"/>
    </row>
    <row r="160" spans="1:13" hidden="1" x14ac:dyDescent="0.25">
      <c r="A160" s="5"/>
      <c r="B160" s="123"/>
      <c r="C160" s="123"/>
      <c r="D160" s="124"/>
      <c r="E160" s="75"/>
      <c r="F160" s="75"/>
      <c r="G160" s="76"/>
      <c r="H160" s="12">
        <f t="shared" si="6"/>
        <v>0</v>
      </c>
      <c r="I160" s="10"/>
      <c r="J160" s="10"/>
      <c r="K160" s="5"/>
      <c r="M160" s="49"/>
    </row>
    <row r="161" spans="1:13" hidden="1" x14ac:dyDescent="0.25">
      <c r="A161" s="5"/>
      <c r="B161" s="123"/>
      <c r="C161" s="123"/>
      <c r="D161" s="124"/>
      <c r="E161" s="75"/>
      <c r="F161" s="75"/>
      <c r="G161" s="76"/>
      <c r="H161" s="12">
        <f t="shared" si="6"/>
        <v>0</v>
      </c>
      <c r="I161" s="10"/>
      <c r="J161" s="10"/>
      <c r="K161" s="5"/>
      <c r="M161" s="49"/>
    </row>
    <row r="162" spans="1:13" hidden="1" x14ac:dyDescent="0.25">
      <c r="A162" s="5"/>
      <c r="B162" s="123"/>
      <c r="C162" s="123"/>
      <c r="D162" s="124"/>
      <c r="E162" s="75"/>
      <c r="F162" s="75"/>
      <c r="G162" s="76"/>
      <c r="H162" s="12">
        <f t="shared" si="6"/>
        <v>0</v>
      </c>
      <c r="I162" s="10"/>
      <c r="J162" s="10"/>
      <c r="K162" s="5"/>
      <c r="L162" s="49"/>
      <c r="M162" s="49"/>
    </row>
    <row r="163" spans="1:13" hidden="1" x14ac:dyDescent="0.25">
      <c r="A163" s="5"/>
      <c r="B163" s="123"/>
      <c r="C163" s="123"/>
      <c r="D163" s="124"/>
      <c r="E163" s="75"/>
      <c r="F163" s="75"/>
      <c r="G163" s="76"/>
      <c r="H163" s="12">
        <f t="shared" si="6"/>
        <v>0</v>
      </c>
      <c r="I163" s="10"/>
      <c r="J163" s="10"/>
      <c r="K163" s="5"/>
      <c r="L163" s="49"/>
      <c r="M163" s="49"/>
    </row>
    <row r="164" spans="1:13" hidden="1" x14ac:dyDescent="0.25">
      <c r="A164" s="5"/>
      <c r="B164" s="14"/>
      <c r="C164" s="14"/>
      <c r="D164" s="22"/>
      <c r="E164" s="12"/>
      <c r="F164" s="12"/>
      <c r="G164" s="11"/>
      <c r="H164" s="12">
        <f>+H163+E164-F164</f>
        <v>0</v>
      </c>
      <c r="I164" s="10"/>
      <c r="J164" s="10"/>
      <c r="K164" s="5"/>
      <c r="M164" s="49"/>
    </row>
    <row r="165" spans="1:13" x14ac:dyDescent="0.25">
      <c r="A165" s="5"/>
      <c r="B165" s="14"/>
      <c r="C165" s="14"/>
      <c r="D165" s="22"/>
      <c r="E165" s="12"/>
      <c r="F165" s="12"/>
      <c r="G165" s="11"/>
      <c r="H165" s="27">
        <f>+H164+E165-F165</f>
        <v>0</v>
      </c>
      <c r="I165" s="10"/>
      <c r="J165" s="10"/>
      <c r="K165" s="5"/>
    </row>
    <row r="166" spans="1:13" x14ac:dyDescent="0.25">
      <c r="A166" s="5"/>
      <c r="B166" s="280" t="s">
        <v>213</v>
      </c>
      <c r="C166" s="280"/>
      <c r="D166" s="280"/>
      <c r="E166" s="148">
        <f>+H11+E20+E28+E31+E43+E55+E66+E88+E97</f>
        <v>1827705.12</v>
      </c>
      <c r="F166" s="148">
        <f>+F20+F28+F31+F43+F55+F66+F88+F97</f>
        <v>1827705.12</v>
      </c>
      <c r="G166" s="5"/>
      <c r="H166" s="5"/>
      <c r="I166" s="5"/>
      <c r="J166" s="5"/>
      <c r="K166" s="5"/>
    </row>
    <row r="167" spans="1:13" x14ac:dyDescent="0.25">
      <c r="A167" s="5"/>
      <c r="B167" s="276" t="s">
        <v>67</v>
      </c>
      <c r="C167" s="276"/>
      <c r="D167" s="276"/>
      <c r="E167" s="276"/>
      <c r="F167" s="51">
        <f>+E166-F166</f>
        <v>0</v>
      </c>
      <c r="G167" s="5"/>
      <c r="H167" s="16"/>
      <c r="I167" s="5"/>
      <c r="J167" s="5"/>
      <c r="K167" s="5"/>
    </row>
    <row r="170" spans="1:13" x14ac:dyDescent="0.25">
      <c r="E170" s="49">
        <f>+E166-H11</f>
        <v>1726355.5</v>
      </c>
    </row>
  </sheetData>
  <mergeCells count="13">
    <mergeCell ref="B167:E167"/>
    <mergeCell ref="B2:J2"/>
    <mergeCell ref="B3:J3"/>
    <mergeCell ref="B166:D166"/>
    <mergeCell ref="B11:E11"/>
    <mergeCell ref="B20:D20"/>
    <mergeCell ref="B28:D28"/>
    <mergeCell ref="B31:D31"/>
    <mergeCell ref="B43:D43"/>
    <mergeCell ref="B55:D55"/>
    <mergeCell ref="B66:D66"/>
    <mergeCell ref="B88:D88"/>
    <mergeCell ref="B97:D97"/>
  </mergeCells>
  <phoneticPr fontId="35" type="noConversion"/>
  <printOptions horizontalCentered="1"/>
  <pageMargins left="0.11811023622047245" right="0.11811023622047245" top="0.35433070866141736" bottom="0.74803149606299213" header="0.31496062992125984" footer="0.31496062992125984"/>
  <pageSetup paperSize="9" scale="75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41"/>
  <dimension ref="A1:M135"/>
  <sheetViews>
    <sheetView topLeftCell="A3" workbookViewId="0">
      <selection activeCell="K19" sqref="K19"/>
    </sheetView>
  </sheetViews>
  <sheetFormatPr baseColWidth="10" defaultColWidth="11.42578125" defaultRowHeight="15.75" x14ac:dyDescent="0.25"/>
  <cols>
    <col min="1" max="1" width="5" style="1" customWidth="1"/>
    <col min="2" max="2" width="13.28515625" style="1" customWidth="1"/>
    <col min="3" max="3" width="13.7109375" style="1" customWidth="1"/>
    <col min="4" max="4" width="14.7109375" style="1" customWidth="1"/>
    <col min="5" max="6" width="14.5703125" style="1" customWidth="1"/>
    <col min="7" max="7" width="14.85546875" style="1" customWidth="1"/>
    <col min="8" max="8" width="14.28515625" style="1" customWidth="1"/>
    <col min="9" max="9" width="13.85546875" style="1" customWidth="1"/>
    <col min="10" max="10" width="18" style="1" customWidth="1"/>
    <col min="11" max="11" width="5" style="1" customWidth="1"/>
    <col min="12" max="12" width="12.5703125" style="1" customWidth="1"/>
    <col min="13" max="13" width="12.42578125" style="1" customWidth="1"/>
    <col min="14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1</v>
      </c>
      <c r="D5" s="5" t="s">
        <v>33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68320858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16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126"/>
      <c r="C8" s="127" t="s">
        <v>108</v>
      </c>
      <c r="D8" s="16">
        <v>0</v>
      </c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281" t="s">
        <v>171</v>
      </c>
      <c r="C11" s="282"/>
      <c r="D11" s="282"/>
      <c r="E11" s="283"/>
      <c r="F11" s="75"/>
      <c r="G11" s="76"/>
      <c r="H11" s="75">
        <v>-16.699999999982538</v>
      </c>
      <c r="I11" s="64"/>
      <c r="J11" s="154"/>
      <c r="K11" s="5"/>
    </row>
    <row r="12" spans="1:11" x14ac:dyDescent="0.25">
      <c r="A12" s="5"/>
      <c r="B12" s="123"/>
      <c r="C12" s="123"/>
      <c r="D12" s="124"/>
      <c r="E12" s="75"/>
      <c r="F12" s="75"/>
      <c r="G12" s="76"/>
      <c r="H12" s="75">
        <f>+H11+E12-F12</f>
        <v>-16.699999999982538</v>
      </c>
      <c r="I12" s="64"/>
      <c r="J12" s="155"/>
      <c r="K12" s="5"/>
    </row>
    <row r="13" spans="1:11" x14ac:dyDescent="0.25">
      <c r="A13" s="5"/>
      <c r="B13" s="123"/>
      <c r="C13" s="123"/>
      <c r="D13" s="124"/>
      <c r="E13" s="75"/>
      <c r="F13" s="75"/>
      <c r="G13" s="76"/>
      <c r="H13" s="75">
        <f t="shared" ref="H13:H66" si="0">+H12+E13-F13</f>
        <v>-16.699999999982538</v>
      </c>
      <c r="I13" s="64"/>
      <c r="J13" s="155"/>
      <c r="K13" s="5"/>
    </row>
    <row r="14" spans="1:11" x14ac:dyDescent="0.25">
      <c r="A14" s="5"/>
      <c r="B14" s="123"/>
      <c r="C14" s="123"/>
      <c r="D14" s="124"/>
      <c r="E14" s="75"/>
      <c r="F14" s="75"/>
      <c r="G14" s="76"/>
      <c r="H14" s="75">
        <f t="shared" si="0"/>
        <v>-16.699999999982538</v>
      </c>
      <c r="I14" s="64"/>
      <c r="J14" s="64"/>
      <c r="K14" s="5"/>
    </row>
    <row r="15" spans="1:11" x14ac:dyDescent="0.25">
      <c r="A15" s="5"/>
      <c r="B15" s="123"/>
      <c r="C15" s="123"/>
      <c r="D15" s="124"/>
      <c r="E15" s="75"/>
      <c r="F15" s="75"/>
      <c r="G15" s="76"/>
      <c r="H15" s="75">
        <f t="shared" si="0"/>
        <v>-16.699999999982538</v>
      </c>
      <c r="I15" s="64"/>
      <c r="J15" s="64"/>
      <c r="K15" s="5"/>
    </row>
    <row r="16" spans="1:11" x14ac:dyDescent="0.25">
      <c r="A16" s="5"/>
      <c r="B16" s="123"/>
      <c r="C16" s="123"/>
      <c r="D16" s="124"/>
      <c r="E16" s="75"/>
      <c r="F16" s="75"/>
      <c r="G16" s="76"/>
      <c r="H16" s="75">
        <f t="shared" si="0"/>
        <v>-16.699999999982538</v>
      </c>
      <c r="I16" s="64"/>
      <c r="J16" s="64"/>
      <c r="K16" s="5"/>
    </row>
    <row r="17" spans="1:11" x14ac:dyDescent="0.25">
      <c r="A17" s="5"/>
      <c r="B17" s="123"/>
      <c r="C17" s="123"/>
      <c r="D17" s="124"/>
      <c r="E17" s="75"/>
      <c r="F17" s="75"/>
      <c r="G17" s="76"/>
      <c r="H17" s="75">
        <f t="shared" si="0"/>
        <v>-16.699999999982538</v>
      </c>
      <c r="I17" s="64"/>
      <c r="J17" s="64"/>
      <c r="K17" s="5"/>
    </row>
    <row r="18" spans="1:11" x14ac:dyDescent="0.25">
      <c r="A18" s="5"/>
      <c r="B18" s="123"/>
      <c r="C18" s="123"/>
      <c r="D18" s="124"/>
      <c r="E18" s="75"/>
      <c r="F18" s="75"/>
      <c r="G18" s="76"/>
      <c r="H18" s="75">
        <f t="shared" si="0"/>
        <v>-16.699999999982538</v>
      </c>
      <c r="I18" s="64"/>
      <c r="J18" s="64"/>
      <c r="K18" s="5"/>
    </row>
    <row r="19" spans="1:11" x14ac:dyDescent="0.25">
      <c r="A19" s="5"/>
      <c r="B19" s="123"/>
      <c r="C19" s="123"/>
      <c r="D19" s="124"/>
      <c r="E19" s="75"/>
      <c r="F19" s="75"/>
      <c r="G19" s="76"/>
      <c r="H19" s="75">
        <f t="shared" si="0"/>
        <v>-16.699999999982538</v>
      </c>
      <c r="I19" s="64"/>
      <c r="J19" s="64"/>
      <c r="K19" s="5"/>
    </row>
    <row r="20" spans="1:11" x14ac:dyDescent="0.25">
      <c r="A20" s="5"/>
      <c r="B20" s="123"/>
      <c r="C20" s="123"/>
      <c r="D20" s="124"/>
      <c r="E20" s="75"/>
      <c r="F20" s="75"/>
      <c r="G20" s="76"/>
      <c r="H20" s="75">
        <f t="shared" si="0"/>
        <v>-16.699999999982538</v>
      </c>
      <c r="I20" s="64"/>
      <c r="J20" s="64"/>
      <c r="K20" s="5"/>
    </row>
    <row r="21" spans="1:11" x14ac:dyDescent="0.25">
      <c r="A21" s="5"/>
      <c r="B21" s="123"/>
      <c r="C21" s="123"/>
      <c r="D21" s="124"/>
      <c r="E21" s="75"/>
      <c r="F21" s="75"/>
      <c r="G21" s="76"/>
      <c r="H21" s="75">
        <f t="shared" si="0"/>
        <v>-16.699999999982538</v>
      </c>
      <c r="I21" s="64"/>
      <c r="J21" s="64"/>
      <c r="K21" s="5"/>
    </row>
    <row r="22" spans="1:11" x14ac:dyDescent="0.25">
      <c r="A22" s="5"/>
      <c r="B22" s="123"/>
      <c r="C22" s="123"/>
      <c r="D22" s="124"/>
      <c r="E22" s="75"/>
      <c r="F22" s="75"/>
      <c r="G22" s="76"/>
      <c r="H22" s="75">
        <f t="shared" si="0"/>
        <v>-16.699999999982538</v>
      </c>
      <c r="I22" s="64"/>
      <c r="J22" s="64"/>
      <c r="K22" s="5"/>
    </row>
    <row r="23" spans="1:11" x14ac:dyDescent="0.25">
      <c r="A23" s="5"/>
      <c r="B23" s="123"/>
      <c r="C23" s="123"/>
      <c r="D23" s="124"/>
      <c r="E23" s="75"/>
      <c r="F23" s="75"/>
      <c r="G23" s="76"/>
      <c r="H23" s="75">
        <f t="shared" si="0"/>
        <v>-16.699999999982538</v>
      </c>
      <c r="I23" s="64"/>
      <c r="J23" s="64"/>
      <c r="K23" s="5"/>
    </row>
    <row r="24" spans="1:11" x14ac:dyDescent="0.25">
      <c r="A24" s="5"/>
      <c r="B24" s="123"/>
      <c r="C24" s="123"/>
      <c r="D24" s="124"/>
      <c r="E24" s="75"/>
      <c r="F24" s="75"/>
      <c r="G24" s="76"/>
      <c r="H24" s="75">
        <f t="shared" si="0"/>
        <v>-16.699999999982538</v>
      </c>
      <c r="I24" s="64"/>
      <c r="J24" s="64"/>
      <c r="K24" s="5"/>
    </row>
    <row r="25" spans="1:11" x14ac:dyDescent="0.25">
      <c r="A25" s="5"/>
      <c r="B25" s="123"/>
      <c r="C25" s="123"/>
      <c r="D25" s="124"/>
      <c r="E25" s="75"/>
      <c r="F25" s="75"/>
      <c r="G25" s="76"/>
      <c r="H25" s="75">
        <f t="shared" si="0"/>
        <v>-16.699999999982538</v>
      </c>
      <c r="I25" s="64"/>
      <c r="J25" s="64"/>
      <c r="K25" s="5"/>
    </row>
    <row r="26" spans="1:11" x14ac:dyDescent="0.25">
      <c r="A26" s="5"/>
      <c r="B26" s="123"/>
      <c r="C26" s="123"/>
      <c r="D26" s="124"/>
      <c r="E26" s="75"/>
      <c r="F26" s="75"/>
      <c r="G26" s="76"/>
      <c r="H26" s="75">
        <f t="shared" si="0"/>
        <v>-16.699999999982538</v>
      </c>
      <c r="I26" s="64"/>
      <c r="J26" s="64"/>
      <c r="K26" s="5"/>
    </row>
    <row r="27" spans="1:11" x14ac:dyDescent="0.25">
      <c r="A27" s="5"/>
      <c r="B27" s="123"/>
      <c r="C27" s="123"/>
      <c r="D27" s="124"/>
      <c r="E27" s="75"/>
      <c r="F27" s="75"/>
      <c r="G27" s="76"/>
      <c r="H27" s="75">
        <f t="shared" si="0"/>
        <v>-16.699999999982538</v>
      </c>
      <c r="I27" s="64"/>
      <c r="J27" s="64"/>
      <c r="K27" s="5"/>
    </row>
    <row r="28" spans="1:11" x14ac:dyDescent="0.25">
      <c r="A28" s="5"/>
      <c r="B28" s="123"/>
      <c r="C28" s="123"/>
      <c r="D28" s="124"/>
      <c r="E28" s="75"/>
      <c r="F28" s="75"/>
      <c r="G28" s="76"/>
      <c r="H28" s="75">
        <f t="shared" si="0"/>
        <v>-16.699999999982538</v>
      </c>
      <c r="I28" s="64"/>
      <c r="J28" s="64"/>
      <c r="K28" s="5"/>
    </row>
    <row r="29" spans="1:11" x14ac:dyDescent="0.25">
      <c r="A29" s="5"/>
      <c r="B29" s="123"/>
      <c r="C29" s="123"/>
      <c r="D29" s="124"/>
      <c r="E29" s="75"/>
      <c r="F29" s="75"/>
      <c r="G29" s="76"/>
      <c r="H29" s="75">
        <f t="shared" si="0"/>
        <v>-16.699999999982538</v>
      </c>
      <c r="I29" s="64"/>
      <c r="J29" s="64"/>
      <c r="K29" s="5"/>
    </row>
    <row r="30" spans="1:11" x14ac:dyDescent="0.25">
      <c r="A30" s="5"/>
      <c r="B30" s="123"/>
      <c r="C30" s="123"/>
      <c r="D30" s="124"/>
      <c r="E30" s="75"/>
      <c r="F30" s="75"/>
      <c r="G30" s="76"/>
      <c r="H30" s="75">
        <f t="shared" si="0"/>
        <v>-16.699999999982538</v>
      </c>
      <c r="I30" s="64"/>
      <c r="J30" s="64"/>
      <c r="K30" s="5"/>
    </row>
    <row r="31" spans="1:11" x14ac:dyDescent="0.25">
      <c r="A31" s="5"/>
      <c r="B31" s="123"/>
      <c r="C31" s="123"/>
      <c r="D31" s="124"/>
      <c r="E31" s="75"/>
      <c r="F31" s="75"/>
      <c r="G31" s="76"/>
      <c r="H31" s="75">
        <f t="shared" si="0"/>
        <v>-16.699999999982538</v>
      </c>
      <c r="I31" s="64"/>
      <c r="J31" s="64"/>
      <c r="K31" s="5"/>
    </row>
    <row r="32" spans="1:11" x14ac:dyDescent="0.25">
      <c r="A32" s="5"/>
      <c r="B32" s="123"/>
      <c r="C32" s="123"/>
      <c r="D32" s="124"/>
      <c r="E32" s="75"/>
      <c r="F32" s="75"/>
      <c r="G32" s="76"/>
      <c r="H32" s="75">
        <f t="shared" si="0"/>
        <v>-16.699999999982538</v>
      </c>
      <c r="I32" s="64"/>
      <c r="J32" s="64"/>
      <c r="K32" s="5"/>
    </row>
    <row r="33" spans="1:11" x14ac:dyDescent="0.25">
      <c r="A33" s="5"/>
      <c r="B33" s="123"/>
      <c r="C33" s="123"/>
      <c r="D33" s="124"/>
      <c r="E33" s="75"/>
      <c r="F33" s="75"/>
      <c r="G33" s="76"/>
      <c r="H33" s="75">
        <f t="shared" si="0"/>
        <v>-16.699999999982538</v>
      </c>
      <c r="I33" s="64"/>
      <c r="J33" s="64"/>
      <c r="K33" s="5"/>
    </row>
    <row r="34" spans="1:11" x14ac:dyDescent="0.25">
      <c r="A34" s="5"/>
      <c r="B34" s="123"/>
      <c r="C34" s="123"/>
      <c r="D34" s="124"/>
      <c r="E34" s="75"/>
      <c r="F34" s="75"/>
      <c r="G34" s="76"/>
      <c r="H34" s="75">
        <f t="shared" si="0"/>
        <v>-16.699999999982538</v>
      </c>
      <c r="I34" s="64"/>
      <c r="J34" s="64"/>
      <c r="K34" s="5"/>
    </row>
    <row r="35" spans="1:11" x14ac:dyDescent="0.25">
      <c r="A35" s="5"/>
      <c r="B35" s="123"/>
      <c r="C35" s="123"/>
      <c r="D35" s="124"/>
      <c r="E35" s="75"/>
      <c r="F35" s="75"/>
      <c r="G35" s="76"/>
      <c r="H35" s="75">
        <f t="shared" si="0"/>
        <v>-16.699999999982538</v>
      </c>
      <c r="I35" s="64"/>
      <c r="J35" s="64"/>
      <c r="K35" s="5"/>
    </row>
    <row r="36" spans="1:11" x14ac:dyDescent="0.25">
      <c r="A36" s="5"/>
      <c r="B36" s="123"/>
      <c r="C36" s="123"/>
      <c r="D36" s="124"/>
      <c r="E36" s="75"/>
      <c r="F36" s="75"/>
      <c r="G36" s="76"/>
      <c r="H36" s="75">
        <f t="shared" si="0"/>
        <v>-16.699999999982538</v>
      </c>
      <c r="I36" s="64"/>
      <c r="J36" s="64"/>
      <c r="K36" s="5"/>
    </row>
    <row r="37" spans="1:11" x14ac:dyDescent="0.25">
      <c r="A37" s="5"/>
      <c r="B37" s="123"/>
      <c r="C37" s="123"/>
      <c r="D37" s="124"/>
      <c r="E37" s="75"/>
      <c r="F37" s="75"/>
      <c r="G37" s="76"/>
      <c r="H37" s="75">
        <f t="shared" si="0"/>
        <v>-16.699999999982538</v>
      </c>
      <c r="I37" s="64"/>
      <c r="J37" s="64"/>
      <c r="K37" s="5"/>
    </row>
    <row r="38" spans="1:11" x14ac:dyDescent="0.25">
      <c r="A38" s="5"/>
      <c r="B38" s="123"/>
      <c r="C38" s="123"/>
      <c r="D38" s="124"/>
      <c r="E38" s="75"/>
      <c r="F38" s="75"/>
      <c r="G38" s="76"/>
      <c r="H38" s="75">
        <f t="shared" si="0"/>
        <v>-16.699999999982538</v>
      </c>
      <c r="I38" s="64"/>
      <c r="J38" s="64"/>
      <c r="K38" s="5"/>
    </row>
    <row r="39" spans="1:11" x14ac:dyDescent="0.25">
      <c r="A39" s="5"/>
      <c r="B39" s="123"/>
      <c r="C39" s="123"/>
      <c r="D39" s="124"/>
      <c r="E39" s="75"/>
      <c r="F39" s="75"/>
      <c r="G39" s="76"/>
      <c r="H39" s="75">
        <f t="shared" si="0"/>
        <v>-16.699999999982538</v>
      </c>
      <c r="I39" s="64"/>
      <c r="J39" s="64"/>
      <c r="K39" s="5"/>
    </row>
    <row r="40" spans="1:11" x14ac:dyDescent="0.25">
      <c r="A40" s="5"/>
      <c r="B40" s="123"/>
      <c r="C40" s="123"/>
      <c r="D40" s="124"/>
      <c r="E40" s="75"/>
      <c r="F40" s="75"/>
      <c r="G40" s="76"/>
      <c r="H40" s="75">
        <f t="shared" si="0"/>
        <v>-16.699999999982538</v>
      </c>
      <c r="I40" s="64"/>
      <c r="J40" s="64" t="s">
        <v>90</v>
      </c>
      <c r="K40" s="5"/>
    </row>
    <row r="41" spans="1:11" x14ac:dyDescent="0.25">
      <c r="A41" s="5"/>
      <c r="B41" s="123"/>
      <c r="C41" s="123"/>
      <c r="D41" s="124"/>
      <c r="E41" s="75"/>
      <c r="F41" s="75"/>
      <c r="G41" s="76"/>
      <c r="H41" s="75">
        <f t="shared" si="0"/>
        <v>-16.699999999982538</v>
      </c>
      <c r="I41" s="64"/>
      <c r="J41" s="64"/>
      <c r="K41" s="5"/>
    </row>
    <row r="42" spans="1:11" x14ac:dyDescent="0.25">
      <c r="A42" s="5"/>
      <c r="B42" s="123"/>
      <c r="C42" s="123"/>
      <c r="D42" s="124"/>
      <c r="E42" s="75"/>
      <c r="F42" s="75"/>
      <c r="G42" s="76"/>
      <c r="H42" s="75">
        <f t="shared" si="0"/>
        <v>-16.699999999982538</v>
      </c>
      <c r="I42" s="64"/>
      <c r="J42" s="64"/>
      <c r="K42" s="5"/>
    </row>
    <row r="43" spans="1:11" x14ac:dyDescent="0.25">
      <c r="A43" s="5"/>
      <c r="B43" s="123"/>
      <c r="C43" s="123"/>
      <c r="D43" s="124"/>
      <c r="E43" s="75"/>
      <c r="F43" s="75"/>
      <c r="G43" s="76"/>
      <c r="H43" s="75">
        <f t="shared" si="0"/>
        <v>-16.699999999982538</v>
      </c>
      <c r="I43" s="64"/>
      <c r="J43" s="64"/>
      <c r="K43" s="5"/>
    </row>
    <row r="44" spans="1:11" x14ac:dyDescent="0.25">
      <c r="A44" s="5"/>
      <c r="B44" s="123"/>
      <c r="C44" s="123"/>
      <c r="D44" s="124"/>
      <c r="E44" s="75"/>
      <c r="F44" s="75"/>
      <c r="G44" s="76"/>
      <c r="H44" s="75">
        <f t="shared" si="0"/>
        <v>-16.699999999982538</v>
      </c>
      <c r="I44" s="64"/>
      <c r="J44" s="64" t="s">
        <v>90</v>
      </c>
      <c r="K44" s="5"/>
    </row>
    <row r="45" spans="1:11" x14ac:dyDescent="0.25">
      <c r="A45" s="5"/>
      <c r="B45" s="123"/>
      <c r="C45" s="123"/>
      <c r="D45" s="124"/>
      <c r="E45" s="75"/>
      <c r="F45" s="75"/>
      <c r="G45" s="76"/>
      <c r="H45" s="75">
        <f t="shared" si="0"/>
        <v>-16.699999999982538</v>
      </c>
      <c r="I45" s="64"/>
      <c r="J45" s="64"/>
      <c r="K45" s="5"/>
    </row>
    <row r="46" spans="1:11" x14ac:dyDescent="0.25">
      <c r="A46" s="5"/>
      <c r="B46" s="123"/>
      <c r="C46" s="123"/>
      <c r="D46" s="124"/>
      <c r="E46" s="75"/>
      <c r="F46" s="75"/>
      <c r="G46" s="76"/>
      <c r="H46" s="75">
        <f t="shared" si="0"/>
        <v>-16.699999999982538</v>
      </c>
      <c r="I46" s="64"/>
      <c r="J46" s="64"/>
      <c r="K46" s="5"/>
    </row>
    <row r="47" spans="1:11" x14ac:dyDescent="0.25">
      <c r="A47" s="5"/>
      <c r="B47" s="123"/>
      <c r="C47" s="123"/>
      <c r="D47" s="124"/>
      <c r="E47" s="75"/>
      <c r="F47" s="75"/>
      <c r="G47" s="76"/>
      <c r="H47" s="75">
        <f t="shared" si="0"/>
        <v>-16.699999999982538</v>
      </c>
      <c r="I47" s="64"/>
      <c r="J47" s="64" t="s">
        <v>90</v>
      </c>
      <c r="K47" s="5"/>
    </row>
    <row r="48" spans="1:11" x14ac:dyDescent="0.25">
      <c r="A48" s="5"/>
      <c r="B48" s="123"/>
      <c r="C48" s="123"/>
      <c r="D48" s="124"/>
      <c r="E48" s="75"/>
      <c r="F48" s="75"/>
      <c r="G48" s="76"/>
      <c r="H48" s="75">
        <f>+H47+E48-F48</f>
        <v>-16.699999999982538</v>
      </c>
      <c r="I48" s="64"/>
      <c r="J48" s="64"/>
      <c r="K48" s="5"/>
    </row>
    <row r="49" spans="1:13" x14ac:dyDescent="0.25">
      <c r="A49" s="5"/>
      <c r="B49" s="123"/>
      <c r="C49" s="123"/>
      <c r="D49" s="124"/>
      <c r="E49" s="75"/>
      <c r="F49" s="75"/>
      <c r="G49" s="76"/>
      <c r="H49" s="75">
        <f t="shared" si="0"/>
        <v>-16.699999999982538</v>
      </c>
      <c r="I49" s="64"/>
      <c r="J49" s="64"/>
      <c r="K49" s="5"/>
    </row>
    <row r="50" spans="1:13" x14ac:dyDescent="0.25">
      <c r="A50" s="5"/>
      <c r="B50" s="123"/>
      <c r="C50" s="123"/>
      <c r="D50" s="124"/>
      <c r="E50" s="75"/>
      <c r="F50" s="75"/>
      <c r="G50" s="76"/>
      <c r="H50" s="75">
        <f t="shared" si="0"/>
        <v>-16.699999999982538</v>
      </c>
      <c r="I50" s="64"/>
      <c r="J50" s="64"/>
      <c r="K50" s="5"/>
    </row>
    <row r="51" spans="1:13" x14ac:dyDescent="0.25">
      <c r="A51" s="5"/>
      <c r="B51" s="123"/>
      <c r="C51" s="123"/>
      <c r="D51" s="124"/>
      <c r="E51" s="75"/>
      <c r="F51" s="75"/>
      <c r="G51" s="76"/>
      <c r="H51" s="75">
        <f t="shared" si="0"/>
        <v>-16.699999999982538</v>
      </c>
      <c r="I51" s="64"/>
      <c r="J51" s="64"/>
      <c r="K51" s="5"/>
    </row>
    <row r="52" spans="1:13" x14ac:dyDescent="0.25">
      <c r="A52" s="5"/>
      <c r="B52" s="123"/>
      <c r="C52" s="123"/>
      <c r="D52" s="124"/>
      <c r="E52" s="75"/>
      <c r="F52" s="75"/>
      <c r="G52" s="76"/>
      <c r="H52" s="75">
        <f t="shared" si="0"/>
        <v>-16.699999999982538</v>
      </c>
      <c r="I52" s="64"/>
      <c r="J52" s="64"/>
      <c r="K52" s="5"/>
    </row>
    <row r="53" spans="1:13" x14ac:dyDescent="0.25">
      <c r="A53" s="5"/>
      <c r="B53" s="123"/>
      <c r="C53" s="123"/>
      <c r="D53" s="124"/>
      <c r="E53" s="75"/>
      <c r="F53" s="75"/>
      <c r="G53" s="76"/>
      <c r="H53" s="75">
        <f t="shared" si="0"/>
        <v>-16.699999999982538</v>
      </c>
      <c r="I53" s="64"/>
      <c r="J53" s="64"/>
      <c r="K53" s="5"/>
    </row>
    <row r="54" spans="1:13" x14ac:dyDescent="0.25">
      <c r="A54" s="5"/>
      <c r="B54" s="123"/>
      <c r="C54" s="123"/>
      <c r="D54" s="124"/>
      <c r="E54" s="75"/>
      <c r="F54" s="75"/>
      <c r="G54" s="76"/>
      <c r="H54" s="75">
        <f t="shared" si="0"/>
        <v>-16.699999999982538</v>
      </c>
      <c r="I54" s="64"/>
      <c r="J54" s="64"/>
      <c r="K54" s="5"/>
      <c r="M54" s="49"/>
    </row>
    <row r="55" spans="1:13" x14ac:dyDescent="0.25">
      <c r="A55" s="5"/>
      <c r="B55" s="123"/>
      <c r="C55" s="123"/>
      <c r="D55" s="124"/>
      <c r="E55" s="75"/>
      <c r="F55" s="75"/>
      <c r="G55" s="76"/>
      <c r="H55" s="75">
        <f t="shared" si="0"/>
        <v>-16.699999999982538</v>
      </c>
      <c r="I55" s="64"/>
      <c r="J55" s="64"/>
      <c r="K55" s="5"/>
      <c r="M55" s="49"/>
    </row>
    <row r="56" spans="1:13" x14ac:dyDescent="0.25">
      <c r="A56" s="5"/>
      <c r="B56" s="123"/>
      <c r="C56" s="123"/>
      <c r="D56" s="124"/>
      <c r="E56" s="75"/>
      <c r="F56" s="75"/>
      <c r="G56" s="76"/>
      <c r="H56" s="75">
        <f t="shared" si="0"/>
        <v>-16.699999999982538</v>
      </c>
      <c r="I56" s="64"/>
      <c r="J56" s="64"/>
      <c r="K56" s="5"/>
    </row>
    <row r="57" spans="1:13" x14ac:dyDescent="0.25">
      <c r="A57" s="5"/>
      <c r="B57" s="123"/>
      <c r="C57" s="123"/>
      <c r="D57" s="124"/>
      <c r="E57" s="75"/>
      <c r="F57" s="75"/>
      <c r="G57" s="76"/>
      <c r="H57" s="75">
        <f t="shared" si="0"/>
        <v>-16.699999999982538</v>
      </c>
      <c r="I57" s="64"/>
      <c r="J57" s="64"/>
      <c r="K57" s="5"/>
    </row>
    <row r="58" spans="1:13" x14ac:dyDescent="0.25">
      <c r="A58" s="5"/>
      <c r="B58" s="123"/>
      <c r="C58" s="123"/>
      <c r="D58" s="124"/>
      <c r="E58" s="75"/>
      <c r="F58" s="75"/>
      <c r="G58" s="76"/>
      <c r="H58" s="75">
        <f t="shared" si="0"/>
        <v>-16.699999999982538</v>
      </c>
      <c r="I58" s="64"/>
      <c r="J58" s="64"/>
      <c r="K58" s="5"/>
    </row>
    <row r="59" spans="1:13" x14ac:dyDescent="0.25">
      <c r="A59" s="5"/>
      <c r="B59" s="123"/>
      <c r="C59" s="123"/>
      <c r="D59" s="124"/>
      <c r="E59" s="75"/>
      <c r="F59" s="75"/>
      <c r="G59" s="76"/>
      <c r="H59" s="75">
        <f t="shared" si="0"/>
        <v>-16.699999999982538</v>
      </c>
      <c r="I59" s="64"/>
      <c r="J59" s="64"/>
      <c r="K59" s="5"/>
    </row>
    <row r="60" spans="1:13" x14ac:dyDescent="0.25">
      <c r="A60" s="5"/>
      <c r="B60" s="123"/>
      <c r="C60" s="123"/>
      <c r="D60" s="124"/>
      <c r="E60" s="75"/>
      <c r="F60" s="75"/>
      <c r="G60" s="76"/>
      <c r="H60" s="75">
        <f t="shared" si="0"/>
        <v>-16.699999999982538</v>
      </c>
      <c r="I60" s="64"/>
      <c r="J60" s="64"/>
      <c r="K60" s="5"/>
    </row>
    <row r="61" spans="1:13" x14ac:dyDescent="0.25">
      <c r="A61" s="5"/>
      <c r="B61" s="123"/>
      <c r="C61" s="123"/>
      <c r="D61" s="124"/>
      <c r="E61" s="75"/>
      <c r="F61" s="75"/>
      <c r="G61" s="76"/>
      <c r="H61" s="75">
        <f t="shared" si="0"/>
        <v>-16.699999999982538</v>
      </c>
      <c r="I61" s="64"/>
      <c r="J61" s="64"/>
      <c r="K61" s="5"/>
    </row>
    <row r="62" spans="1:13" x14ac:dyDescent="0.25">
      <c r="A62" s="5"/>
      <c r="B62" s="123"/>
      <c r="C62" s="123"/>
      <c r="D62" s="124"/>
      <c r="E62" s="75"/>
      <c r="F62" s="75"/>
      <c r="G62" s="76"/>
      <c r="H62" s="75">
        <f t="shared" si="0"/>
        <v>-16.699999999982538</v>
      </c>
      <c r="I62" s="64"/>
      <c r="J62" s="64" t="s">
        <v>117</v>
      </c>
      <c r="K62" s="5"/>
    </row>
    <row r="63" spans="1:13" x14ac:dyDescent="0.25">
      <c r="A63" s="5"/>
      <c r="B63" s="123"/>
      <c r="C63" s="123"/>
      <c r="D63" s="124"/>
      <c r="E63" s="75"/>
      <c r="F63" s="75"/>
      <c r="G63" s="76"/>
      <c r="H63" s="75">
        <f t="shared" si="0"/>
        <v>-16.699999999982538</v>
      </c>
      <c r="I63" s="64"/>
      <c r="J63" s="64"/>
      <c r="K63" s="5"/>
    </row>
    <row r="64" spans="1:13" x14ac:dyDescent="0.25">
      <c r="A64" s="5"/>
      <c r="B64" s="123"/>
      <c r="C64" s="123"/>
      <c r="D64" s="124"/>
      <c r="E64" s="75"/>
      <c r="F64" s="75"/>
      <c r="G64" s="76"/>
      <c r="H64" s="75">
        <f t="shared" si="0"/>
        <v>-16.699999999982538</v>
      </c>
      <c r="I64" s="64"/>
      <c r="J64" s="64"/>
      <c r="K64" s="5"/>
    </row>
    <row r="65" spans="1:13" x14ac:dyDescent="0.25">
      <c r="A65" s="5"/>
      <c r="B65" s="123"/>
      <c r="C65" s="123"/>
      <c r="D65" s="124"/>
      <c r="E65" s="75"/>
      <c r="F65" s="75"/>
      <c r="G65" s="76"/>
      <c r="H65" s="75">
        <f t="shared" si="0"/>
        <v>-16.699999999982538</v>
      </c>
      <c r="I65" s="64"/>
      <c r="J65" s="64"/>
      <c r="K65" s="5"/>
    </row>
    <row r="66" spans="1:13" x14ac:dyDescent="0.25">
      <c r="A66" s="5"/>
      <c r="B66" s="123"/>
      <c r="C66" s="123"/>
      <c r="D66" s="124"/>
      <c r="E66" s="75"/>
      <c r="F66" s="75"/>
      <c r="G66" s="76"/>
      <c r="H66" s="75">
        <f t="shared" si="0"/>
        <v>-16.699999999982538</v>
      </c>
      <c r="I66" s="64"/>
      <c r="J66" s="64"/>
      <c r="K66" s="5"/>
      <c r="M66" s="49"/>
    </row>
    <row r="67" spans="1:13" x14ac:dyDescent="0.25">
      <c r="A67" s="5"/>
      <c r="B67" s="123"/>
      <c r="C67" s="123"/>
      <c r="D67" s="124"/>
      <c r="E67" s="75"/>
      <c r="F67" s="75"/>
      <c r="G67" s="76"/>
      <c r="H67" s="75">
        <f>+H66+E67-F67</f>
        <v>-16.699999999982538</v>
      </c>
      <c r="I67" s="64"/>
      <c r="J67" s="64"/>
      <c r="K67" s="5"/>
    </row>
    <row r="68" spans="1:13" x14ac:dyDescent="0.25">
      <c r="A68" s="5"/>
      <c r="B68" s="123"/>
      <c r="C68" s="123"/>
      <c r="D68" s="124"/>
      <c r="E68" s="75"/>
      <c r="F68" s="75"/>
      <c r="G68" s="76"/>
      <c r="H68" s="75">
        <f t="shared" ref="H68:H87" si="1">+H67+E68-F68</f>
        <v>-16.699999999982538</v>
      </c>
      <c r="I68" s="64"/>
      <c r="J68" s="64"/>
      <c r="K68" s="5"/>
    </row>
    <row r="69" spans="1:13" x14ac:dyDescent="0.25">
      <c r="A69" s="5"/>
      <c r="B69" s="123"/>
      <c r="C69" s="123"/>
      <c r="D69" s="124"/>
      <c r="E69" s="75"/>
      <c r="F69" s="75"/>
      <c r="G69" s="76"/>
      <c r="H69" s="75">
        <f t="shared" si="1"/>
        <v>-16.699999999982538</v>
      </c>
      <c r="I69" s="64"/>
      <c r="J69" s="64"/>
      <c r="K69" s="5"/>
      <c r="L69" s="50"/>
    </row>
    <row r="70" spans="1:13" x14ac:dyDescent="0.25">
      <c r="A70" s="5"/>
      <c r="B70" s="123"/>
      <c r="C70" s="123"/>
      <c r="D70" s="124"/>
      <c r="E70" s="75"/>
      <c r="F70" s="75"/>
      <c r="G70" s="76"/>
      <c r="H70" s="75">
        <f t="shared" si="1"/>
        <v>-16.699999999982538</v>
      </c>
      <c r="I70" s="64"/>
      <c r="J70" s="64"/>
      <c r="K70" s="5"/>
    </row>
    <row r="71" spans="1:13" x14ac:dyDescent="0.25">
      <c r="A71" s="5"/>
      <c r="B71" s="123"/>
      <c r="C71" s="123"/>
      <c r="D71" s="124"/>
      <c r="E71" s="75"/>
      <c r="F71" s="75"/>
      <c r="G71" s="76"/>
      <c r="H71" s="75">
        <f t="shared" si="1"/>
        <v>-16.699999999982538</v>
      </c>
      <c r="I71" s="64"/>
      <c r="J71" s="64"/>
      <c r="K71" s="5"/>
      <c r="L71" s="50"/>
    </row>
    <row r="72" spans="1:13" x14ac:dyDescent="0.25">
      <c r="A72" s="5"/>
      <c r="B72" s="123"/>
      <c r="C72" s="123"/>
      <c r="D72" s="124"/>
      <c r="E72" s="75"/>
      <c r="F72" s="75"/>
      <c r="G72" s="76"/>
      <c r="H72" s="75">
        <f t="shared" si="1"/>
        <v>-16.699999999982538</v>
      </c>
      <c r="I72" s="64"/>
      <c r="J72" s="64"/>
      <c r="K72" s="5"/>
    </row>
    <row r="73" spans="1:13" x14ac:dyDescent="0.25">
      <c r="A73" s="5"/>
      <c r="B73" s="123"/>
      <c r="C73" s="123"/>
      <c r="D73" s="124"/>
      <c r="E73" s="75"/>
      <c r="F73" s="110"/>
      <c r="G73" s="76"/>
      <c r="H73" s="75">
        <f>+H72+E73-F73</f>
        <v>-16.699999999982538</v>
      </c>
      <c r="I73" s="64"/>
      <c r="J73" s="64"/>
      <c r="K73" s="5"/>
      <c r="L73" s="49"/>
    </row>
    <row r="74" spans="1:13" x14ac:dyDescent="0.25">
      <c r="A74" s="5"/>
      <c r="B74" s="123"/>
      <c r="C74" s="123"/>
      <c r="D74" s="124"/>
      <c r="E74" s="75"/>
      <c r="F74" s="110"/>
      <c r="G74" s="76"/>
      <c r="H74" s="75">
        <f>+H73+E74-F74</f>
        <v>-16.699999999982538</v>
      </c>
      <c r="I74" s="64"/>
      <c r="J74" s="64"/>
      <c r="K74" s="5"/>
      <c r="L74" s="49"/>
    </row>
    <row r="75" spans="1:13" x14ac:dyDescent="0.25">
      <c r="A75" s="5"/>
      <c r="B75" s="123"/>
      <c r="C75" s="123"/>
      <c r="D75" s="124"/>
      <c r="E75" s="75"/>
      <c r="F75" s="75"/>
      <c r="G75" s="76"/>
      <c r="H75" s="75">
        <f t="shared" si="1"/>
        <v>-16.699999999982538</v>
      </c>
      <c r="I75" s="64"/>
      <c r="J75" s="64"/>
      <c r="K75" s="5"/>
    </row>
    <row r="76" spans="1:13" x14ac:dyDescent="0.25">
      <c r="A76" s="5"/>
      <c r="B76" s="123"/>
      <c r="C76" s="123"/>
      <c r="D76" s="124"/>
      <c r="E76" s="75"/>
      <c r="F76" s="75"/>
      <c r="G76" s="76"/>
      <c r="H76" s="75">
        <f>+H75+E76-F76</f>
        <v>-16.699999999982538</v>
      </c>
      <c r="I76" s="64"/>
      <c r="J76" s="64"/>
      <c r="K76" s="5"/>
      <c r="L76" s="49"/>
      <c r="M76" s="49"/>
    </row>
    <row r="77" spans="1:13" x14ac:dyDescent="0.25">
      <c r="A77" s="5"/>
      <c r="B77" s="123"/>
      <c r="C77" s="123"/>
      <c r="D77" s="124"/>
      <c r="E77" s="75"/>
      <c r="F77" s="75"/>
      <c r="G77" s="76"/>
      <c r="H77" s="75">
        <f t="shared" si="1"/>
        <v>-16.699999999982538</v>
      </c>
      <c r="I77" s="64"/>
      <c r="J77" s="64"/>
      <c r="K77" s="5"/>
      <c r="L77" s="49"/>
      <c r="M77" s="49"/>
    </row>
    <row r="78" spans="1:13" x14ac:dyDescent="0.25">
      <c r="A78" s="5"/>
      <c r="B78" s="123"/>
      <c r="C78" s="123"/>
      <c r="D78" s="124"/>
      <c r="E78" s="75"/>
      <c r="F78" s="75"/>
      <c r="G78" s="76"/>
      <c r="H78" s="75">
        <f t="shared" si="1"/>
        <v>-16.699999999982538</v>
      </c>
      <c r="I78" s="64"/>
      <c r="J78" s="64"/>
      <c r="K78" s="5"/>
      <c r="L78" s="49"/>
      <c r="M78" s="49"/>
    </row>
    <row r="79" spans="1:13" x14ac:dyDescent="0.25">
      <c r="A79" s="5"/>
      <c r="B79" s="123"/>
      <c r="C79" s="123"/>
      <c r="D79" s="124"/>
      <c r="E79" s="75"/>
      <c r="F79" s="75"/>
      <c r="G79" s="76"/>
      <c r="H79" s="75">
        <f t="shared" si="1"/>
        <v>-16.699999999982538</v>
      </c>
      <c r="I79" s="64"/>
      <c r="J79" s="64"/>
      <c r="K79" s="5"/>
      <c r="L79" s="49"/>
      <c r="M79" s="49"/>
    </row>
    <row r="80" spans="1:13" x14ac:dyDescent="0.25">
      <c r="A80" s="5"/>
      <c r="B80" s="123"/>
      <c r="C80" s="123"/>
      <c r="D80" s="124"/>
      <c r="E80" s="75"/>
      <c r="F80" s="75"/>
      <c r="G80" s="76"/>
      <c r="H80" s="75">
        <f t="shared" si="1"/>
        <v>-16.699999999982538</v>
      </c>
      <c r="I80" s="64"/>
      <c r="J80" s="64"/>
      <c r="K80" s="5"/>
      <c r="L80" s="49"/>
      <c r="M80" s="49"/>
    </row>
    <row r="81" spans="1:13" x14ac:dyDescent="0.25">
      <c r="A81" s="5"/>
      <c r="B81" s="123"/>
      <c r="C81" s="123"/>
      <c r="D81" s="124"/>
      <c r="E81" s="75"/>
      <c r="F81" s="75"/>
      <c r="G81" s="76"/>
      <c r="H81" s="75">
        <f t="shared" si="1"/>
        <v>-16.699999999982538</v>
      </c>
      <c r="I81" s="64"/>
      <c r="J81" s="64"/>
      <c r="K81" s="5"/>
      <c r="L81" s="49"/>
      <c r="M81" s="49"/>
    </row>
    <row r="82" spans="1:13" x14ac:dyDescent="0.25">
      <c r="A82" s="5"/>
      <c r="B82" s="123"/>
      <c r="C82" s="123"/>
      <c r="D82" s="124"/>
      <c r="E82" s="75"/>
      <c r="F82" s="75"/>
      <c r="G82" s="76"/>
      <c r="H82" s="75">
        <f t="shared" si="1"/>
        <v>-16.699999999982538</v>
      </c>
      <c r="I82" s="64"/>
      <c r="J82" s="64"/>
      <c r="K82" s="5"/>
      <c r="L82" s="49"/>
      <c r="M82" s="49"/>
    </row>
    <row r="83" spans="1:13" x14ac:dyDescent="0.25">
      <c r="A83" s="5"/>
      <c r="B83" s="123"/>
      <c r="C83" s="123"/>
      <c r="D83" s="124"/>
      <c r="E83" s="75"/>
      <c r="F83" s="75"/>
      <c r="G83" s="76"/>
      <c r="H83" s="75">
        <f t="shared" si="1"/>
        <v>-16.699999999982538</v>
      </c>
      <c r="I83" s="64"/>
      <c r="J83" s="64"/>
      <c r="K83" s="5"/>
      <c r="L83" s="49"/>
      <c r="M83" s="49"/>
    </row>
    <row r="84" spans="1:13" x14ac:dyDescent="0.25">
      <c r="A84" s="5"/>
      <c r="B84" s="123"/>
      <c r="C84" s="123"/>
      <c r="D84" s="124"/>
      <c r="E84" s="75"/>
      <c r="F84" s="75"/>
      <c r="G84" s="76"/>
      <c r="H84" s="75">
        <f t="shared" si="1"/>
        <v>-16.699999999982538</v>
      </c>
      <c r="I84" s="64"/>
      <c r="J84" s="64"/>
      <c r="K84" s="5"/>
      <c r="L84" s="49"/>
      <c r="M84" s="49"/>
    </row>
    <row r="85" spans="1:13" x14ac:dyDescent="0.25">
      <c r="A85" s="5"/>
      <c r="B85" s="123"/>
      <c r="C85" s="123"/>
      <c r="D85" s="124"/>
      <c r="E85" s="75"/>
      <c r="F85" s="75"/>
      <c r="G85" s="76"/>
      <c r="H85" s="75">
        <f>+H84+E85-F85</f>
        <v>-16.699999999982538</v>
      </c>
      <c r="I85" s="64"/>
      <c r="J85" s="64"/>
      <c r="K85" s="5"/>
      <c r="L85" s="49"/>
      <c r="M85" s="49"/>
    </row>
    <row r="86" spans="1:13" x14ac:dyDescent="0.25">
      <c r="A86" s="5"/>
      <c r="B86" s="123"/>
      <c r="C86" s="123"/>
      <c r="D86" s="124"/>
      <c r="E86" s="75"/>
      <c r="F86" s="75"/>
      <c r="G86" s="76"/>
      <c r="H86" s="75">
        <f t="shared" si="1"/>
        <v>-16.699999999982538</v>
      </c>
      <c r="I86" s="64"/>
      <c r="J86" s="64"/>
      <c r="K86" s="5"/>
      <c r="L86" s="49"/>
      <c r="M86" s="49"/>
    </row>
    <row r="87" spans="1:13" x14ac:dyDescent="0.25">
      <c r="A87" s="5"/>
      <c r="B87" s="123"/>
      <c r="C87" s="123"/>
      <c r="D87" s="124"/>
      <c r="E87" s="75"/>
      <c r="F87" s="75"/>
      <c r="G87" s="76"/>
      <c r="H87" s="75">
        <f t="shared" si="1"/>
        <v>-16.699999999982538</v>
      </c>
      <c r="I87" s="64"/>
      <c r="J87" s="64"/>
      <c r="K87" s="5"/>
      <c r="L87" s="49"/>
      <c r="M87" s="49"/>
    </row>
    <row r="88" spans="1:13" x14ac:dyDescent="0.25">
      <c r="A88" s="5"/>
      <c r="B88" s="123"/>
      <c r="C88" s="123"/>
      <c r="D88" s="124"/>
      <c r="E88" s="75"/>
      <c r="F88" s="75"/>
      <c r="G88" s="76"/>
      <c r="H88" s="75">
        <f>+H87+E88-F88</f>
        <v>-16.699999999982538</v>
      </c>
      <c r="I88" s="64"/>
      <c r="J88" s="64"/>
      <c r="K88" s="5"/>
      <c r="L88" s="49"/>
      <c r="M88" s="49"/>
    </row>
    <row r="89" spans="1:13" x14ac:dyDescent="0.25">
      <c r="A89" s="5"/>
      <c r="B89" s="123"/>
      <c r="C89" s="123"/>
      <c r="D89" s="124"/>
      <c r="E89" s="75"/>
      <c r="F89" s="75"/>
      <c r="G89" s="76"/>
      <c r="H89" s="75">
        <f t="shared" ref="H89:H97" si="2">+H88+E89-F89</f>
        <v>-16.699999999982538</v>
      </c>
      <c r="I89" s="64"/>
      <c r="J89" s="64"/>
      <c r="K89" s="5"/>
      <c r="L89" s="49"/>
      <c r="M89" s="49"/>
    </row>
    <row r="90" spans="1:13" x14ac:dyDescent="0.25">
      <c r="A90" s="5"/>
      <c r="B90" s="123"/>
      <c r="C90" s="123"/>
      <c r="D90" s="124"/>
      <c r="E90" s="75"/>
      <c r="F90" s="75"/>
      <c r="G90" s="76"/>
      <c r="H90" s="75">
        <f t="shared" si="2"/>
        <v>-16.699999999982538</v>
      </c>
      <c r="I90" s="64"/>
      <c r="J90" s="64"/>
      <c r="K90" s="5"/>
      <c r="L90" s="49"/>
      <c r="M90" s="49"/>
    </row>
    <row r="91" spans="1:13" x14ac:dyDescent="0.25">
      <c r="A91" s="5"/>
      <c r="B91" s="123"/>
      <c r="C91" s="123"/>
      <c r="D91" s="124"/>
      <c r="E91" s="75"/>
      <c r="F91" s="75"/>
      <c r="G91" s="76"/>
      <c r="H91" s="75">
        <f t="shared" si="2"/>
        <v>-16.699999999982538</v>
      </c>
      <c r="I91" s="64"/>
      <c r="J91" s="64"/>
      <c r="K91" s="5"/>
      <c r="L91" s="49"/>
      <c r="M91" s="49"/>
    </row>
    <row r="92" spans="1:13" x14ac:dyDescent="0.25">
      <c r="A92" s="5"/>
      <c r="B92" s="123"/>
      <c r="C92" s="123"/>
      <c r="D92" s="124"/>
      <c r="E92" s="75"/>
      <c r="F92" s="75"/>
      <c r="G92" s="76"/>
      <c r="H92" s="75">
        <f t="shared" si="2"/>
        <v>-16.699999999982538</v>
      </c>
      <c r="I92" s="64"/>
      <c r="J92" s="64"/>
      <c r="K92" s="5"/>
      <c r="L92" s="49"/>
      <c r="M92" s="49"/>
    </row>
    <row r="93" spans="1:13" x14ac:dyDescent="0.25">
      <c r="A93" s="5"/>
      <c r="B93" s="123"/>
      <c r="C93" s="123"/>
      <c r="D93" s="124"/>
      <c r="E93" s="75"/>
      <c r="F93" s="75"/>
      <c r="G93" s="76"/>
      <c r="H93" s="75">
        <f t="shared" si="2"/>
        <v>-16.699999999982538</v>
      </c>
      <c r="I93" s="64"/>
      <c r="J93" s="64"/>
      <c r="K93" s="5"/>
      <c r="L93" s="49"/>
      <c r="M93" s="49"/>
    </row>
    <row r="94" spans="1:13" x14ac:dyDescent="0.25">
      <c r="A94" s="5"/>
      <c r="B94" s="123"/>
      <c r="C94" s="123"/>
      <c r="D94" s="124"/>
      <c r="E94" s="75"/>
      <c r="F94" s="75"/>
      <c r="G94" s="76"/>
      <c r="H94" s="75">
        <f t="shared" si="2"/>
        <v>-16.699999999982538</v>
      </c>
      <c r="I94" s="64"/>
      <c r="J94" s="64"/>
      <c r="K94" s="5"/>
      <c r="L94" s="49"/>
      <c r="M94" s="49"/>
    </row>
    <row r="95" spans="1:13" x14ac:dyDescent="0.25">
      <c r="A95" s="5"/>
      <c r="B95" s="123"/>
      <c r="C95" s="123"/>
      <c r="D95" s="124"/>
      <c r="E95" s="75"/>
      <c r="F95" s="75"/>
      <c r="G95" s="76"/>
      <c r="H95" s="75">
        <f t="shared" si="2"/>
        <v>-16.699999999982538</v>
      </c>
      <c r="I95" s="64"/>
      <c r="J95" s="64"/>
      <c r="K95" s="5"/>
      <c r="L95" s="49"/>
      <c r="M95" s="49"/>
    </row>
    <row r="96" spans="1:13" x14ac:dyDescent="0.25">
      <c r="A96" s="5"/>
      <c r="B96" s="123"/>
      <c r="C96" s="123"/>
      <c r="D96" s="124"/>
      <c r="E96" s="75"/>
      <c r="F96" s="75"/>
      <c r="G96" s="76"/>
      <c r="H96" s="75">
        <f t="shared" si="2"/>
        <v>-16.699999999982538</v>
      </c>
      <c r="I96" s="64"/>
      <c r="J96" s="64"/>
      <c r="K96" s="5"/>
      <c r="L96" s="49"/>
      <c r="M96" s="49"/>
    </row>
    <row r="97" spans="1:13" x14ac:dyDescent="0.25">
      <c r="A97" s="5"/>
      <c r="B97" s="123"/>
      <c r="C97" s="123"/>
      <c r="D97" s="124"/>
      <c r="E97" s="75"/>
      <c r="F97" s="75"/>
      <c r="G97" s="76"/>
      <c r="H97" s="75">
        <f t="shared" si="2"/>
        <v>-16.699999999982538</v>
      </c>
      <c r="I97" s="64"/>
      <c r="J97" s="64"/>
      <c r="K97" s="5"/>
      <c r="L97" s="49"/>
      <c r="M97" s="49"/>
    </row>
    <row r="98" spans="1:13" x14ac:dyDescent="0.25">
      <c r="A98" s="5"/>
      <c r="B98" s="123"/>
      <c r="C98" s="123"/>
      <c r="D98" s="124"/>
      <c r="E98" s="75"/>
      <c r="F98" s="75"/>
      <c r="G98" s="76"/>
      <c r="H98" s="75">
        <f t="shared" ref="H98:H129" si="3">+H97+E98-F98</f>
        <v>-16.699999999982538</v>
      </c>
      <c r="I98" s="64"/>
      <c r="J98" s="64"/>
      <c r="K98" s="5"/>
      <c r="L98" s="49"/>
      <c r="M98" s="49"/>
    </row>
    <row r="99" spans="1:13" x14ac:dyDescent="0.25">
      <c r="A99" s="5"/>
      <c r="B99" s="123"/>
      <c r="C99" s="123"/>
      <c r="D99" s="124"/>
      <c r="E99" s="75"/>
      <c r="F99" s="75"/>
      <c r="G99" s="76"/>
      <c r="H99" s="75">
        <f t="shared" si="3"/>
        <v>-16.699999999982538</v>
      </c>
      <c r="I99" s="64"/>
      <c r="J99" s="64"/>
      <c r="K99" s="5"/>
      <c r="L99" s="49"/>
      <c r="M99" s="49"/>
    </row>
    <row r="100" spans="1:13" x14ac:dyDescent="0.25">
      <c r="A100" s="5"/>
      <c r="B100" s="123"/>
      <c r="C100" s="123"/>
      <c r="D100" s="124"/>
      <c r="E100" s="75"/>
      <c r="F100" s="75"/>
      <c r="G100" s="76"/>
      <c r="H100" s="75">
        <f t="shared" si="3"/>
        <v>-16.699999999982538</v>
      </c>
      <c r="I100" s="64"/>
      <c r="J100" s="64"/>
      <c r="K100" s="5"/>
    </row>
    <row r="101" spans="1:13" x14ac:dyDescent="0.25">
      <c r="A101" s="5"/>
      <c r="B101" s="123"/>
      <c r="C101" s="123"/>
      <c r="D101" s="124"/>
      <c r="E101" s="75"/>
      <c r="F101" s="75"/>
      <c r="G101" s="76"/>
      <c r="H101" s="75">
        <f t="shared" si="3"/>
        <v>-16.699999999982538</v>
      </c>
      <c r="I101" s="64"/>
      <c r="J101" s="64"/>
      <c r="K101" s="5"/>
    </row>
    <row r="102" spans="1:13" x14ac:dyDescent="0.25">
      <c r="A102" s="5"/>
      <c r="B102" s="123"/>
      <c r="C102" s="123"/>
      <c r="D102" s="124"/>
      <c r="E102" s="75"/>
      <c r="F102" s="75"/>
      <c r="G102" s="76"/>
      <c r="H102" s="75">
        <f t="shared" si="3"/>
        <v>-16.699999999982538</v>
      </c>
      <c r="I102" s="64"/>
      <c r="J102" s="64"/>
      <c r="K102" s="5"/>
    </row>
    <row r="103" spans="1:13" x14ac:dyDescent="0.25">
      <c r="A103" s="5"/>
      <c r="B103" s="123"/>
      <c r="C103" s="123"/>
      <c r="D103" s="124"/>
      <c r="E103" s="75"/>
      <c r="F103" s="75"/>
      <c r="G103" s="76"/>
      <c r="H103" s="75">
        <f t="shared" si="3"/>
        <v>-16.699999999982538</v>
      </c>
      <c r="I103" s="64"/>
      <c r="J103" s="64"/>
      <c r="K103" s="5"/>
    </row>
    <row r="104" spans="1:13" x14ac:dyDescent="0.25">
      <c r="A104" s="5"/>
      <c r="B104" s="123"/>
      <c r="C104" s="123"/>
      <c r="D104" s="124"/>
      <c r="E104" s="75"/>
      <c r="F104" s="75"/>
      <c r="G104" s="76"/>
      <c r="H104" s="75">
        <f t="shared" si="3"/>
        <v>-16.699999999982538</v>
      </c>
      <c r="I104" s="64"/>
      <c r="J104" s="64"/>
      <c r="K104" s="5"/>
    </row>
    <row r="105" spans="1:13" x14ac:dyDescent="0.25">
      <c r="A105" s="5"/>
      <c r="B105" s="123"/>
      <c r="C105" s="123"/>
      <c r="D105" s="124"/>
      <c r="E105" s="75"/>
      <c r="F105" s="75"/>
      <c r="G105" s="76"/>
      <c r="H105" s="75">
        <f t="shared" si="3"/>
        <v>-16.699999999982538</v>
      </c>
      <c r="I105" s="64"/>
      <c r="J105" s="64"/>
      <c r="K105" s="5"/>
    </row>
    <row r="106" spans="1:13" x14ac:dyDescent="0.25">
      <c r="A106" s="5"/>
      <c r="B106" s="123"/>
      <c r="C106" s="123"/>
      <c r="D106" s="124"/>
      <c r="E106" s="75"/>
      <c r="F106" s="75"/>
      <c r="G106" s="76"/>
      <c r="H106" s="75">
        <f t="shared" si="3"/>
        <v>-16.699999999982538</v>
      </c>
      <c r="I106" s="64"/>
      <c r="J106" s="64"/>
      <c r="K106" s="5"/>
    </row>
    <row r="107" spans="1:13" x14ac:dyDescent="0.25">
      <c r="A107" s="5"/>
      <c r="B107" s="123"/>
      <c r="C107" s="123"/>
      <c r="D107" s="124"/>
      <c r="E107" s="75"/>
      <c r="F107" s="75"/>
      <c r="G107" s="76"/>
      <c r="H107" s="75">
        <f t="shared" si="3"/>
        <v>-16.699999999982538</v>
      </c>
      <c r="I107" s="64"/>
      <c r="J107" s="64"/>
      <c r="K107" s="5"/>
    </row>
    <row r="108" spans="1:13" x14ac:dyDescent="0.25">
      <c r="A108" s="5"/>
      <c r="B108" s="123"/>
      <c r="C108" s="123"/>
      <c r="D108" s="124"/>
      <c r="E108" s="75"/>
      <c r="F108" s="75"/>
      <c r="G108" s="76"/>
      <c r="H108" s="75">
        <f t="shared" si="3"/>
        <v>-16.699999999982538</v>
      </c>
      <c r="I108" s="64"/>
      <c r="J108" s="64"/>
      <c r="K108" s="5"/>
      <c r="M108" s="49"/>
    </row>
    <row r="109" spans="1:13" x14ac:dyDescent="0.25">
      <c r="A109" s="5"/>
      <c r="B109" s="123"/>
      <c r="C109" s="123"/>
      <c r="D109" s="124"/>
      <c r="E109" s="75"/>
      <c r="F109" s="75"/>
      <c r="G109" s="76"/>
      <c r="H109" s="75">
        <f t="shared" si="3"/>
        <v>-16.699999999982538</v>
      </c>
      <c r="I109" s="64"/>
      <c r="J109" s="64"/>
      <c r="K109" s="5"/>
    </row>
    <row r="110" spans="1:13" x14ac:dyDescent="0.25">
      <c r="A110" s="5"/>
      <c r="B110" s="123"/>
      <c r="C110" s="123"/>
      <c r="D110" s="124"/>
      <c r="E110" s="75"/>
      <c r="F110" s="75"/>
      <c r="G110" s="76"/>
      <c r="H110" s="75">
        <f t="shared" si="3"/>
        <v>-16.699999999982538</v>
      </c>
      <c r="I110" s="64"/>
      <c r="J110" s="64"/>
      <c r="K110" s="5"/>
    </row>
    <row r="111" spans="1:13" x14ac:dyDescent="0.25">
      <c r="A111" s="5"/>
      <c r="B111" s="123"/>
      <c r="C111" s="123"/>
      <c r="D111" s="124"/>
      <c r="E111" s="75"/>
      <c r="F111" s="75"/>
      <c r="G111" s="76"/>
      <c r="H111" s="75">
        <f t="shared" si="3"/>
        <v>-16.699999999982538</v>
      </c>
      <c r="I111" s="64"/>
      <c r="J111" s="64"/>
      <c r="K111" s="5"/>
      <c r="M111" s="49"/>
    </row>
    <row r="112" spans="1:13" x14ac:dyDescent="0.25">
      <c r="A112" s="5"/>
      <c r="B112" s="123"/>
      <c r="C112" s="123"/>
      <c r="D112" s="124"/>
      <c r="E112" s="75"/>
      <c r="F112" s="75"/>
      <c r="G112" s="76"/>
      <c r="H112" s="75">
        <f t="shared" si="3"/>
        <v>-16.699999999982538</v>
      </c>
      <c r="I112" s="64"/>
      <c r="J112" s="64"/>
      <c r="K112" s="5"/>
      <c r="M112" s="49"/>
    </row>
    <row r="113" spans="1:13" x14ac:dyDescent="0.25">
      <c r="A113" s="5"/>
      <c r="B113" s="123"/>
      <c r="C113" s="123"/>
      <c r="D113" s="124"/>
      <c r="E113" s="75"/>
      <c r="F113" s="75"/>
      <c r="G113" s="76"/>
      <c r="H113" s="75">
        <f t="shared" si="3"/>
        <v>-16.699999999982538</v>
      </c>
      <c r="I113" s="64"/>
      <c r="J113" s="64"/>
      <c r="K113" s="5"/>
      <c r="M113" s="49"/>
    </row>
    <row r="114" spans="1:13" x14ac:dyDescent="0.25">
      <c r="A114" s="5"/>
      <c r="B114" s="123"/>
      <c r="C114" s="123"/>
      <c r="D114" s="124"/>
      <c r="E114" s="75"/>
      <c r="F114" s="75"/>
      <c r="G114" s="76"/>
      <c r="H114" s="75">
        <f t="shared" si="3"/>
        <v>-16.699999999982538</v>
      </c>
      <c r="I114" s="64"/>
      <c r="J114" s="64"/>
      <c r="K114" s="5"/>
      <c r="M114" s="49"/>
    </row>
    <row r="115" spans="1:13" x14ac:dyDescent="0.25">
      <c r="A115" s="5"/>
      <c r="B115" s="123"/>
      <c r="C115" s="123"/>
      <c r="D115" s="124"/>
      <c r="E115" s="75"/>
      <c r="F115" s="75"/>
      <c r="G115" s="76"/>
      <c r="H115" s="75">
        <f t="shared" si="3"/>
        <v>-16.699999999982538</v>
      </c>
      <c r="I115" s="64"/>
      <c r="J115" s="64"/>
      <c r="K115" s="5"/>
      <c r="M115" s="49"/>
    </row>
    <row r="116" spans="1:13" x14ac:dyDescent="0.25">
      <c r="A116" s="5"/>
      <c r="B116" s="123"/>
      <c r="C116" s="123"/>
      <c r="D116" s="124"/>
      <c r="E116" s="75"/>
      <c r="F116" s="75"/>
      <c r="G116" s="76"/>
      <c r="H116" s="75">
        <f t="shared" si="3"/>
        <v>-16.699999999982538</v>
      </c>
      <c r="I116" s="64"/>
      <c r="J116" s="64"/>
      <c r="K116" s="5"/>
      <c r="M116" s="49"/>
    </row>
    <row r="117" spans="1:13" x14ac:dyDescent="0.25">
      <c r="A117" s="5"/>
      <c r="B117" s="123"/>
      <c r="C117" s="123"/>
      <c r="D117" s="124"/>
      <c r="E117" s="75"/>
      <c r="F117" s="75"/>
      <c r="G117" s="76"/>
      <c r="H117" s="75">
        <f t="shared" si="3"/>
        <v>-16.699999999982538</v>
      </c>
      <c r="I117" s="64"/>
      <c r="J117" s="64"/>
      <c r="K117" s="5"/>
      <c r="M117" s="49"/>
    </row>
    <row r="118" spans="1:13" x14ac:dyDescent="0.25">
      <c r="A118" s="5"/>
      <c r="B118" s="123"/>
      <c r="C118" s="123"/>
      <c r="D118" s="124"/>
      <c r="E118" s="75"/>
      <c r="F118" s="75"/>
      <c r="G118" s="76"/>
      <c r="H118" s="75">
        <f t="shared" si="3"/>
        <v>-16.699999999982538</v>
      </c>
      <c r="I118" s="64"/>
      <c r="J118" s="64"/>
      <c r="K118" s="5"/>
      <c r="M118" s="49"/>
    </row>
    <row r="119" spans="1:13" x14ac:dyDescent="0.25">
      <c r="A119" s="5"/>
      <c r="B119" s="123"/>
      <c r="C119" s="123"/>
      <c r="D119" s="124"/>
      <c r="E119" s="75"/>
      <c r="F119" s="75"/>
      <c r="G119" s="76"/>
      <c r="H119" s="75">
        <f t="shared" si="3"/>
        <v>-16.699999999982538</v>
      </c>
      <c r="I119" s="64"/>
      <c r="J119" s="64"/>
      <c r="K119" s="5"/>
      <c r="M119" s="49"/>
    </row>
    <row r="120" spans="1:13" x14ac:dyDescent="0.25">
      <c r="A120" s="5"/>
      <c r="B120" s="123"/>
      <c r="C120" s="123"/>
      <c r="D120" s="124"/>
      <c r="E120" s="75"/>
      <c r="F120" s="75"/>
      <c r="G120" s="76"/>
      <c r="H120" s="75">
        <f t="shared" si="3"/>
        <v>-16.699999999982538</v>
      </c>
      <c r="I120" s="64"/>
      <c r="J120" s="64"/>
      <c r="K120" s="5"/>
      <c r="M120" s="49"/>
    </row>
    <row r="121" spans="1:13" x14ac:dyDescent="0.25">
      <c r="A121" s="5"/>
      <c r="B121" s="123"/>
      <c r="C121" s="123"/>
      <c r="D121" s="124"/>
      <c r="E121" s="75"/>
      <c r="F121" s="75"/>
      <c r="G121" s="76"/>
      <c r="H121" s="75">
        <f t="shared" si="3"/>
        <v>-16.699999999982538</v>
      </c>
      <c r="I121" s="64"/>
      <c r="J121" s="64"/>
      <c r="K121" s="5"/>
      <c r="M121" s="49"/>
    </row>
    <row r="122" spans="1:13" x14ac:dyDescent="0.25">
      <c r="A122" s="5"/>
      <c r="B122" s="123"/>
      <c r="C122" s="123"/>
      <c r="D122" s="124"/>
      <c r="E122" s="75"/>
      <c r="F122" s="75"/>
      <c r="G122" s="76"/>
      <c r="H122" s="75">
        <f t="shared" si="3"/>
        <v>-16.699999999982538</v>
      </c>
      <c r="I122" s="64"/>
      <c r="J122" s="64"/>
      <c r="K122" s="5"/>
      <c r="M122" s="49"/>
    </row>
    <row r="123" spans="1:13" x14ac:dyDescent="0.25">
      <c r="A123" s="5"/>
      <c r="B123" s="123"/>
      <c r="C123" s="123"/>
      <c r="D123" s="124"/>
      <c r="E123" s="75"/>
      <c r="F123" s="75"/>
      <c r="G123" s="76"/>
      <c r="H123" s="75">
        <f t="shared" si="3"/>
        <v>-16.699999999982538</v>
      </c>
      <c r="I123" s="64"/>
      <c r="J123" s="64"/>
      <c r="K123" s="5"/>
      <c r="M123" s="49"/>
    </row>
    <row r="124" spans="1:13" x14ac:dyDescent="0.25">
      <c r="A124" s="5"/>
      <c r="B124" s="123"/>
      <c r="C124" s="123"/>
      <c r="D124" s="124"/>
      <c r="E124" s="75"/>
      <c r="F124" s="75"/>
      <c r="G124" s="76"/>
      <c r="H124" s="75">
        <f t="shared" si="3"/>
        <v>-16.699999999982538</v>
      </c>
      <c r="I124" s="64"/>
      <c r="J124" s="64"/>
      <c r="K124" s="5"/>
      <c r="M124" s="49"/>
    </row>
    <row r="125" spans="1:13" x14ac:dyDescent="0.25">
      <c r="A125" s="5"/>
      <c r="B125" s="123"/>
      <c r="C125" s="123"/>
      <c r="D125" s="124"/>
      <c r="E125" s="75"/>
      <c r="F125" s="75"/>
      <c r="G125" s="76"/>
      <c r="H125" s="75">
        <f t="shared" si="3"/>
        <v>-16.699999999982538</v>
      </c>
      <c r="I125" s="64"/>
      <c r="J125" s="64"/>
      <c r="K125" s="5"/>
      <c r="M125" s="49"/>
    </row>
    <row r="126" spans="1:13" x14ac:dyDescent="0.25">
      <c r="A126" s="5"/>
      <c r="B126" s="123"/>
      <c r="C126" s="123"/>
      <c r="D126" s="124"/>
      <c r="E126" s="75"/>
      <c r="F126" s="75"/>
      <c r="G126" s="76"/>
      <c r="H126" s="75">
        <f t="shared" si="3"/>
        <v>-16.699999999982538</v>
      </c>
      <c r="I126" s="64"/>
      <c r="J126" s="64"/>
      <c r="K126" s="5"/>
      <c r="M126" s="49"/>
    </row>
    <row r="127" spans="1:13" x14ac:dyDescent="0.25">
      <c r="A127" s="5"/>
      <c r="B127" s="123"/>
      <c r="C127" s="123"/>
      <c r="D127" s="124"/>
      <c r="E127" s="75"/>
      <c r="F127" s="75"/>
      <c r="G127" s="76"/>
      <c r="H127" s="75">
        <f t="shared" si="3"/>
        <v>-16.699999999982538</v>
      </c>
      <c r="I127" s="64"/>
      <c r="J127" s="64"/>
      <c r="K127" s="5"/>
      <c r="M127" s="49"/>
    </row>
    <row r="128" spans="1:13" x14ac:dyDescent="0.25">
      <c r="A128" s="5"/>
      <c r="B128" s="123"/>
      <c r="C128" s="123"/>
      <c r="D128" s="124"/>
      <c r="E128" s="75"/>
      <c r="F128" s="75"/>
      <c r="G128" s="76"/>
      <c r="H128" s="75">
        <f t="shared" si="3"/>
        <v>-16.699999999982538</v>
      </c>
      <c r="I128" s="64"/>
      <c r="J128" s="64"/>
      <c r="K128" s="5"/>
      <c r="M128" s="49"/>
    </row>
    <row r="129" spans="1:11" x14ac:dyDescent="0.25">
      <c r="A129" s="5"/>
      <c r="B129" s="123"/>
      <c r="C129" s="123"/>
      <c r="D129" s="124"/>
      <c r="E129" s="75"/>
      <c r="F129" s="75"/>
      <c r="G129" s="76"/>
      <c r="H129" s="75">
        <f t="shared" si="3"/>
        <v>-16.699999999982538</v>
      </c>
      <c r="I129" s="64"/>
      <c r="J129" s="64"/>
      <c r="K129" s="5"/>
    </row>
    <row r="130" spans="1:11" ht="16.5" thickBot="1" x14ac:dyDescent="0.3">
      <c r="A130" s="5"/>
      <c r="B130" s="23"/>
      <c r="C130" s="23"/>
      <c r="D130" s="24"/>
      <c r="E130" s="19"/>
      <c r="F130" s="12"/>
      <c r="G130" s="11"/>
      <c r="H130" s="27">
        <f>+H129</f>
        <v>-16.699999999982538</v>
      </c>
      <c r="I130" s="10"/>
      <c r="J130" s="10"/>
      <c r="K130" s="5"/>
    </row>
    <row r="131" spans="1:11" ht="16.5" thickTop="1" x14ac:dyDescent="0.25">
      <c r="A131" s="5"/>
      <c r="B131" s="287" t="s">
        <v>55</v>
      </c>
      <c r="C131" s="288"/>
      <c r="D131" s="289"/>
      <c r="E131" s="20">
        <f>SUM(E11:E130)</f>
        <v>0</v>
      </c>
      <c r="F131" s="25">
        <f>SUM(F11:F130)</f>
        <v>0</v>
      </c>
    </row>
    <row r="132" spans="1:11" x14ac:dyDescent="0.25">
      <c r="A132" s="5"/>
      <c r="B132" s="290" t="s">
        <v>102</v>
      </c>
      <c r="C132" s="291"/>
      <c r="D132" s="291"/>
      <c r="E132" s="292"/>
      <c r="F132" s="51">
        <f>+E131-F131</f>
        <v>0</v>
      </c>
      <c r="G132" s="49"/>
    </row>
    <row r="133" spans="1:11" ht="16.5" thickBot="1" x14ac:dyDescent="0.3">
      <c r="A133" s="5"/>
      <c r="B133" s="293" t="s">
        <v>71</v>
      </c>
      <c r="C133" s="294"/>
      <c r="D133" s="294"/>
      <c r="E133" s="295"/>
      <c r="F133" s="52">
        <v>35000</v>
      </c>
      <c r="H133" s="49"/>
      <c r="I133" s="49"/>
    </row>
    <row r="134" spans="1:11" ht="16.5" hidden="1" customHeight="1" thickTop="1" x14ac:dyDescent="0.25">
      <c r="A134" s="5"/>
      <c r="B134" s="287" t="s">
        <v>72</v>
      </c>
      <c r="C134" s="288"/>
      <c r="D134" s="288"/>
      <c r="E134" s="289"/>
      <c r="F134" s="109">
        <f>+F132-F133</f>
        <v>-35000</v>
      </c>
      <c r="G134" s="296"/>
      <c r="H134" s="296"/>
      <c r="I134" s="296"/>
      <c r="J134" s="296"/>
      <c r="K134" s="296"/>
    </row>
    <row r="135" spans="1:11" ht="16.5" thickTop="1" x14ac:dyDescent="0.25">
      <c r="G135" s="296"/>
      <c r="H135" s="296"/>
      <c r="I135" s="296"/>
      <c r="J135" s="296"/>
      <c r="K135" s="296"/>
    </row>
  </sheetData>
  <mergeCells count="8">
    <mergeCell ref="B134:E134"/>
    <mergeCell ref="B132:E132"/>
    <mergeCell ref="B2:J2"/>
    <mergeCell ref="B3:J3"/>
    <mergeCell ref="B131:D131"/>
    <mergeCell ref="B133:E133"/>
    <mergeCell ref="G134:K135"/>
    <mergeCell ref="B11:E11"/>
  </mergeCells>
  <printOptions horizontalCentered="1"/>
  <pageMargins left="0.31496062992125984" right="0.31496062992125984" top="0.39370078740157483" bottom="0.74803149606299213" header="0.31496062992125984" footer="0.31496062992125984"/>
  <pageSetup paperSize="9" scale="75" orientation="portrait" horizontalDpi="0" verticalDpi="0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42"/>
  <dimension ref="A1:K38"/>
  <sheetViews>
    <sheetView topLeftCell="A18" workbookViewId="0">
      <selection activeCell="E28" sqref="E28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5703125" style="1" customWidth="1"/>
    <col min="10" max="10" width="10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34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74333570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58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16">
        <v>30000</v>
      </c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297" t="s">
        <v>171</v>
      </c>
      <c r="C11" s="298"/>
      <c r="D11" s="298"/>
      <c r="E11" s="299"/>
      <c r="F11" s="12"/>
      <c r="G11" s="22"/>
      <c r="H11" s="12">
        <v>-141.5</v>
      </c>
      <c r="I11" s="10"/>
      <c r="J11" s="21"/>
      <c r="K11" s="5"/>
    </row>
    <row r="12" spans="1:11" x14ac:dyDescent="0.25">
      <c r="A12" s="5"/>
      <c r="B12" s="14"/>
      <c r="C12" s="14"/>
      <c r="D12" s="22"/>
      <c r="E12" s="12"/>
      <c r="F12" s="12"/>
      <c r="G12" s="11"/>
      <c r="H12" s="12">
        <f>+H11+E12-F12</f>
        <v>-141.5</v>
      </c>
      <c r="I12" s="10"/>
      <c r="J12" s="15"/>
      <c r="K12" s="5"/>
    </row>
    <row r="13" spans="1:11" x14ac:dyDescent="0.25">
      <c r="A13" s="5"/>
      <c r="B13" s="14"/>
      <c r="C13" s="14"/>
      <c r="D13" s="22"/>
      <c r="E13" s="12"/>
      <c r="F13" s="12"/>
      <c r="G13" s="11"/>
      <c r="H13" s="12">
        <f t="shared" ref="H13:H32" si="0">+H12+E13-F13</f>
        <v>-141.5</v>
      </c>
      <c r="I13" s="10"/>
      <c r="J13" s="15"/>
      <c r="K13" s="5"/>
    </row>
    <row r="14" spans="1:11" x14ac:dyDescent="0.25">
      <c r="A14" s="5"/>
      <c r="B14" s="14"/>
      <c r="C14" s="14"/>
      <c r="D14" s="22"/>
      <c r="E14" s="12"/>
      <c r="F14" s="12"/>
      <c r="G14" s="11"/>
      <c r="H14" s="12">
        <f t="shared" si="0"/>
        <v>-141.5</v>
      </c>
      <c r="I14" s="10"/>
      <c r="J14" s="10"/>
      <c r="K14" s="5"/>
    </row>
    <row r="15" spans="1:11" x14ac:dyDescent="0.25">
      <c r="A15" s="5"/>
      <c r="B15" s="14"/>
      <c r="C15" s="14"/>
      <c r="D15" s="22"/>
      <c r="E15" s="12"/>
      <c r="F15" s="12"/>
      <c r="G15" s="11"/>
      <c r="H15" s="12">
        <f t="shared" si="0"/>
        <v>-141.5</v>
      </c>
      <c r="I15" s="10"/>
      <c r="J15" s="10"/>
      <c r="K15" s="5"/>
    </row>
    <row r="16" spans="1:11" x14ac:dyDescent="0.25">
      <c r="A16" s="5"/>
      <c r="B16" s="23"/>
      <c r="C16" s="23"/>
      <c r="D16" s="24"/>
      <c r="E16" s="19"/>
      <c r="F16" s="12"/>
      <c r="G16" s="11"/>
      <c r="H16" s="12">
        <f t="shared" si="0"/>
        <v>-141.5</v>
      </c>
      <c r="I16" s="10"/>
      <c r="J16" s="10"/>
      <c r="K16" s="5"/>
    </row>
    <row r="17" spans="1:11" x14ac:dyDescent="0.25">
      <c r="A17" s="5"/>
      <c r="B17" s="23"/>
      <c r="C17" s="23"/>
      <c r="D17" s="24"/>
      <c r="E17" s="19"/>
      <c r="F17" s="12"/>
      <c r="G17" s="18"/>
      <c r="H17" s="12">
        <f t="shared" si="0"/>
        <v>-141.5</v>
      </c>
      <c r="I17" s="10"/>
      <c r="J17" s="10"/>
      <c r="K17" s="5"/>
    </row>
    <row r="18" spans="1:11" x14ac:dyDescent="0.25">
      <c r="A18" s="5"/>
      <c r="B18" s="23"/>
      <c r="C18" s="23"/>
      <c r="D18" s="24"/>
      <c r="E18" s="19"/>
      <c r="F18" s="12"/>
      <c r="G18" s="11"/>
      <c r="H18" s="12">
        <f t="shared" si="0"/>
        <v>-141.5</v>
      </c>
      <c r="I18" s="10"/>
      <c r="J18" s="10"/>
      <c r="K18" s="5"/>
    </row>
    <row r="19" spans="1:11" x14ac:dyDescent="0.25">
      <c r="A19" s="5"/>
      <c r="B19" s="23"/>
      <c r="C19" s="23"/>
      <c r="D19" s="24"/>
      <c r="E19" s="19"/>
      <c r="F19" s="12"/>
      <c r="G19" s="11"/>
      <c r="H19" s="12">
        <f t="shared" si="0"/>
        <v>-141.5</v>
      </c>
      <c r="I19" s="10"/>
      <c r="J19" s="10"/>
      <c r="K19" s="5"/>
    </row>
    <row r="20" spans="1:11" x14ac:dyDescent="0.25">
      <c r="A20" s="5"/>
      <c r="B20" s="23"/>
      <c r="C20" s="23"/>
      <c r="D20" s="24"/>
      <c r="E20" s="19"/>
      <c r="F20" s="12"/>
      <c r="G20" s="11"/>
      <c r="H20" s="12">
        <f>+H19+E20-F20</f>
        <v>-141.5</v>
      </c>
      <c r="I20" s="10"/>
      <c r="J20" s="10"/>
      <c r="K20" s="5"/>
    </row>
    <row r="21" spans="1:11" x14ac:dyDescent="0.25">
      <c r="A21" s="5"/>
      <c r="B21" s="23"/>
      <c r="C21" s="23"/>
      <c r="D21" s="24"/>
      <c r="E21" s="19"/>
      <c r="F21" s="12"/>
      <c r="G21" s="11"/>
      <c r="H21" s="12">
        <f>+H20+E21-F21</f>
        <v>-141.5</v>
      </c>
      <c r="I21" s="10"/>
      <c r="J21" s="10"/>
      <c r="K21" s="5"/>
    </row>
    <row r="22" spans="1:11" x14ac:dyDescent="0.25">
      <c r="A22" s="5"/>
      <c r="B22" s="23"/>
      <c r="C22" s="23"/>
      <c r="D22" s="24"/>
      <c r="E22" s="19"/>
      <c r="F22" s="12"/>
      <c r="G22" s="11"/>
      <c r="H22" s="12">
        <f>+H21+E22-F22</f>
        <v>-141.5</v>
      </c>
      <c r="I22" s="10"/>
      <c r="J22" s="10"/>
      <c r="K22" s="5"/>
    </row>
    <row r="23" spans="1:11" x14ac:dyDescent="0.25">
      <c r="A23" s="5"/>
      <c r="B23" s="23"/>
      <c r="C23" s="23"/>
      <c r="D23" s="24"/>
      <c r="E23" s="19"/>
      <c r="F23" s="12"/>
      <c r="G23" s="11"/>
      <c r="H23" s="12">
        <f t="shared" si="0"/>
        <v>-141.5</v>
      </c>
      <c r="I23" s="10"/>
      <c r="J23" s="10"/>
      <c r="K23" s="5"/>
    </row>
    <row r="24" spans="1:11" x14ac:dyDescent="0.25">
      <c r="A24" s="5"/>
      <c r="B24" s="23"/>
      <c r="C24" s="23"/>
      <c r="D24" s="24"/>
      <c r="E24" s="19"/>
      <c r="F24" s="75"/>
      <c r="G24" s="76"/>
      <c r="H24" s="12">
        <f t="shared" si="0"/>
        <v>-141.5</v>
      </c>
      <c r="I24" s="10"/>
      <c r="J24" s="10"/>
      <c r="K24" s="5"/>
    </row>
    <row r="25" spans="1:11" x14ac:dyDescent="0.25">
      <c r="A25" s="5"/>
      <c r="B25" s="23"/>
      <c r="C25" s="23"/>
      <c r="D25" s="24"/>
      <c r="E25" s="19"/>
      <c r="F25" s="12"/>
      <c r="G25" s="11"/>
      <c r="H25" s="12">
        <f t="shared" si="0"/>
        <v>-141.5</v>
      </c>
      <c r="I25" s="10"/>
      <c r="J25" s="10"/>
      <c r="K25" s="5"/>
    </row>
    <row r="26" spans="1:11" x14ac:dyDescent="0.25">
      <c r="A26" s="5"/>
      <c r="B26" s="23"/>
      <c r="C26" s="23"/>
      <c r="D26" s="24"/>
      <c r="E26" s="19"/>
      <c r="F26" s="12"/>
      <c r="G26" s="11"/>
      <c r="H26" s="12">
        <f t="shared" si="0"/>
        <v>-141.5</v>
      </c>
      <c r="I26" s="10"/>
      <c r="J26" s="10"/>
      <c r="K26" s="5"/>
    </row>
    <row r="27" spans="1:11" x14ac:dyDescent="0.25">
      <c r="A27" s="5"/>
      <c r="B27" s="23"/>
      <c r="C27" s="23"/>
      <c r="D27" s="24"/>
      <c r="E27" s="19"/>
      <c r="F27" s="12"/>
      <c r="G27" s="11"/>
      <c r="H27" s="12">
        <f t="shared" si="0"/>
        <v>-141.5</v>
      </c>
      <c r="I27" s="10"/>
      <c r="J27" s="10"/>
      <c r="K27" s="5"/>
    </row>
    <row r="28" spans="1:11" x14ac:dyDescent="0.25">
      <c r="A28" s="5"/>
      <c r="B28" s="23"/>
      <c r="C28" s="23"/>
      <c r="D28" s="24"/>
      <c r="E28" s="19"/>
      <c r="F28" s="12"/>
      <c r="G28" s="11"/>
      <c r="H28" s="12">
        <f t="shared" si="0"/>
        <v>-141.5</v>
      </c>
      <c r="I28" s="10"/>
      <c r="J28" s="10"/>
      <c r="K28" s="5"/>
    </row>
    <row r="29" spans="1:11" x14ac:dyDescent="0.25">
      <c r="A29" s="5"/>
      <c r="B29" s="23"/>
      <c r="C29" s="23"/>
      <c r="D29" s="24"/>
      <c r="E29" s="19"/>
      <c r="F29" s="12"/>
      <c r="G29" s="11"/>
      <c r="H29" s="12">
        <f t="shared" si="0"/>
        <v>-141.5</v>
      </c>
      <c r="I29" s="10"/>
      <c r="J29" s="10"/>
      <c r="K29" s="5"/>
    </row>
    <row r="30" spans="1:11" x14ac:dyDescent="0.25">
      <c r="A30" s="5"/>
      <c r="B30" s="23"/>
      <c r="C30" s="23"/>
      <c r="D30" s="24"/>
      <c r="E30" s="19"/>
      <c r="F30" s="12"/>
      <c r="G30" s="11"/>
      <c r="H30" s="12">
        <f t="shared" si="0"/>
        <v>-141.5</v>
      </c>
      <c r="I30" s="10"/>
      <c r="J30" s="10"/>
      <c r="K30" s="5"/>
    </row>
    <row r="31" spans="1:11" x14ac:dyDescent="0.25">
      <c r="A31" s="5"/>
      <c r="B31" s="23"/>
      <c r="C31" s="23"/>
      <c r="D31" s="24"/>
      <c r="E31" s="19"/>
      <c r="F31" s="12"/>
      <c r="G31" s="11"/>
      <c r="H31" s="12">
        <f t="shared" si="0"/>
        <v>-141.5</v>
      </c>
      <c r="I31" s="10"/>
      <c r="J31" s="10"/>
      <c r="K31" s="5"/>
    </row>
    <row r="32" spans="1:11" x14ac:dyDescent="0.25">
      <c r="A32" s="5"/>
      <c r="B32" s="23"/>
      <c r="C32" s="23"/>
      <c r="D32" s="24"/>
      <c r="E32" s="19"/>
      <c r="F32" s="12"/>
      <c r="G32" s="11"/>
      <c r="H32" s="12">
        <f t="shared" si="0"/>
        <v>-141.5</v>
      </c>
      <c r="I32" s="10"/>
      <c r="J32" s="10"/>
      <c r="K32" s="5"/>
    </row>
    <row r="33" spans="1:11" x14ac:dyDescent="0.25">
      <c r="A33" s="5"/>
      <c r="B33" s="23"/>
      <c r="C33" s="23"/>
      <c r="D33" s="24"/>
      <c r="E33" s="19"/>
      <c r="F33" s="12"/>
      <c r="G33" s="11"/>
      <c r="H33" s="12">
        <f>+H32+E33-F33</f>
        <v>-141.5</v>
      </c>
      <c r="I33" s="10"/>
      <c r="J33" s="10"/>
      <c r="K33" s="5"/>
    </row>
    <row r="34" spans="1:11" ht="16.5" thickBot="1" x14ac:dyDescent="0.3">
      <c r="A34" s="5"/>
      <c r="B34" s="23"/>
      <c r="C34" s="23"/>
      <c r="D34" s="24"/>
      <c r="E34" s="19"/>
      <c r="F34" s="12"/>
      <c r="G34" s="11"/>
      <c r="H34" s="27">
        <f>+H33+E34-F34</f>
        <v>-141.5</v>
      </c>
      <c r="I34" s="10"/>
      <c r="J34" s="10"/>
      <c r="K34" s="5"/>
    </row>
    <row r="35" spans="1:11" ht="16.5" thickTop="1" x14ac:dyDescent="0.25">
      <c r="A35" s="5"/>
      <c r="B35" s="268" t="s">
        <v>55</v>
      </c>
      <c r="C35" s="268"/>
      <c r="D35" s="268"/>
      <c r="E35" s="20">
        <f>SUM(E11:E34)</f>
        <v>0</v>
      </c>
      <c r="F35" s="25">
        <f>SUM(F11:F34)</f>
        <v>0</v>
      </c>
      <c r="G35" s="5"/>
      <c r="H35" s="5"/>
      <c r="I35" s="5"/>
      <c r="J35" s="5"/>
      <c r="K35" s="5"/>
    </row>
    <row r="36" spans="1:11" x14ac:dyDescent="0.25">
      <c r="A36" s="5"/>
      <c r="B36" s="276" t="s">
        <v>67</v>
      </c>
      <c r="C36" s="276"/>
      <c r="D36" s="276"/>
      <c r="E36" s="276"/>
      <c r="F36" s="51">
        <f>+E35-F35</f>
        <v>0</v>
      </c>
      <c r="G36" s="5"/>
      <c r="H36" s="5"/>
      <c r="I36" s="5"/>
      <c r="J36" s="5"/>
      <c r="K36" s="5"/>
    </row>
    <row r="37" spans="1:11" ht="16.5" thickBot="1" x14ac:dyDescent="0.3">
      <c r="A37" s="5"/>
      <c r="B37" s="277" t="s">
        <v>71</v>
      </c>
      <c r="C37" s="277"/>
      <c r="D37" s="277"/>
      <c r="E37" s="277"/>
      <c r="F37" s="52">
        <f>+D8</f>
        <v>30000</v>
      </c>
      <c r="G37" s="5"/>
      <c r="H37" s="16"/>
      <c r="I37" s="16"/>
      <c r="J37" s="5"/>
      <c r="K37" s="5"/>
    </row>
    <row r="38" spans="1:11" ht="16.5" thickTop="1" x14ac:dyDescent="0.25">
      <c r="A38" s="5"/>
      <c r="B38" s="275" t="s">
        <v>72</v>
      </c>
      <c r="C38" s="275"/>
      <c r="D38" s="275"/>
      <c r="E38" s="275"/>
      <c r="F38" s="53">
        <f>+F36-F37</f>
        <v>-30000</v>
      </c>
      <c r="G38" s="5"/>
      <c r="H38" s="16"/>
      <c r="I38" s="5"/>
      <c r="J38" s="5"/>
      <c r="K38" s="5"/>
    </row>
  </sheetData>
  <mergeCells count="7">
    <mergeCell ref="B38:E38"/>
    <mergeCell ref="B36:E36"/>
    <mergeCell ref="B2:J2"/>
    <mergeCell ref="B3:J3"/>
    <mergeCell ref="B35:D35"/>
    <mergeCell ref="B37:E37"/>
    <mergeCell ref="B11:E11"/>
  </mergeCells>
  <pageMargins left="0.7" right="0.7" top="0.75" bottom="0.75" header="0.3" footer="0.3"/>
  <pageSetup scale="70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43"/>
  <dimension ref="A1:N26"/>
  <sheetViews>
    <sheetView workbookViewId="0">
      <selection activeCell="G22" sqref="G22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1.85546875" style="1" customWidth="1"/>
    <col min="4" max="4" width="13.14062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1.42578125" style="1" customWidth="1"/>
    <col min="10" max="10" width="11.7109375" style="1" customWidth="1"/>
    <col min="11" max="11" width="5" style="1" customWidth="1"/>
    <col min="12" max="16384" width="11.42578125" style="1"/>
  </cols>
  <sheetData>
    <row r="1" spans="1:14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4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4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4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4" x14ac:dyDescent="0.25">
      <c r="A5" s="5"/>
      <c r="B5" s="7"/>
      <c r="C5" s="8" t="s">
        <v>49</v>
      </c>
      <c r="D5" s="5" t="s">
        <v>39</v>
      </c>
      <c r="E5" s="9"/>
      <c r="F5" s="9"/>
      <c r="G5" s="9"/>
      <c r="H5" s="9"/>
      <c r="I5" s="9"/>
      <c r="J5" s="9"/>
      <c r="K5" s="5"/>
    </row>
    <row r="6" spans="1:14" x14ac:dyDescent="0.25">
      <c r="A6" s="5"/>
      <c r="B6" s="7"/>
      <c r="C6" s="8" t="s">
        <v>45</v>
      </c>
      <c r="D6" s="13">
        <v>64309758</v>
      </c>
      <c r="E6" s="9"/>
      <c r="F6" s="9"/>
      <c r="G6" s="9"/>
      <c r="H6" s="9"/>
      <c r="I6" s="9"/>
      <c r="J6" s="9"/>
      <c r="K6" s="5"/>
    </row>
    <row r="7" spans="1:14" x14ac:dyDescent="0.25">
      <c r="A7" s="5"/>
      <c r="B7" s="7"/>
      <c r="C7" s="8" t="s">
        <v>48</v>
      </c>
      <c r="D7" s="5" t="s">
        <v>62</v>
      </c>
      <c r="E7" s="9"/>
      <c r="F7" s="9"/>
      <c r="G7" s="9"/>
      <c r="H7" s="9"/>
      <c r="I7" s="9"/>
      <c r="J7" s="9"/>
      <c r="K7" s="5"/>
    </row>
    <row r="8" spans="1:14" x14ac:dyDescent="0.25">
      <c r="A8" s="5"/>
      <c r="B8" s="7"/>
      <c r="C8" s="8" t="s">
        <v>47</v>
      </c>
      <c r="D8" s="16">
        <v>80000</v>
      </c>
      <c r="E8" s="9"/>
      <c r="F8" s="9"/>
      <c r="G8" s="9"/>
      <c r="H8" s="9"/>
      <c r="I8" s="9"/>
      <c r="J8" s="9"/>
      <c r="K8" s="5"/>
    </row>
    <row r="9" spans="1:14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4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4" x14ac:dyDescent="0.25">
      <c r="A11" s="5"/>
      <c r="B11" s="14">
        <v>230816</v>
      </c>
      <c r="C11" s="14">
        <v>436</v>
      </c>
      <c r="D11" s="22">
        <v>45149</v>
      </c>
      <c r="E11" s="12">
        <v>38980</v>
      </c>
      <c r="F11" s="12">
        <v>38980</v>
      </c>
      <c r="G11" s="22">
        <v>45155</v>
      </c>
      <c r="H11" s="12">
        <f>+E11-F11</f>
        <v>0</v>
      </c>
      <c r="I11" s="10"/>
      <c r="J11" s="21"/>
      <c r="K11" s="5"/>
    </row>
    <row r="12" spans="1:14" x14ac:dyDescent="0.25">
      <c r="A12" s="5"/>
      <c r="B12" s="14">
        <v>230827</v>
      </c>
      <c r="C12" s="14">
        <v>447</v>
      </c>
      <c r="D12" s="22">
        <v>45155</v>
      </c>
      <c r="E12" s="12">
        <v>37501.4</v>
      </c>
      <c r="F12" s="12">
        <v>2445</v>
      </c>
      <c r="G12" s="22">
        <v>45174</v>
      </c>
      <c r="H12" s="12">
        <f>+H11+E12-F12</f>
        <v>35056.400000000001</v>
      </c>
      <c r="I12" s="10"/>
      <c r="J12" s="15"/>
      <c r="K12" s="5"/>
    </row>
    <row r="13" spans="1:14" x14ac:dyDescent="0.25">
      <c r="A13" s="5"/>
      <c r="B13" s="14">
        <v>230908</v>
      </c>
      <c r="C13" s="14">
        <v>481</v>
      </c>
      <c r="D13" s="22">
        <v>45173</v>
      </c>
      <c r="E13" s="12">
        <v>2445</v>
      </c>
      <c r="F13" s="75"/>
      <c r="G13" s="76"/>
      <c r="H13" s="12">
        <f t="shared" ref="H13:H22" si="0">+H12+E13-F13</f>
        <v>37501.4</v>
      </c>
      <c r="I13" s="10"/>
      <c r="J13" s="15"/>
      <c r="K13" s="5"/>
      <c r="M13" s="1">
        <v>10000</v>
      </c>
      <c r="N13" s="1" t="s">
        <v>95</v>
      </c>
    </row>
    <row r="14" spans="1:14" x14ac:dyDescent="0.25">
      <c r="A14" s="5"/>
      <c r="B14" s="14"/>
      <c r="C14" s="14"/>
      <c r="D14" s="22"/>
      <c r="E14" s="12"/>
      <c r="F14" s="12"/>
      <c r="G14" s="11"/>
      <c r="H14" s="12">
        <f t="shared" si="0"/>
        <v>37501.4</v>
      </c>
      <c r="I14" s="10"/>
      <c r="J14" s="10"/>
      <c r="K14" s="5"/>
    </row>
    <row r="15" spans="1:14" hidden="1" x14ac:dyDescent="0.25">
      <c r="A15" s="5"/>
      <c r="B15" s="14"/>
      <c r="C15" s="14"/>
      <c r="D15" s="22"/>
      <c r="E15" s="12"/>
      <c r="F15" s="12"/>
      <c r="G15" s="11"/>
      <c r="H15" s="12">
        <f t="shared" si="0"/>
        <v>37501.4</v>
      </c>
      <c r="I15" s="10"/>
      <c r="J15" s="10"/>
      <c r="K15" s="5"/>
    </row>
    <row r="16" spans="1:14" hidden="1" x14ac:dyDescent="0.25">
      <c r="A16" s="5"/>
      <c r="B16" s="23"/>
      <c r="C16" s="23"/>
      <c r="D16" s="24"/>
      <c r="E16" s="19"/>
      <c r="F16" s="12"/>
      <c r="G16" s="11"/>
      <c r="H16" s="12">
        <f t="shared" si="0"/>
        <v>37501.4</v>
      </c>
      <c r="I16" s="10"/>
      <c r="J16" s="10"/>
      <c r="K16" s="5"/>
    </row>
    <row r="17" spans="1:11" hidden="1" x14ac:dyDescent="0.25">
      <c r="A17" s="5"/>
      <c r="B17" s="23"/>
      <c r="C17" s="23"/>
      <c r="D17" s="24"/>
      <c r="E17" s="19"/>
      <c r="F17" s="12"/>
      <c r="G17" s="18"/>
      <c r="H17" s="12">
        <f t="shared" si="0"/>
        <v>37501.4</v>
      </c>
      <c r="I17" s="10"/>
      <c r="J17" s="10"/>
      <c r="K17" s="5"/>
    </row>
    <row r="18" spans="1:11" hidden="1" x14ac:dyDescent="0.25">
      <c r="A18" s="5"/>
      <c r="B18" s="23"/>
      <c r="C18" s="23"/>
      <c r="D18" s="24"/>
      <c r="E18" s="19"/>
      <c r="F18" s="12"/>
      <c r="G18" s="11"/>
      <c r="H18" s="12">
        <f t="shared" si="0"/>
        <v>37501.4</v>
      </c>
      <c r="I18" s="10"/>
      <c r="J18" s="10"/>
      <c r="K18" s="5"/>
    </row>
    <row r="19" spans="1:11" hidden="1" x14ac:dyDescent="0.25">
      <c r="A19" s="5"/>
      <c r="B19" s="23"/>
      <c r="C19" s="23"/>
      <c r="D19" s="24"/>
      <c r="E19" s="19"/>
      <c r="F19" s="12"/>
      <c r="G19" s="11"/>
      <c r="H19" s="12">
        <f t="shared" si="0"/>
        <v>37501.4</v>
      </c>
      <c r="I19" s="10"/>
      <c r="J19" s="10"/>
      <c r="K19" s="5"/>
    </row>
    <row r="20" spans="1:11" x14ac:dyDescent="0.25">
      <c r="A20" s="5"/>
      <c r="B20" s="23"/>
      <c r="C20" s="23"/>
      <c r="D20" s="24"/>
      <c r="E20" s="19"/>
      <c r="F20" s="12"/>
      <c r="G20" s="11"/>
      <c r="H20" s="12">
        <f t="shared" si="0"/>
        <v>37501.4</v>
      </c>
      <c r="I20" s="10"/>
      <c r="J20" s="10"/>
      <c r="K20" s="5"/>
    </row>
    <row r="21" spans="1:11" x14ac:dyDescent="0.25">
      <c r="A21" s="5"/>
      <c r="B21" s="23"/>
      <c r="C21" s="23"/>
      <c r="D21" s="24"/>
      <c r="E21" s="19"/>
      <c r="F21" s="12"/>
      <c r="G21" s="11"/>
      <c r="H21" s="12">
        <f t="shared" si="0"/>
        <v>37501.4</v>
      </c>
      <c r="I21" s="10"/>
      <c r="J21" s="10"/>
      <c r="K21" s="5"/>
    </row>
    <row r="22" spans="1:11" ht="16.5" thickBot="1" x14ac:dyDescent="0.3">
      <c r="A22" s="5"/>
      <c r="B22" s="23"/>
      <c r="C22" s="23"/>
      <c r="D22" s="24"/>
      <c r="E22" s="19"/>
      <c r="F22" s="12"/>
      <c r="G22" s="11"/>
      <c r="H22" s="27">
        <f t="shared" si="0"/>
        <v>37501.4</v>
      </c>
      <c r="I22" s="10"/>
      <c r="J22" s="10"/>
      <c r="K22" s="5"/>
    </row>
    <row r="23" spans="1:11" ht="17.25" thickTop="1" thickBot="1" x14ac:dyDescent="0.3">
      <c r="A23" s="5"/>
      <c r="B23" s="300" t="s">
        <v>55</v>
      </c>
      <c r="C23" s="300"/>
      <c r="D23" s="300"/>
      <c r="E23" s="25">
        <f>SUM(E11:E22)</f>
        <v>78926.399999999994</v>
      </c>
      <c r="F23" s="25">
        <f>SUM(F11:F22)</f>
        <v>41425</v>
      </c>
      <c r="G23" s="5"/>
      <c r="H23" s="5"/>
      <c r="I23" s="5"/>
      <c r="J23" s="5"/>
      <c r="K23" s="5"/>
    </row>
    <row r="24" spans="1:11" ht="16.5" thickBot="1" x14ac:dyDescent="0.3">
      <c r="A24" s="5"/>
      <c r="B24" s="301" t="s">
        <v>96</v>
      </c>
      <c r="C24" s="302"/>
      <c r="D24" s="302"/>
      <c r="E24" s="303"/>
      <c r="F24" s="26">
        <f>+E23-F23</f>
        <v>37501.399999999994</v>
      </c>
      <c r="G24" s="5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16"/>
      <c r="I25" s="16"/>
      <c r="J25" s="5"/>
      <c r="K25" s="5"/>
    </row>
    <row r="26" spans="1:11" x14ac:dyDescent="0.25">
      <c r="A26" s="5"/>
      <c r="B26" s="5"/>
      <c r="C26" s="5"/>
      <c r="D26" s="5"/>
      <c r="E26" s="5"/>
      <c r="F26" s="5"/>
      <c r="G26" s="5"/>
      <c r="H26" s="16"/>
      <c r="I26" s="5"/>
      <c r="J26" s="5"/>
      <c r="K26" s="5"/>
    </row>
  </sheetData>
  <mergeCells count="4">
    <mergeCell ref="B2:J2"/>
    <mergeCell ref="B3:J3"/>
    <mergeCell ref="B23:D23"/>
    <mergeCell ref="B24:E24"/>
  </mergeCells>
  <pageMargins left="0.25" right="0.25" top="0.75" bottom="0.75" header="0.3" footer="0.3"/>
  <pageSetup scale="80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44"/>
  <dimension ref="A1:M135"/>
  <sheetViews>
    <sheetView workbookViewId="0">
      <selection activeCell="G12" sqref="G12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7" width="14.85546875" style="1" customWidth="1"/>
    <col min="8" max="8" width="14.28515625" style="1" customWidth="1"/>
    <col min="9" max="9" width="13.42578125" style="1" hidden="1" customWidth="1"/>
    <col min="10" max="10" width="23.7109375" style="1" customWidth="1"/>
    <col min="11" max="11" width="5" style="1" customWidth="1"/>
    <col min="12" max="13" width="12.42578125" style="1" bestFit="1" customWidth="1"/>
    <col min="14" max="16384" width="11.42578125" style="1"/>
  </cols>
  <sheetData>
    <row r="1" spans="1:12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2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2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2" x14ac:dyDescent="0.25">
      <c r="A5" s="5"/>
      <c r="B5" s="7"/>
      <c r="C5" s="8" t="s">
        <v>49</v>
      </c>
      <c r="D5" s="5" t="s">
        <v>73</v>
      </c>
      <c r="E5" s="9"/>
      <c r="F5" s="9"/>
      <c r="G5" s="9"/>
      <c r="H5" s="9"/>
      <c r="I5" s="9"/>
      <c r="J5" s="9"/>
      <c r="K5" s="5"/>
    </row>
    <row r="6" spans="1:12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2" x14ac:dyDescent="0.25">
      <c r="A7" s="5"/>
      <c r="B7" s="7"/>
      <c r="C7" s="8" t="s">
        <v>48</v>
      </c>
      <c r="D7" s="5" t="s">
        <v>74</v>
      </c>
      <c r="E7" s="9"/>
      <c r="F7" s="9"/>
      <c r="G7" s="9"/>
      <c r="H7" s="9"/>
      <c r="I7" s="9"/>
      <c r="J7" s="9"/>
      <c r="K7" s="5"/>
    </row>
    <row r="8" spans="1:12" x14ac:dyDescent="0.25">
      <c r="A8" s="5"/>
      <c r="B8" s="7"/>
      <c r="C8" s="8" t="s">
        <v>47</v>
      </c>
      <c r="D8" s="16"/>
      <c r="E8" s="9"/>
      <c r="F8" s="9"/>
      <c r="G8" s="9"/>
      <c r="H8" s="9"/>
      <c r="I8" s="9"/>
      <c r="J8" s="9"/>
      <c r="K8" s="5"/>
    </row>
    <row r="9" spans="1:12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2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2" x14ac:dyDescent="0.25">
      <c r="A11" s="5"/>
      <c r="B11" s="123">
        <v>250417</v>
      </c>
      <c r="C11" s="123">
        <v>1712</v>
      </c>
      <c r="D11" s="124">
        <v>45763</v>
      </c>
      <c r="E11" s="75">
        <v>66990.5</v>
      </c>
      <c r="F11" s="75">
        <v>26990</v>
      </c>
      <c r="G11" s="161">
        <v>45763</v>
      </c>
      <c r="H11" s="12">
        <f>+E11-F11</f>
        <v>40000.5</v>
      </c>
      <c r="I11" s="10"/>
      <c r="J11" s="10" t="s">
        <v>177</v>
      </c>
      <c r="K11" s="5" t="s">
        <v>135</v>
      </c>
    </row>
    <row r="12" spans="1:12" x14ac:dyDescent="0.25">
      <c r="A12" s="5"/>
      <c r="B12" s="123"/>
      <c r="C12" s="123"/>
      <c r="D12" s="124"/>
      <c r="E12" s="75"/>
      <c r="F12" s="75">
        <v>40000</v>
      </c>
      <c r="G12" s="76">
        <v>45763</v>
      </c>
      <c r="H12" s="12">
        <f>+H11+E12-F12</f>
        <v>0.5</v>
      </c>
      <c r="I12" s="10"/>
      <c r="J12" s="10" t="s">
        <v>177</v>
      </c>
      <c r="K12" s="5" t="s">
        <v>135</v>
      </c>
    </row>
    <row r="13" spans="1:12" x14ac:dyDescent="0.25">
      <c r="A13" s="5"/>
      <c r="B13" s="123">
        <v>250441</v>
      </c>
      <c r="C13" s="123">
        <v>1733</v>
      </c>
      <c r="D13" s="124">
        <v>45775</v>
      </c>
      <c r="E13" s="75">
        <v>61319.5</v>
      </c>
      <c r="F13" s="75">
        <v>50000</v>
      </c>
      <c r="G13" s="76">
        <v>45775</v>
      </c>
      <c r="H13" s="12">
        <f t="shared" ref="H13:H76" si="0">+H12+E13-F13</f>
        <v>11320</v>
      </c>
      <c r="I13" s="10"/>
      <c r="J13" s="10" t="s">
        <v>183</v>
      </c>
      <c r="K13" s="5" t="s">
        <v>136</v>
      </c>
    </row>
    <row r="14" spans="1:12" ht="16.5" thickBot="1" x14ac:dyDescent="0.3">
      <c r="A14" s="5"/>
      <c r="B14" s="168"/>
      <c r="C14" s="168"/>
      <c r="D14" s="169"/>
      <c r="E14" s="170"/>
      <c r="F14" s="170">
        <v>11569.5</v>
      </c>
      <c r="G14" s="171">
        <v>45410</v>
      </c>
      <c r="H14" s="85">
        <f t="shared" si="0"/>
        <v>-249.5</v>
      </c>
      <c r="I14" s="87"/>
      <c r="J14" s="87" t="s">
        <v>177</v>
      </c>
      <c r="K14" s="5" t="s">
        <v>135</v>
      </c>
      <c r="L14" s="49">
        <f>SUM(F11:F14)</f>
        <v>128559.5</v>
      </c>
    </row>
    <row r="15" spans="1:12" ht="16.5" thickTop="1" x14ac:dyDescent="0.25">
      <c r="A15" s="5"/>
      <c r="B15" s="165">
        <v>250507</v>
      </c>
      <c r="C15" s="165">
        <v>1746</v>
      </c>
      <c r="D15" s="166">
        <v>45789</v>
      </c>
      <c r="E15" s="108">
        <v>58886</v>
      </c>
      <c r="F15" s="108">
        <v>50000</v>
      </c>
      <c r="G15" s="167">
        <v>45786</v>
      </c>
      <c r="H15" s="80">
        <f t="shared" si="0"/>
        <v>8636.5</v>
      </c>
      <c r="I15" s="82"/>
      <c r="J15" s="10" t="s">
        <v>183</v>
      </c>
      <c r="K15" s="5" t="s">
        <v>136</v>
      </c>
    </row>
    <row r="16" spans="1:12" x14ac:dyDescent="0.25">
      <c r="A16" s="5"/>
      <c r="B16" s="123"/>
      <c r="C16" s="123"/>
      <c r="D16" s="124"/>
      <c r="E16" s="75"/>
      <c r="F16" s="75">
        <v>8546</v>
      </c>
      <c r="G16" s="76">
        <v>45789</v>
      </c>
      <c r="H16" s="12">
        <f t="shared" si="0"/>
        <v>90.5</v>
      </c>
      <c r="I16" s="10"/>
      <c r="J16" s="10" t="s">
        <v>177</v>
      </c>
      <c r="K16" s="5" t="s">
        <v>135</v>
      </c>
    </row>
    <row r="17" spans="1:12" x14ac:dyDescent="0.25">
      <c r="A17" s="5"/>
      <c r="B17" s="123">
        <v>250517</v>
      </c>
      <c r="C17" s="123">
        <v>1765</v>
      </c>
      <c r="D17" s="124">
        <v>45801</v>
      </c>
      <c r="E17" s="75">
        <v>79464.5</v>
      </c>
      <c r="F17" s="75">
        <v>45000</v>
      </c>
      <c r="G17" s="76">
        <v>45801</v>
      </c>
      <c r="H17" s="12">
        <f t="shared" si="0"/>
        <v>34555</v>
      </c>
      <c r="I17" s="10"/>
      <c r="J17" s="10" t="s">
        <v>183</v>
      </c>
      <c r="K17" s="5" t="s">
        <v>136</v>
      </c>
    </row>
    <row r="18" spans="1:12" x14ac:dyDescent="0.25">
      <c r="A18" s="5"/>
      <c r="B18" s="106"/>
      <c r="C18" s="106"/>
      <c r="D18" s="112"/>
      <c r="E18" s="107"/>
      <c r="F18" s="107">
        <v>30000</v>
      </c>
      <c r="G18" s="180">
        <v>45803</v>
      </c>
      <c r="H18" s="19">
        <f t="shared" si="0"/>
        <v>4555</v>
      </c>
      <c r="I18" s="17"/>
      <c r="J18" s="17" t="s">
        <v>177</v>
      </c>
      <c r="K18" s="5" t="s">
        <v>135</v>
      </c>
    </row>
    <row r="19" spans="1:12" ht="16.5" thickBot="1" x14ac:dyDescent="0.3">
      <c r="A19" s="5"/>
      <c r="B19" s="168"/>
      <c r="C19" s="168"/>
      <c r="D19" s="169"/>
      <c r="E19" s="170"/>
      <c r="F19" s="170">
        <v>4562.5</v>
      </c>
      <c r="G19" s="171">
        <v>45805</v>
      </c>
      <c r="H19" s="85">
        <f>+H18+E19-F19</f>
        <v>-7.5</v>
      </c>
      <c r="I19" s="87"/>
      <c r="J19" s="87" t="s">
        <v>177</v>
      </c>
      <c r="K19" s="5" t="s">
        <v>135</v>
      </c>
      <c r="L19" s="49">
        <f>SUM(F15:F19)</f>
        <v>138108.5</v>
      </c>
    </row>
    <row r="20" spans="1:12" ht="16.5" thickTop="1" x14ac:dyDescent="0.25">
      <c r="A20" s="5"/>
      <c r="B20" s="165">
        <v>250714</v>
      </c>
      <c r="C20" s="165">
        <v>1809</v>
      </c>
      <c r="D20" s="166">
        <v>45849</v>
      </c>
      <c r="E20" s="108">
        <v>66825</v>
      </c>
      <c r="F20" s="108">
        <v>50000</v>
      </c>
      <c r="G20" s="167">
        <v>45841</v>
      </c>
      <c r="H20" s="80">
        <f>+H19+E20-F20</f>
        <v>16817.5</v>
      </c>
      <c r="I20" s="82"/>
      <c r="J20" s="82" t="s">
        <v>183</v>
      </c>
      <c r="K20" s="5" t="s">
        <v>136</v>
      </c>
    </row>
    <row r="21" spans="1:12" x14ac:dyDescent="0.25">
      <c r="A21" s="5"/>
      <c r="B21" s="123"/>
      <c r="C21" s="123"/>
      <c r="D21" s="124"/>
      <c r="E21" s="75"/>
      <c r="F21" s="75">
        <v>16825</v>
      </c>
      <c r="G21" s="76">
        <v>45849</v>
      </c>
      <c r="H21" s="12">
        <f>+H20+E21-F21</f>
        <v>-7.5</v>
      </c>
      <c r="I21" s="10"/>
      <c r="J21" s="10" t="s">
        <v>205</v>
      </c>
      <c r="K21" s="5" t="s">
        <v>136</v>
      </c>
    </row>
    <row r="22" spans="1:12" x14ac:dyDescent="0.25">
      <c r="A22" s="5"/>
      <c r="B22" s="123">
        <v>250736</v>
      </c>
      <c r="C22" s="123">
        <v>1834</v>
      </c>
      <c r="D22" s="124">
        <v>45866</v>
      </c>
      <c r="E22" s="75">
        <v>69932.5</v>
      </c>
      <c r="F22" s="75">
        <v>44970</v>
      </c>
      <c r="G22" s="76">
        <v>45866</v>
      </c>
      <c r="H22" s="12">
        <f>+H21+E22-F22</f>
        <v>24955</v>
      </c>
      <c r="I22" s="10"/>
      <c r="J22" s="10" t="s">
        <v>217</v>
      </c>
      <c r="K22" s="5" t="s">
        <v>136</v>
      </c>
    </row>
    <row r="23" spans="1:12" x14ac:dyDescent="0.25">
      <c r="A23" s="5"/>
      <c r="B23" s="123"/>
      <c r="C23" s="123"/>
      <c r="D23" s="124"/>
      <c r="E23" s="75"/>
      <c r="F23" s="75">
        <v>24962.5</v>
      </c>
      <c r="G23" s="76">
        <v>45866</v>
      </c>
      <c r="H23" s="12">
        <f t="shared" si="0"/>
        <v>-7.5</v>
      </c>
      <c r="I23" s="10"/>
      <c r="J23" s="17" t="s">
        <v>177</v>
      </c>
      <c r="K23" s="5" t="s">
        <v>135</v>
      </c>
      <c r="L23" s="49">
        <f>SUM(F20:F23)</f>
        <v>136757.5</v>
      </c>
    </row>
    <row r="24" spans="1:12" x14ac:dyDescent="0.25">
      <c r="A24" s="5"/>
      <c r="B24" s="123"/>
      <c r="C24" s="123"/>
      <c r="D24" s="124"/>
      <c r="E24" s="75"/>
      <c r="F24" s="75"/>
      <c r="G24" s="76"/>
      <c r="H24" s="12">
        <f t="shared" si="0"/>
        <v>-7.5</v>
      </c>
      <c r="I24" s="10"/>
      <c r="J24" s="10"/>
      <c r="K24" s="5"/>
    </row>
    <row r="25" spans="1:12" x14ac:dyDescent="0.25">
      <c r="A25" s="5"/>
      <c r="B25" s="123"/>
      <c r="C25" s="123"/>
      <c r="D25" s="124"/>
      <c r="E25" s="75"/>
      <c r="F25" s="75"/>
      <c r="G25" s="76"/>
      <c r="H25" s="12">
        <f t="shared" si="0"/>
        <v>-7.5</v>
      </c>
      <c r="I25" s="10"/>
      <c r="J25" s="10"/>
      <c r="K25" s="5"/>
    </row>
    <row r="26" spans="1:12" x14ac:dyDescent="0.25">
      <c r="A26" s="5"/>
      <c r="B26" s="123"/>
      <c r="C26" s="123"/>
      <c r="D26" s="124"/>
      <c r="E26" s="75"/>
      <c r="F26" s="75"/>
      <c r="G26" s="76"/>
      <c r="H26" s="12">
        <f t="shared" si="0"/>
        <v>-7.5</v>
      </c>
      <c r="I26" s="10"/>
      <c r="J26" s="10"/>
      <c r="K26" s="5"/>
    </row>
    <row r="27" spans="1:12" x14ac:dyDescent="0.25">
      <c r="A27" s="5"/>
      <c r="B27" s="123"/>
      <c r="C27" s="123"/>
      <c r="D27" s="124"/>
      <c r="E27" s="75"/>
      <c r="F27" s="75"/>
      <c r="G27" s="76"/>
      <c r="H27" s="12">
        <f t="shared" si="0"/>
        <v>-7.5</v>
      </c>
      <c r="I27" s="10"/>
      <c r="J27" s="10"/>
      <c r="K27" s="5"/>
    </row>
    <row r="28" spans="1:12" x14ac:dyDescent="0.25">
      <c r="A28" s="5"/>
      <c r="B28" s="123"/>
      <c r="C28" s="123"/>
      <c r="D28" s="124"/>
      <c r="E28" s="75"/>
      <c r="F28" s="75"/>
      <c r="G28" s="76"/>
      <c r="H28" s="12">
        <f t="shared" si="0"/>
        <v>-7.5</v>
      </c>
      <c r="I28" s="10"/>
      <c r="J28" s="10"/>
      <c r="K28" s="5"/>
    </row>
    <row r="29" spans="1:12" x14ac:dyDescent="0.25">
      <c r="A29" s="5"/>
      <c r="B29" s="123"/>
      <c r="C29" s="123"/>
      <c r="D29" s="124"/>
      <c r="E29" s="75"/>
      <c r="F29" s="75"/>
      <c r="G29" s="76"/>
      <c r="H29" s="12">
        <f t="shared" si="0"/>
        <v>-7.5</v>
      </c>
      <c r="I29" s="10"/>
      <c r="J29" s="10"/>
      <c r="K29" s="5"/>
    </row>
    <row r="30" spans="1:12" x14ac:dyDescent="0.25">
      <c r="A30" s="5"/>
      <c r="B30" s="123"/>
      <c r="C30" s="123"/>
      <c r="D30" s="124"/>
      <c r="E30" s="75"/>
      <c r="F30" s="75"/>
      <c r="G30" s="76"/>
      <c r="H30" s="12">
        <f>+H29+E30-F30</f>
        <v>-7.5</v>
      </c>
      <c r="I30" s="10"/>
      <c r="J30" s="10"/>
      <c r="K30" s="5"/>
    </row>
    <row r="31" spans="1:12" x14ac:dyDescent="0.25">
      <c r="A31" s="5"/>
      <c r="B31" s="123"/>
      <c r="C31" s="123"/>
      <c r="D31" s="124"/>
      <c r="E31" s="75"/>
      <c r="F31" s="75"/>
      <c r="G31" s="76"/>
      <c r="H31" s="12">
        <f>+H30+E31-F31</f>
        <v>-7.5</v>
      </c>
      <c r="I31" s="10"/>
      <c r="J31" s="10"/>
      <c r="K31" s="5"/>
    </row>
    <row r="32" spans="1:12" x14ac:dyDescent="0.25">
      <c r="A32" s="5"/>
      <c r="B32" s="123"/>
      <c r="C32" s="123"/>
      <c r="D32" s="124"/>
      <c r="E32" s="75"/>
      <c r="F32" s="75"/>
      <c r="G32" s="76"/>
      <c r="H32" s="12">
        <f t="shared" si="0"/>
        <v>-7.5</v>
      </c>
      <c r="I32" s="10"/>
      <c r="J32" s="10"/>
      <c r="K32" s="5"/>
    </row>
    <row r="33" spans="1:11" x14ac:dyDescent="0.25">
      <c r="A33" s="5"/>
      <c r="B33" s="123"/>
      <c r="C33" s="123"/>
      <c r="D33" s="124"/>
      <c r="E33" s="75"/>
      <c r="F33" s="75"/>
      <c r="G33" s="76"/>
      <c r="H33" s="12">
        <f>+H32+E33-F33</f>
        <v>-7.5</v>
      </c>
      <c r="I33" s="10"/>
      <c r="J33" s="10"/>
      <c r="K33" s="5"/>
    </row>
    <row r="34" spans="1:11" x14ac:dyDescent="0.25">
      <c r="A34" s="5"/>
      <c r="B34" s="123"/>
      <c r="C34" s="123"/>
      <c r="D34" s="124"/>
      <c r="E34" s="75"/>
      <c r="F34" s="75"/>
      <c r="G34" s="76"/>
      <c r="H34" s="12">
        <f>+H33+E34-F34</f>
        <v>-7.5</v>
      </c>
      <c r="I34" s="10"/>
      <c r="J34" s="10"/>
      <c r="K34" s="5"/>
    </row>
    <row r="35" spans="1:11" x14ac:dyDescent="0.25">
      <c r="A35" s="5"/>
      <c r="B35" s="123"/>
      <c r="C35" s="123"/>
      <c r="D35" s="124"/>
      <c r="E35" s="75"/>
      <c r="F35" s="75"/>
      <c r="G35" s="76"/>
      <c r="H35" s="12">
        <f>+H34+E35-F35</f>
        <v>-7.5</v>
      </c>
      <c r="I35" s="10"/>
      <c r="J35" s="10"/>
      <c r="K35" s="5"/>
    </row>
    <row r="36" spans="1:11" x14ac:dyDescent="0.25">
      <c r="A36" s="5"/>
      <c r="B36" s="123"/>
      <c r="C36" s="123"/>
      <c r="D36" s="124"/>
      <c r="E36" s="75"/>
      <c r="F36" s="75"/>
      <c r="G36" s="76"/>
      <c r="H36" s="12">
        <f t="shared" si="0"/>
        <v>-7.5</v>
      </c>
      <c r="I36" s="10"/>
      <c r="J36" s="10"/>
      <c r="K36" s="5"/>
    </row>
    <row r="37" spans="1:11" x14ac:dyDescent="0.25">
      <c r="A37" s="5"/>
      <c r="B37" s="123"/>
      <c r="C37" s="123"/>
      <c r="D37" s="124"/>
      <c r="E37" s="75"/>
      <c r="F37" s="75"/>
      <c r="G37" s="76"/>
      <c r="H37" s="12">
        <f t="shared" si="0"/>
        <v>-7.5</v>
      </c>
      <c r="I37" s="10"/>
      <c r="J37" s="10"/>
      <c r="K37" s="5"/>
    </row>
    <row r="38" spans="1:11" x14ac:dyDescent="0.25">
      <c r="A38" s="5"/>
      <c r="B38" s="123"/>
      <c r="C38" s="123"/>
      <c r="D38" s="124"/>
      <c r="E38" s="75"/>
      <c r="F38" s="75"/>
      <c r="G38" s="76"/>
      <c r="H38" s="12">
        <f t="shared" si="0"/>
        <v>-7.5</v>
      </c>
      <c r="I38" s="10"/>
      <c r="J38" s="10"/>
      <c r="K38" s="5"/>
    </row>
    <row r="39" spans="1:11" x14ac:dyDescent="0.25">
      <c r="A39" s="5"/>
      <c r="B39" s="123"/>
      <c r="C39" s="123"/>
      <c r="D39" s="124"/>
      <c r="E39" s="75"/>
      <c r="F39" s="75"/>
      <c r="G39" s="76"/>
      <c r="H39" s="12">
        <f t="shared" si="0"/>
        <v>-7.5</v>
      </c>
      <c r="I39" s="10"/>
      <c r="J39" s="10"/>
      <c r="K39" s="5"/>
    </row>
    <row r="40" spans="1:11" x14ac:dyDescent="0.25">
      <c r="A40" s="5"/>
      <c r="B40" s="123"/>
      <c r="C40" s="123"/>
      <c r="D40" s="124"/>
      <c r="E40" s="75"/>
      <c r="F40" s="75"/>
      <c r="G40" s="76"/>
      <c r="H40" s="12">
        <f>+H39+E40-F40</f>
        <v>-7.5</v>
      </c>
      <c r="I40" s="10"/>
      <c r="J40" s="10"/>
      <c r="K40" s="5"/>
    </row>
    <row r="41" spans="1:11" x14ac:dyDescent="0.25">
      <c r="A41" s="5"/>
      <c r="B41" s="123"/>
      <c r="C41" s="123"/>
      <c r="D41" s="124"/>
      <c r="E41" s="75"/>
      <c r="F41" s="75"/>
      <c r="G41" s="76"/>
      <c r="H41" s="12">
        <f t="shared" si="0"/>
        <v>-7.5</v>
      </c>
      <c r="I41" s="10"/>
      <c r="J41" s="10"/>
      <c r="K41" s="5"/>
    </row>
    <row r="42" spans="1:11" x14ac:dyDescent="0.25">
      <c r="A42" s="5"/>
      <c r="B42" s="123"/>
      <c r="C42" s="123"/>
      <c r="D42" s="124"/>
      <c r="E42" s="75"/>
      <c r="F42" s="75"/>
      <c r="G42" s="76"/>
      <c r="H42" s="12">
        <f t="shared" si="0"/>
        <v>-7.5</v>
      </c>
      <c r="I42" s="10"/>
      <c r="J42" s="10"/>
      <c r="K42" s="5"/>
    </row>
    <row r="43" spans="1:11" x14ac:dyDescent="0.25">
      <c r="A43" s="5"/>
      <c r="B43" s="123"/>
      <c r="C43" s="123"/>
      <c r="D43" s="124"/>
      <c r="E43" s="75"/>
      <c r="F43" s="75"/>
      <c r="G43" s="76"/>
      <c r="H43" s="12">
        <f t="shared" si="0"/>
        <v>-7.5</v>
      </c>
      <c r="I43" s="10"/>
      <c r="J43" s="10"/>
      <c r="K43" s="5"/>
    </row>
    <row r="44" spans="1:11" x14ac:dyDescent="0.25">
      <c r="A44" s="5"/>
      <c r="B44" s="123"/>
      <c r="C44" s="123"/>
      <c r="D44" s="124"/>
      <c r="E44" s="75"/>
      <c r="F44" s="75"/>
      <c r="G44" s="76"/>
      <c r="H44" s="12">
        <f t="shared" si="0"/>
        <v>-7.5</v>
      </c>
      <c r="I44" s="10"/>
      <c r="J44" s="10"/>
      <c r="K44" s="5"/>
    </row>
    <row r="45" spans="1:11" x14ac:dyDescent="0.25">
      <c r="A45" s="5"/>
      <c r="B45" s="123"/>
      <c r="C45" s="123"/>
      <c r="D45" s="124"/>
      <c r="E45" s="75"/>
      <c r="F45" s="75"/>
      <c r="G45" s="76"/>
      <c r="H45" s="12">
        <f t="shared" si="0"/>
        <v>-7.5</v>
      </c>
      <c r="I45" s="10"/>
      <c r="J45" s="10"/>
      <c r="K45" s="5"/>
    </row>
    <row r="46" spans="1:11" x14ac:dyDescent="0.25">
      <c r="A46" s="5"/>
      <c r="B46" s="123"/>
      <c r="C46" s="123"/>
      <c r="D46" s="124"/>
      <c r="E46" s="75"/>
      <c r="F46" s="75"/>
      <c r="G46" s="76"/>
      <c r="H46" s="12">
        <f t="shared" si="0"/>
        <v>-7.5</v>
      </c>
      <c r="I46" s="10"/>
      <c r="J46" s="10"/>
      <c r="K46" s="5"/>
    </row>
    <row r="47" spans="1:11" x14ac:dyDescent="0.25">
      <c r="A47" s="5"/>
      <c r="B47" s="123"/>
      <c r="C47" s="123"/>
      <c r="D47" s="124"/>
      <c r="E47" s="75"/>
      <c r="F47" s="75"/>
      <c r="G47" s="76"/>
      <c r="H47" s="12">
        <f t="shared" si="0"/>
        <v>-7.5</v>
      </c>
      <c r="I47" s="10"/>
      <c r="J47" s="10"/>
      <c r="K47" s="5"/>
    </row>
    <row r="48" spans="1:11" x14ac:dyDescent="0.25">
      <c r="A48" s="5"/>
      <c r="B48" s="123"/>
      <c r="C48" s="123"/>
      <c r="D48" s="124"/>
      <c r="E48" s="75"/>
      <c r="F48" s="75"/>
      <c r="G48" s="76"/>
      <c r="H48" s="12">
        <f t="shared" si="0"/>
        <v>-7.5</v>
      </c>
      <c r="I48" s="10"/>
      <c r="J48" s="10"/>
      <c r="K48" s="5"/>
    </row>
    <row r="49" spans="1:13" x14ac:dyDescent="0.25">
      <c r="A49" s="5"/>
      <c r="B49" s="123"/>
      <c r="C49" s="123"/>
      <c r="D49" s="124"/>
      <c r="E49" s="75"/>
      <c r="F49" s="75"/>
      <c r="G49" s="76"/>
      <c r="H49" s="12">
        <f t="shared" si="0"/>
        <v>-7.5</v>
      </c>
      <c r="I49" s="10"/>
      <c r="J49" s="10"/>
      <c r="K49" s="5"/>
    </row>
    <row r="50" spans="1:13" x14ac:dyDescent="0.25">
      <c r="A50" s="5"/>
      <c r="B50" s="123"/>
      <c r="C50" s="123"/>
      <c r="D50" s="124"/>
      <c r="E50" s="75"/>
      <c r="F50" s="75"/>
      <c r="G50" s="76"/>
      <c r="H50" s="12">
        <f t="shared" si="0"/>
        <v>-7.5</v>
      </c>
      <c r="I50" s="10"/>
      <c r="J50" s="10"/>
      <c r="K50" s="5"/>
    </row>
    <row r="51" spans="1:13" x14ac:dyDescent="0.25">
      <c r="A51" s="5"/>
      <c r="B51" s="123"/>
      <c r="C51" s="123"/>
      <c r="D51" s="124"/>
      <c r="E51" s="75"/>
      <c r="F51" s="75"/>
      <c r="G51" s="76"/>
      <c r="H51" s="12">
        <f t="shared" si="0"/>
        <v>-7.5</v>
      </c>
      <c r="I51" s="10"/>
      <c r="J51" s="10"/>
      <c r="K51" s="5"/>
    </row>
    <row r="52" spans="1:13" x14ac:dyDescent="0.25">
      <c r="A52" s="5"/>
      <c r="B52" s="64"/>
      <c r="C52" s="64"/>
      <c r="D52" s="76"/>
      <c r="E52" s="75"/>
      <c r="F52" s="75"/>
      <c r="G52" s="76"/>
      <c r="H52" s="12">
        <f t="shared" si="0"/>
        <v>-7.5</v>
      </c>
      <c r="I52" s="10"/>
      <c r="J52" s="10"/>
      <c r="K52" s="5"/>
    </row>
    <row r="53" spans="1:13" x14ac:dyDescent="0.25">
      <c r="A53" s="5"/>
      <c r="B53" s="64"/>
      <c r="C53" s="64"/>
      <c r="D53" s="76"/>
      <c r="E53" s="75"/>
      <c r="F53" s="75"/>
      <c r="G53" s="76"/>
      <c r="H53" s="12">
        <f t="shared" si="0"/>
        <v>-7.5</v>
      </c>
      <c r="I53" s="10"/>
      <c r="J53" s="10"/>
      <c r="K53" s="5"/>
      <c r="M53" s="49"/>
    </row>
    <row r="54" spans="1:13" x14ac:dyDescent="0.25">
      <c r="A54" s="5"/>
      <c r="B54" s="123"/>
      <c r="C54" s="123"/>
      <c r="D54" s="124"/>
      <c r="E54" s="75"/>
      <c r="F54" s="75"/>
      <c r="G54" s="76"/>
      <c r="H54" s="12">
        <f t="shared" si="0"/>
        <v>-7.5</v>
      </c>
      <c r="I54" s="10"/>
      <c r="J54" s="10"/>
      <c r="K54" s="5"/>
    </row>
    <row r="55" spans="1:13" x14ac:dyDescent="0.25">
      <c r="A55" s="5"/>
      <c r="B55" s="123"/>
      <c r="C55" s="123"/>
      <c r="D55" s="124"/>
      <c r="E55" s="75"/>
      <c r="F55" s="75"/>
      <c r="G55" s="76"/>
      <c r="H55" s="12">
        <f t="shared" si="0"/>
        <v>-7.5</v>
      </c>
      <c r="I55" s="10"/>
      <c r="J55" s="10"/>
      <c r="K55" s="5"/>
    </row>
    <row r="56" spans="1:13" x14ac:dyDescent="0.25">
      <c r="A56" s="5"/>
      <c r="B56" s="123"/>
      <c r="C56" s="123"/>
      <c r="D56" s="124"/>
      <c r="E56" s="75"/>
      <c r="F56" s="75"/>
      <c r="G56" s="76"/>
      <c r="H56" s="12">
        <f t="shared" si="0"/>
        <v>-7.5</v>
      </c>
      <c r="I56" s="10"/>
      <c r="J56" s="10"/>
      <c r="K56" s="5"/>
    </row>
    <row r="57" spans="1:13" x14ac:dyDescent="0.25">
      <c r="A57" s="5"/>
      <c r="B57" s="123"/>
      <c r="C57" s="123"/>
      <c r="D57" s="124"/>
      <c r="E57" s="75"/>
      <c r="F57" s="75"/>
      <c r="G57" s="76"/>
      <c r="H57" s="12">
        <f t="shared" si="0"/>
        <v>-7.5</v>
      </c>
      <c r="I57" s="10"/>
      <c r="J57" s="10"/>
      <c r="K57" s="5"/>
    </row>
    <row r="58" spans="1:13" x14ac:dyDescent="0.25">
      <c r="A58" s="5"/>
      <c r="B58" s="123"/>
      <c r="C58" s="123"/>
      <c r="D58" s="124"/>
      <c r="E58" s="75"/>
      <c r="F58" s="75"/>
      <c r="G58" s="76"/>
      <c r="H58" s="12">
        <f t="shared" si="0"/>
        <v>-7.5</v>
      </c>
      <c r="I58" s="10"/>
      <c r="J58" s="10"/>
      <c r="K58" s="5"/>
    </row>
    <row r="59" spans="1:13" x14ac:dyDescent="0.25">
      <c r="A59" s="5"/>
      <c r="B59" s="123"/>
      <c r="C59" s="123"/>
      <c r="D59" s="124"/>
      <c r="E59" s="75"/>
      <c r="F59" s="75"/>
      <c r="G59" s="76"/>
      <c r="H59" s="12">
        <f t="shared" si="0"/>
        <v>-7.5</v>
      </c>
      <c r="I59" s="10"/>
      <c r="J59" s="10"/>
      <c r="K59" s="5"/>
    </row>
    <row r="60" spans="1:13" x14ac:dyDescent="0.25">
      <c r="A60" s="5"/>
      <c r="B60" s="123"/>
      <c r="C60" s="123"/>
      <c r="D60" s="124"/>
      <c r="E60" s="75"/>
      <c r="F60" s="75"/>
      <c r="G60" s="76"/>
      <c r="H60" s="12">
        <f t="shared" si="0"/>
        <v>-7.5</v>
      </c>
      <c r="I60" s="10"/>
      <c r="J60" s="10"/>
      <c r="K60" s="5"/>
    </row>
    <row r="61" spans="1:13" x14ac:dyDescent="0.25">
      <c r="A61" s="5"/>
      <c r="B61" s="123"/>
      <c r="C61" s="123"/>
      <c r="D61" s="124"/>
      <c r="E61" s="75"/>
      <c r="F61" s="75"/>
      <c r="G61" s="76"/>
      <c r="H61" s="12">
        <f t="shared" si="0"/>
        <v>-7.5</v>
      </c>
      <c r="I61" s="10"/>
      <c r="J61" s="10"/>
      <c r="K61" s="5"/>
    </row>
    <row r="62" spans="1:13" x14ac:dyDescent="0.25">
      <c r="A62" s="5"/>
      <c r="B62" s="123"/>
      <c r="C62" s="123"/>
      <c r="D62" s="124"/>
      <c r="E62" s="75"/>
      <c r="F62" s="75"/>
      <c r="G62" s="76"/>
      <c r="H62" s="12">
        <f t="shared" si="0"/>
        <v>-7.5</v>
      </c>
      <c r="I62" s="10"/>
      <c r="J62" s="10"/>
      <c r="K62" s="5"/>
    </row>
    <row r="63" spans="1:13" x14ac:dyDescent="0.25">
      <c r="A63" s="5"/>
      <c r="B63" s="123"/>
      <c r="C63" s="123"/>
      <c r="D63" s="124"/>
      <c r="E63" s="75"/>
      <c r="F63" s="75"/>
      <c r="G63" s="76"/>
      <c r="H63" s="12">
        <f t="shared" si="0"/>
        <v>-7.5</v>
      </c>
      <c r="I63" s="10"/>
      <c r="J63" s="10"/>
      <c r="K63" s="5"/>
    </row>
    <row r="64" spans="1:13" x14ac:dyDescent="0.25">
      <c r="A64" s="5"/>
      <c r="B64" s="123"/>
      <c r="C64" s="123"/>
      <c r="D64" s="124"/>
      <c r="E64" s="75"/>
      <c r="F64" s="75"/>
      <c r="G64" s="76"/>
      <c r="H64" s="12">
        <f t="shared" si="0"/>
        <v>-7.5</v>
      </c>
      <c r="I64" s="10"/>
      <c r="J64" s="10"/>
      <c r="K64" s="5"/>
    </row>
    <row r="65" spans="1:12" x14ac:dyDescent="0.25">
      <c r="A65" s="5"/>
      <c r="B65" s="123"/>
      <c r="C65" s="123"/>
      <c r="D65" s="124"/>
      <c r="E65" s="75"/>
      <c r="F65" s="75"/>
      <c r="G65" s="76"/>
      <c r="H65" s="12">
        <f t="shared" si="0"/>
        <v>-7.5</v>
      </c>
      <c r="I65" s="10"/>
      <c r="J65" s="10"/>
      <c r="K65" s="5"/>
    </row>
    <row r="66" spans="1:12" x14ac:dyDescent="0.25">
      <c r="A66" s="5"/>
      <c r="B66" s="123"/>
      <c r="C66" s="123"/>
      <c r="D66" s="124"/>
      <c r="E66" s="75"/>
      <c r="F66" s="75"/>
      <c r="G66" s="76"/>
      <c r="H66" s="12">
        <f t="shared" si="0"/>
        <v>-7.5</v>
      </c>
      <c r="I66" s="10"/>
      <c r="J66" s="10"/>
      <c r="K66" s="5"/>
    </row>
    <row r="67" spans="1:12" x14ac:dyDescent="0.25">
      <c r="A67" s="5"/>
      <c r="B67" s="123"/>
      <c r="C67" s="123"/>
      <c r="D67" s="124"/>
      <c r="E67" s="75"/>
      <c r="F67" s="75"/>
      <c r="G67" s="76"/>
      <c r="H67" s="12">
        <f t="shared" si="0"/>
        <v>-7.5</v>
      </c>
      <c r="I67" s="10"/>
      <c r="J67" s="10"/>
      <c r="K67" s="5"/>
    </row>
    <row r="68" spans="1:12" x14ac:dyDescent="0.25">
      <c r="A68" s="5"/>
      <c r="B68" s="123"/>
      <c r="C68" s="123"/>
      <c r="D68" s="124"/>
      <c r="E68" s="75"/>
      <c r="F68" s="75"/>
      <c r="G68" s="76"/>
      <c r="H68" s="12">
        <f t="shared" si="0"/>
        <v>-7.5</v>
      </c>
      <c r="I68" s="10"/>
      <c r="J68" s="10"/>
      <c r="K68" s="5"/>
    </row>
    <row r="69" spans="1:12" x14ac:dyDescent="0.25">
      <c r="A69" s="5"/>
      <c r="B69" s="123"/>
      <c r="C69" s="123"/>
      <c r="D69" s="124"/>
      <c r="E69" s="75"/>
      <c r="F69" s="75"/>
      <c r="G69" s="76"/>
      <c r="H69" s="12">
        <f t="shared" si="0"/>
        <v>-7.5</v>
      </c>
      <c r="I69" s="10"/>
      <c r="J69" s="10"/>
      <c r="K69" s="5"/>
    </row>
    <row r="70" spans="1:12" x14ac:dyDescent="0.25">
      <c r="A70" s="5"/>
      <c r="B70" s="123"/>
      <c r="C70" s="123"/>
      <c r="D70" s="124"/>
      <c r="E70" s="75"/>
      <c r="F70" s="75"/>
      <c r="G70" s="76"/>
      <c r="H70" s="12">
        <f t="shared" si="0"/>
        <v>-7.5</v>
      </c>
      <c r="I70" s="10"/>
      <c r="J70" s="10"/>
      <c r="K70" s="5"/>
    </row>
    <row r="71" spans="1:12" x14ac:dyDescent="0.25">
      <c r="A71" s="5"/>
      <c r="B71" s="123"/>
      <c r="C71" s="123"/>
      <c r="D71" s="124"/>
      <c r="E71" s="75"/>
      <c r="F71" s="75"/>
      <c r="G71" s="76"/>
      <c r="H71" s="12">
        <f t="shared" si="0"/>
        <v>-7.5</v>
      </c>
      <c r="I71" s="10"/>
      <c r="J71" s="10"/>
      <c r="K71" s="5"/>
    </row>
    <row r="72" spans="1:12" x14ac:dyDescent="0.25">
      <c r="A72" s="5"/>
      <c r="B72" s="123"/>
      <c r="C72" s="123"/>
      <c r="D72" s="124"/>
      <c r="E72" s="75"/>
      <c r="F72" s="75"/>
      <c r="G72" s="76"/>
      <c r="H72" s="12">
        <f t="shared" si="0"/>
        <v>-7.5</v>
      </c>
      <c r="I72" s="10"/>
      <c r="J72" s="10"/>
      <c r="K72" s="5"/>
      <c r="L72" s="49"/>
    </row>
    <row r="73" spans="1:12" x14ac:dyDescent="0.25">
      <c r="A73" s="5"/>
      <c r="B73" s="123"/>
      <c r="C73" s="123"/>
      <c r="D73" s="124"/>
      <c r="E73" s="75"/>
      <c r="F73" s="75"/>
      <c r="G73" s="76"/>
      <c r="H73" s="12">
        <f t="shared" si="0"/>
        <v>-7.5</v>
      </c>
      <c r="I73" s="10"/>
      <c r="J73" s="10"/>
      <c r="K73" s="5"/>
      <c r="L73" s="49"/>
    </row>
    <row r="74" spans="1:12" x14ac:dyDescent="0.25">
      <c r="A74" s="5"/>
      <c r="B74" s="123"/>
      <c r="C74" s="123"/>
      <c r="D74" s="124"/>
      <c r="E74" s="75"/>
      <c r="F74" s="75"/>
      <c r="G74" s="76"/>
      <c r="H74" s="12">
        <f t="shared" si="0"/>
        <v>-7.5</v>
      </c>
      <c r="I74" s="10"/>
      <c r="J74" s="10"/>
      <c r="K74" s="5"/>
      <c r="L74" s="49"/>
    </row>
    <row r="75" spans="1:12" x14ac:dyDescent="0.25">
      <c r="A75" s="5"/>
      <c r="B75" s="123"/>
      <c r="C75" s="123"/>
      <c r="D75" s="124"/>
      <c r="E75" s="75"/>
      <c r="F75" s="75"/>
      <c r="G75" s="76"/>
      <c r="H75" s="12">
        <f t="shared" si="0"/>
        <v>-7.5</v>
      </c>
      <c r="I75" s="10"/>
      <c r="J75" s="10"/>
      <c r="K75" s="5"/>
      <c r="L75" s="49"/>
    </row>
    <row r="76" spans="1:12" x14ac:dyDescent="0.25">
      <c r="A76" s="5"/>
      <c r="B76" s="123"/>
      <c r="C76" s="123"/>
      <c r="D76" s="124"/>
      <c r="E76" s="75"/>
      <c r="F76" s="75"/>
      <c r="G76" s="76"/>
      <c r="H76" s="12">
        <f t="shared" si="0"/>
        <v>-7.5</v>
      </c>
      <c r="I76" s="10"/>
      <c r="J76" s="10"/>
      <c r="K76" s="5"/>
      <c r="L76" s="49"/>
    </row>
    <row r="77" spans="1:12" x14ac:dyDescent="0.25">
      <c r="A77" s="5"/>
      <c r="B77" s="123"/>
      <c r="C77" s="123"/>
      <c r="D77" s="124"/>
      <c r="E77" s="75"/>
      <c r="F77" s="75"/>
      <c r="G77" s="76"/>
      <c r="H77" s="12">
        <f t="shared" ref="H77:H82" si="1">+H76+E77-F77</f>
        <v>-7.5</v>
      </c>
      <c r="I77" s="10"/>
      <c r="J77" s="10"/>
      <c r="K77" s="5"/>
    </row>
    <row r="78" spans="1:12" x14ac:dyDescent="0.25">
      <c r="A78" s="5"/>
      <c r="B78" s="123"/>
      <c r="C78" s="123"/>
      <c r="D78" s="124"/>
      <c r="E78" s="75"/>
      <c r="F78" s="75"/>
      <c r="G78" s="76"/>
      <c r="H78" s="12">
        <f t="shared" si="1"/>
        <v>-7.5</v>
      </c>
      <c r="I78" s="10"/>
      <c r="J78" s="10"/>
      <c r="K78" s="5"/>
    </row>
    <row r="79" spans="1:12" x14ac:dyDescent="0.25">
      <c r="A79" s="5"/>
      <c r="B79" s="123"/>
      <c r="C79" s="123"/>
      <c r="D79" s="124"/>
      <c r="E79" s="75"/>
      <c r="F79" s="75"/>
      <c r="G79" s="76"/>
      <c r="H79" s="12">
        <f t="shared" si="1"/>
        <v>-7.5</v>
      </c>
      <c r="I79" s="10"/>
      <c r="J79" s="10"/>
      <c r="K79" s="5"/>
    </row>
    <row r="80" spans="1:12" x14ac:dyDescent="0.25">
      <c r="A80" s="5"/>
      <c r="B80" s="123"/>
      <c r="C80" s="123"/>
      <c r="D80" s="124"/>
      <c r="E80" s="75"/>
      <c r="F80" s="75"/>
      <c r="G80" s="76"/>
      <c r="H80" s="12">
        <f t="shared" si="1"/>
        <v>-7.5</v>
      </c>
      <c r="I80" s="10"/>
      <c r="J80" s="10"/>
      <c r="K80" s="5"/>
    </row>
    <row r="81" spans="1:13" x14ac:dyDescent="0.25">
      <c r="A81" s="5"/>
      <c r="B81" s="123"/>
      <c r="C81" s="123"/>
      <c r="D81" s="124"/>
      <c r="E81" s="75"/>
      <c r="F81" s="75"/>
      <c r="G81" s="76"/>
      <c r="H81" s="12">
        <f t="shared" si="1"/>
        <v>-7.5</v>
      </c>
      <c r="I81" s="10"/>
      <c r="J81" s="10"/>
      <c r="K81" s="5"/>
    </row>
    <row r="82" spans="1:13" x14ac:dyDescent="0.25">
      <c r="A82" s="5"/>
      <c r="B82" s="123"/>
      <c r="C82" s="123"/>
      <c r="D82" s="124"/>
      <c r="E82" s="75"/>
      <c r="F82" s="75"/>
      <c r="G82" s="76"/>
      <c r="H82" s="12">
        <f t="shared" si="1"/>
        <v>-7.5</v>
      </c>
      <c r="I82" s="10"/>
      <c r="J82" s="10"/>
      <c r="K82" s="5"/>
    </row>
    <row r="83" spans="1:13" x14ac:dyDescent="0.25">
      <c r="A83" s="5"/>
      <c r="B83" s="123"/>
      <c r="C83" s="123"/>
      <c r="D83" s="124"/>
      <c r="E83" s="75"/>
      <c r="F83" s="75"/>
      <c r="G83" s="76"/>
      <c r="H83" s="12">
        <f t="shared" ref="H83" si="2">+H82+E83-F83</f>
        <v>-7.5</v>
      </c>
      <c r="I83" s="10"/>
      <c r="J83" s="10"/>
      <c r="K83" s="5"/>
      <c r="M83" s="49"/>
    </row>
    <row r="84" spans="1:13" x14ac:dyDescent="0.25">
      <c r="A84" s="5"/>
      <c r="B84" s="123"/>
      <c r="C84" s="123"/>
      <c r="D84" s="124"/>
      <c r="E84" s="75"/>
      <c r="F84" s="75"/>
      <c r="G84" s="76"/>
      <c r="H84" s="12">
        <f t="shared" ref="H84:H129" si="3">+H83+E84-F84</f>
        <v>-7.5</v>
      </c>
      <c r="I84" s="10"/>
      <c r="J84" s="10"/>
      <c r="K84" s="5"/>
    </row>
    <row r="85" spans="1:13" x14ac:dyDescent="0.25">
      <c r="A85" s="5"/>
      <c r="B85" s="123"/>
      <c r="C85" s="123"/>
      <c r="D85" s="124"/>
      <c r="E85" s="75"/>
      <c r="F85" s="75"/>
      <c r="G85" s="76"/>
      <c r="H85" s="12">
        <f t="shared" si="3"/>
        <v>-7.5</v>
      </c>
      <c r="I85" s="10"/>
      <c r="J85" s="10"/>
      <c r="K85" s="5"/>
    </row>
    <row r="86" spans="1:13" x14ac:dyDescent="0.25">
      <c r="A86" s="5"/>
      <c r="B86" s="123"/>
      <c r="C86" s="123"/>
      <c r="D86" s="124"/>
      <c r="E86" s="75"/>
      <c r="F86" s="75"/>
      <c r="G86" s="76"/>
      <c r="H86" s="12">
        <f t="shared" si="3"/>
        <v>-7.5</v>
      </c>
      <c r="I86" s="10"/>
      <c r="J86" s="10"/>
      <c r="K86" s="5"/>
      <c r="M86" s="49"/>
    </row>
    <row r="87" spans="1:13" x14ac:dyDescent="0.25">
      <c r="A87" s="5"/>
      <c r="B87" s="123"/>
      <c r="C87" s="123"/>
      <c r="D87" s="124"/>
      <c r="E87" s="75"/>
      <c r="F87" s="75"/>
      <c r="G87" s="76"/>
      <c r="H87" s="12">
        <f t="shared" si="3"/>
        <v>-7.5</v>
      </c>
      <c r="I87" s="10"/>
      <c r="J87" s="10"/>
      <c r="K87" s="5"/>
    </row>
    <row r="88" spans="1:13" x14ac:dyDescent="0.25">
      <c r="A88" s="5"/>
      <c r="B88" s="123"/>
      <c r="C88" s="123"/>
      <c r="D88" s="124"/>
      <c r="E88" s="75"/>
      <c r="F88" s="75"/>
      <c r="G88" s="76"/>
      <c r="H88" s="12">
        <f t="shared" si="3"/>
        <v>-7.5</v>
      </c>
      <c r="I88" s="10"/>
      <c r="J88" s="10"/>
      <c r="K88" s="5"/>
    </row>
    <row r="89" spans="1:13" x14ac:dyDescent="0.25">
      <c r="A89" s="5"/>
      <c r="B89" s="123"/>
      <c r="C89" s="123"/>
      <c r="D89" s="124"/>
      <c r="E89" s="75"/>
      <c r="F89" s="75"/>
      <c r="G89" s="76"/>
      <c r="H89" s="12">
        <f t="shared" si="3"/>
        <v>-7.5</v>
      </c>
      <c r="I89" s="10"/>
      <c r="J89" s="10"/>
      <c r="K89" s="5"/>
    </row>
    <row r="90" spans="1:13" x14ac:dyDescent="0.25">
      <c r="A90" s="5"/>
      <c r="B90" s="123"/>
      <c r="C90" s="123"/>
      <c r="D90" s="124"/>
      <c r="E90" s="75"/>
      <c r="F90" s="75"/>
      <c r="G90" s="76"/>
      <c r="H90" s="12">
        <f t="shared" si="3"/>
        <v>-7.5</v>
      </c>
      <c r="I90" s="10"/>
      <c r="J90" s="10"/>
      <c r="K90" s="5"/>
    </row>
    <row r="91" spans="1:13" x14ac:dyDescent="0.25">
      <c r="A91" s="5"/>
      <c r="B91" s="123"/>
      <c r="C91" s="123"/>
      <c r="D91" s="124"/>
      <c r="E91" s="75"/>
      <c r="F91" s="75"/>
      <c r="G91" s="76"/>
      <c r="H91" s="12">
        <f t="shared" si="3"/>
        <v>-7.5</v>
      </c>
      <c r="I91" s="10"/>
      <c r="J91" s="10"/>
      <c r="K91" s="5"/>
    </row>
    <row r="92" spans="1:13" x14ac:dyDescent="0.25">
      <c r="A92" s="5"/>
      <c r="B92" s="123"/>
      <c r="C92" s="123"/>
      <c r="D92" s="124"/>
      <c r="E92" s="75"/>
      <c r="F92" s="75"/>
      <c r="G92" s="76"/>
      <c r="H92" s="12">
        <f t="shared" si="3"/>
        <v>-7.5</v>
      </c>
      <c r="I92" s="10"/>
      <c r="J92" s="10"/>
      <c r="K92" s="5"/>
      <c r="M92" s="49"/>
    </row>
    <row r="93" spans="1:13" x14ac:dyDescent="0.25">
      <c r="A93" s="5"/>
      <c r="B93" s="123"/>
      <c r="C93" s="123"/>
      <c r="D93" s="124"/>
      <c r="E93" s="75"/>
      <c r="F93" s="75"/>
      <c r="G93" s="76"/>
      <c r="H93" s="12">
        <f t="shared" si="3"/>
        <v>-7.5</v>
      </c>
      <c r="I93" s="10"/>
      <c r="J93" s="10"/>
      <c r="K93" s="5"/>
    </row>
    <row r="94" spans="1:13" x14ac:dyDescent="0.25">
      <c r="A94" s="5"/>
      <c r="B94" s="123"/>
      <c r="C94" s="123"/>
      <c r="D94" s="124"/>
      <c r="E94" s="75"/>
      <c r="F94" s="75"/>
      <c r="G94" s="76"/>
      <c r="H94" s="12">
        <f t="shared" si="3"/>
        <v>-7.5</v>
      </c>
      <c r="I94" s="10"/>
      <c r="J94" s="10"/>
      <c r="K94" s="5"/>
    </row>
    <row r="95" spans="1:13" x14ac:dyDescent="0.25">
      <c r="A95" s="5"/>
      <c r="B95" s="123"/>
      <c r="C95" s="123"/>
      <c r="D95" s="124"/>
      <c r="E95" s="75"/>
      <c r="F95" s="75"/>
      <c r="G95" s="76"/>
      <c r="H95" s="12">
        <f t="shared" si="3"/>
        <v>-7.5</v>
      </c>
      <c r="I95" s="10"/>
      <c r="J95" s="10"/>
      <c r="K95" s="5"/>
    </row>
    <row r="96" spans="1:13" x14ac:dyDescent="0.25">
      <c r="A96" s="5"/>
      <c r="B96" s="123"/>
      <c r="C96" s="123"/>
      <c r="D96" s="124"/>
      <c r="E96" s="75"/>
      <c r="F96" s="75"/>
      <c r="G96" s="76"/>
      <c r="H96" s="12">
        <f t="shared" si="3"/>
        <v>-7.5</v>
      </c>
      <c r="I96" s="10"/>
      <c r="J96" s="10"/>
      <c r="K96" s="5"/>
    </row>
    <row r="97" spans="1:13" x14ac:dyDescent="0.25">
      <c r="A97" s="5"/>
      <c r="B97" s="123"/>
      <c r="C97" s="123"/>
      <c r="D97" s="124"/>
      <c r="E97" s="75"/>
      <c r="F97" s="75"/>
      <c r="G97" s="76"/>
      <c r="H97" s="12">
        <f t="shared" si="3"/>
        <v>-7.5</v>
      </c>
      <c r="I97" s="10"/>
      <c r="J97" s="10"/>
      <c r="K97" s="5"/>
    </row>
    <row r="98" spans="1:13" x14ac:dyDescent="0.25">
      <c r="A98" s="5"/>
      <c r="B98" s="123"/>
      <c r="C98" s="123"/>
      <c r="D98" s="124"/>
      <c r="E98" s="75"/>
      <c r="F98" s="75"/>
      <c r="G98" s="76"/>
      <c r="H98" s="12">
        <f t="shared" si="3"/>
        <v>-7.5</v>
      </c>
      <c r="I98" s="10"/>
      <c r="J98" s="10"/>
      <c r="K98" s="5"/>
      <c r="M98" s="49"/>
    </row>
    <row r="99" spans="1:13" x14ac:dyDescent="0.25">
      <c r="A99" s="5"/>
      <c r="B99" s="123"/>
      <c r="C99" s="123"/>
      <c r="D99" s="124"/>
      <c r="E99" s="75"/>
      <c r="F99" s="75"/>
      <c r="G99" s="76"/>
      <c r="H99" s="12">
        <f t="shared" si="3"/>
        <v>-7.5</v>
      </c>
      <c r="I99" s="10"/>
      <c r="J99" s="10"/>
      <c r="K99" s="5"/>
    </row>
    <row r="100" spans="1:13" x14ac:dyDescent="0.25">
      <c r="A100" s="5"/>
      <c r="B100" s="123"/>
      <c r="C100" s="123"/>
      <c r="D100" s="124"/>
      <c r="E100" s="75"/>
      <c r="F100" s="75"/>
      <c r="G100" s="76"/>
      <c r="H100" s="12">
        <f t="shared" si="3"/>
        <v>-7.5</v>
      </c>
      <c r="I100" s="10"/>
      <c r="J100" s="10"/>
      <c r="K100" s="5"/>
    </row>
    <row r="101" spans="1:13" x14ac:dyDescent="0.25">
      <c r="A101" s="5"/>
      <c r="B101" s="123"/>
      <c r="C101" s="123"/>
      <c r="D101" s="124"/>
      <c r="E101" s="75"/>
      <c r="F101" s="75"/>
      <c r="G101" s="76"/>
      <c r="H101" s="12">
        <f t="shared" si="3"/>
        <v>-7.5</v>
      </c>
      <c r="I101" s="10"/>
      <c r="J101" s="10"/>
      <c r="K101" s="5"/>
    </row>
    <row r="102" spans="1:13" x14ac:dyDescent="0.25">
      <c r="A102" s="5"/>
      <c r="B102" s="123"/>
      <c r="C102" s="123"/>
      <c r="D102" s="124"/>
      <c r="E102" s="75"/>
      <c r="F102" s="75"/>
      <c r="G102" s="76"/>
      <c r="H102" s="12">
        <f t="shared" si="3"/>
        <v>-7.5</v>
      </c>
      <c r="I102" s="10"/>
      <c r="J102" s="10"/>
      <c r="K102" s="5"/>
    </row>
    <row r="103" spans="1:13" x14ac:dyDescent="0.25">
      <c r="A103" s="5"/>
      <c r="B103" s="123"/>
      <c r="C103" s="123"/>
      <c r="D103" s="124"/>
      <c r="E103" s="75"/>
      <c r="F103" s="75"/>
      <c r="G103" s="76"/>
      <c r="H103" s="12">
        <f t="shared" si="3"/>
        <v>-7.5</v>
      </c>
      <c r="I103" s="10"/>
      <c r="J103" s="10"/>
      <c r="K103" s="5"/>
    </row>
    <row r="104" spans="1:13" x14ac:dyDescent="0.25">
      <c r="A104" s="5"/>
      <c r="B104" s="123"/>
      <c r="C104" s="123"/>
      <c r="D104" s="124"/>
      <c r="E104" s="75"/>
      <c r="F104" s="75"/>
      <c r="G104" s="76"/>
      <c r="H104" s="12">
        <f t="shared" si="3"/>
        <v>-7.5</v>
      </c>
      <c r="I104" s="10"/>
      <c r="J104" s="10"/>
      <c r="K104" s="5"/>
      <c r="M104" s="49"/>
    </row>
    <row r="105" spans="1:13" x14ac:dyDescent="0.25">
      <c r="A105" s="5"/>
      <c r="B105" s="123"/>
      <c r="C105" s="123"/>
      <c r="D105" s="124"/>
      <c r="E105" s="75"/>
      <c r="F105" s="75"/>
      <c r="G105" s="76"/>
      <c r="H105" s="12">
        <f t="shared" si="3"/>
        <v>-7.5</v>
      </c>
      <c r="I105" s="10"/>
      <c r="J105" s="10"/>
      <c r="K105" s="5"/>
    </row>
    <row r="106" spans="1:13" x14ac:dyDescent="0.25">
      <c r="A106" s="5"/>
      <c r="B106" s="123"/>
      <c r="C106" s="123"/>
      <c r="D106" s="124"/>
      <c r="E106" s="75"/>
      <c r="F106" s="75"/>
      <c r="G106" s="76"/>
      <c r="H106" s="12">
        <f t="shared" si="3"/>
        <v>-7.5</v>
      </c>
      <c r="I106" s="10"/>
      <c r="J106" s="10"/>
      <c r="K106" s="5"/>
    </row>
    <row r="107" spans="1:13" x14ac:dyDescent="0.25">
      <c r="A107" s="5"/>
      <c r="B107" s="123"/>
      <c r="C107" s="123"/>
      <c r="D107" s="124"/>
      <c r="E107" s="75"/>
      <c r="F107" s="75"/>
      <c r="G107" s="76"/>
      <c r="H107" s="12">
        <f t="shared" si="3"/>
        <v>-7.5</v>
      </c>
      <c r="I107" s="10"/>
      <c r="J107" s="10"/>
      <c r="K107" s="5"/>
    </row>
    <row r="108" spans="1:13" x14ac:dyDescent="0.25">
      <c r="A108" s="5"/>
      <c r="B108" s="123"/>
      <c r="C108" s="123"/>
      <c r="D108" s="124"/>
      <c r="E108" s="75"/>
      <c r="F108" s="75"/>
      <c r="G108" s="76"/>
      <c r="H108" s="12">
        <f t="shared" si="3"/>
        <v>-7.5</v>
      </c>
      <c r="I108" s="10"/>
      <c r="J108" s="10"/>
      <c r="K108" s="5"/>
      <c r="M108" s="49"/>
    </row>
    <row r="109" spans="1:13" x14ac:dyDescent="0.25">
      <c r="A109" s="5"/>
      <c r="B109" s="123"/>
      <c r="C109" s="123"/>
      <c r="D109" s="124"/>
      <c r="E109" s="75"/>
      <c r="F109" s="75"/>
      <c r="G109" s="76"/>
      <c r="H109" s="12">
        <f t="shared" si="3"/>
        <v>-7.5</v>
      </c>
      <c r="I109" s="10"/>
      <c r="J109" s="10"/>
      <c r="K109" s="5"/>
    </row>
    <row r="110" spans="1:13" x14ac:dyDescent="0.25">
      <c r="A110" s="5"/>
      <c r="B110" s="123"/>
      <c r="C110" s="123"/>
      <c r="D110" s="124"/>
      <c r="E110" s="75"/>
      <c r="F110" s="75"/>
      <c r="G110" s="76"/>
      <c r="H110" s="12">
        <f t="shared" si="3"/>
        <v>-7.5</v>
      </c>
      <c r="I110" s="10"/>
      <c r="J110" s="10"/>
      <c r="K110" s="5"/>
    </row>
    <row r="111" spans="1:13" x14ac:dyDescent="0.25">
      <c r="A111" s="5"/>
      <c r="B111" s="123"/>
      <c r="C111" s="123"/>
      <c r="D111" s="124"/>
      <c r="E111" s="75"/>
      <c r="F111" s="75"/>
      <c r="G111" s="76"/>
      <c r="H111" s="12">
        <f t="shared" si="3"/>
        <v>-7.5</v>
      </c>
      <c r="I111" s="10"/>
      <c r="J111" s="10"/>
      <c r="K111" s="5"/>
    </row>
    <row r="112" spans="1:13" x14ac:dyDescent="0.25">
      <c r="A112" s="5"/>
      <c r="B112" s="123"/>
      <c r="C112" s="123"/>
      <c r="D112" s="124"/>
      <c r="E112" s="75"/>
      <c r="F112" s="75"/>
      <c r="G112" s="76"/>
      <c r="H112" s="12">
        <f t="shared" si="3"/>
        <v>-7.5</v>
      </c>
      <c r="I112" s="10"/>
      <c r="J112" s="10"/>
      <c r="K112" s="5"/>
    </row>
    <row r="113" spans="1:13" x14ac:dyDescent="0.25">
      <c r="A113" s="5"/>
      <c r="B113" s="123"/>
      <c r="C113" s="123"/>
      <c r="D113" s="124"/>
      <c r="E113" s="75"/>
      <c r="F113" s="75"/>
      <c r="G113" s="76"/>
      <c r="H113" s="12">
        <f t="shared" si="3"/>
        <v>-7.5</v>
      </c>
      <c r="I113" s="10"/>
      <c r="J113" s="10"/>
      <c r="K113" s="5"/>
    </row>
    <row r="114" spans="1:13" x14ac:dyDescent="0.25">
      <c r="A114" s="5"/>
      <c r="B114" s="123"/>
      <c r="C114" s="123"/>
      <c r="D114" s="124"/>
      <c r="E114" s="75"/>
      <c r="F114" s="75"/>
      <c r="G114" s="76"/>
      <c r="H114" s="12">
        <f t="shared" si="3"/>
        <v>-7.5</v>
      </c>
      <c r="I114" s="10"/>
      <c r="J114" s="10"/>
      <c r="K114" s="5"/>
    </row>
    <row r="115" spans="1:13" x14ac:dyDescent="0.25">
      <c r="A115" s="5"/>
      <c r="B115" s="123"/>
      <c r="C115" s="123"/>
      <c r="D115" s="124"/>
      <c r="E115" s="75"/>
      <c r="F115" s="75"/>
      <c r="G115" s="76"/>
      <c r="H115" s="12">
        <f t="shared" si="3"/>
        <v>-7.5</v>
      </c>
      <c r="I115" s="10"/>
      <c r="J115" s="10"/>
      <c r="K115" s="5"/>
      <c r="M115" s="49"/>
    </row>
    <row r="116" spans="1:13" x14ac:dyDescent="0.25">
      <c r="A116" s="5"/>
      <c r="B116" s="123"/>
      <c r="C116" s="123"/>
      <c r="D116" s="124"/>
      <c r="E116" s="75"/>
      <c r="F116" s="75"/>
      <c r="G116" s="76"/>
      <c r="H116" s="12">
        <f>+H115+E116-F116</f>
        <v>-7.5</v>
      </c>
      <c r="I116" s="10"/>
      <c r="J116" s="10"/>
      <c r="K116" s="5"/>
    </row>
    <row r="117" spans="1:13" x14ac:dyDescent="0.25">
      <c r="A117" s="5"/>
      <c r="B117" s="123"/>
      <c r="C117" s="123"/>
      <c r="D117" s="124"/>
      <c r="E117" s="75"/>
      <c r="F117" s="75"/>
      <c r="G117" s="76"/>
      <c r="H117" s="12">
        <f t="shared" si="3"/>
        <v>-7.5</v>
      </c>
      <c r="I117" s="10"/>
      <c r="J117" s="10"/>
      <c r="K117" s="5"/>
    </row>
    <row r="118" spans="1:13" x14ac:dyDescent="0.25">
      <c r="A118" s="5"/>
      <c r="B118" s="123"/>
      <c r="C118" s="123"/>
      <c r="D118" s="124"/>
      <c r="E118" s="75"/>
      <c r="F118" s="75"/>
      <c r="G118" s="76"/>
      <c r="H118" s="12">
        <f t="shared" si="3"/>
        <v>-7.5</v>
      </c>
      <c r="I118" s="10"/>
      <c r="J118" s="10"/>
      <c r="K118" s="5"/>
    </row>
    <row r="119" spans="1:13" x14ac:dyDescent="0.25">
      <c r="A119" s="5"/>
      <c r="B119" s="123"/>
      <c r="C119" s="123"/>
      <c r="D119" s="124"/>
      <c r="E119" s="75"/>
      <c r="F119" s="75"/>
      <c r="G119" s="76"/>
      <c r="H119" s="12">
        <f t="shared" si="3"/>
        <v>-7.5</v>
      </c>
      <c r="I119" s="10"/>
      <c r="J119" s="10"/>
      <c r="K119" s="5"/>
    </row>
    <row r="120" spans="1:13" x14ac:dyDescent="0.25">
      <c r="A120" s="5"/>
      <c r="B120" s="123"/>
      <c r="C120" s="123"/>
      <c r="D120" s="124"/>
      <c r="E120" s="75"/>
      <c r="F120" s="75"/>
      <c r="G120" s="76"/>
      <c r="H120" s="12">
        <f t="shared" si="3"/>
        <v>-7.5</v>
      </c>
      <c r="I120" s="10"/>
      <c r="J120" s="10"/>
      <c r="K120" s="5"/>
    </row>
    <row r="121" spans="1:13" x14ac:dyDescent="0.25">
      <c r="A121" s="5"/>
      <c r="B121" s="123"/>
      <c r="C121" s="123"/>
      <c r="D121" s="124"/>
      <c r="E121" s="75"/>
      <c r="F121" s="75"/>
      <c r="G121" s="76"/>
      <c r="H121" s="12">
        <f t="shared" si="3"/>
        <v>-7.5</v>
      </c>
      <c r="I121" s="10"/>
      <c r="J121" s="10"/>
      <c r="K121" s="5"/>
      <c r="M121" s="49"/>
    </row>
    <row r="122" spans="1:13" x14ac:dyDescent="0.25">
      <c r="A122" s="5"/>
      <c r="B122" s="123"/>
      <c r="C122" s="123"/>
      <c r="D122" s="124"/>
      <c r="E122" s="75"/>
      <c r="F122" s="75"/>
      <c r="G122" s="76"/>
      <c r="H122" s="12">
        <f t="shared" si="3"/>
        <v>-7.5</v>
      </c>
      <c r="I122" s="10"/>
      <c r="J122" s="10"/>
      <c r="K122" s="5"/>
    </row>
    <row r="123" spans="1:13" x14ac:dyDescent="0.25">
      <c r="A123" s="5"/>
      <c r="B123" s="123"/>
      <c r="C123" s="123"/>
      <c r="D123" s="124"/>
      <c r="E123" s="75"/>
      <c r="F123" s="75"/>
      <c r="G123" s="76"/>
      <c r="H123" s="12">
        <f t="shared" si="3"/>
        <v>-7.5</v>
      </c>
      <c r="I123" s="10"/>
      <c r="J123" s="10"/>
      <c r="K123" s="5"/>
    </row>
    <row r="124" spans="1:13" x14ac:dyDescent="0.25">
      <c r="A124" s="5"/>
      <c r="B124" s="123"/>
      <c r="C124" s="123"/>
      <c r="D124" s="124"/>
      <c r="E124" s="75"/>
      <c r="F124" s="75"/>
      <c r="G124" s="76"/>
      <c r="H124" s="12">
        <f t="shared" si="3"/>
        <v>-7.5</v>
      </c>
      <c r="I124" s="10"/>
      <c r="J124" s="10"/>
      <c r="K124" s="5"/>
    </row>
    <row r="125" spans="1:13" x14ac:dyDescent="0.25">
      <c r="A125" s="5"/>
      <c r="B125" s="123"/>
      <c r="C125" s="123"/>
      <c r="D125" s="124"/>
      <c r="E125" s="75"/>
      <c r="F125" s="75"/>
      <c r="G125" s="76"/>
      <c r="H125" s="12">
        <f t="shared" si="3"/>
        <v>-7.5</v>
      </c>
      <c r="I125" s="10"/>
      <c r="J125" s="10"/>
      <c r="K125" s="5"/>
    </row>
    <row r="126" spans="1:13" x14ac:dyDescent="0.25">
      <c r="A126" s="5"/>
      <c r="B126" s="123"/>
      <c r="C126" s="123"/>
      <c r="D126" s="124"/>
      <c r="E126" s="75"/>
      <c r="F126" s="75"/>
      <c r="G126" s="76"/>
      <c r="H126" s="12">
        <f t="shared" si="3"/>
        <v>-7.5</v>
      </c>
      <c r="I126" s="10"/>
      <c r="J126" s="10"/>
      <c r="K126" s="5"/>
    </row>
    <row r="127" spans="1:13" x14ac:dyDescent="0.25">
      <c r="A127" s="5"/>
      <c r="B127" s="123"/>
      <c r="C127" s="123"/>
      <c r="D127" s="124"/>
      <c r="E127" s="75"/>
      <c r="F127" s="75"/>
      <c r="G127" s="76"/>
      <c r="H127" s="12">
        <f t="shared" si="3"/>
        <v>-7.5</v>
      </c>
      <c r="I127" s="10"/>
      <c r="J127" s="10"/>
      <c r="K127" s="5"/>
    </row>
    <row r="128" spans="1:13" x14ac:dyDescent="0.25">
      <c r="A128" s="5"/>
      <c r="B128" s="123"/>
      <c r="C128" s="123"/>
      <c r="D128" s="124"/>
      <c r="E128" s="75"/>
      <c r="F128" s="75"/>
      <c r="G128" s="76"/>
      <c r="H128" s="12">
        <f t="shared" si="3"/>
        <v>-7.5</v>
      </c>
      <c r="I128" s="10"/>
      <c r="J128" s="10"/>
      <c r="K128" s="5"/>
    </row>
    <row r="129" spans="1:13" x14ac:dyDescent="0.25">
      <c r="A129" s="5"/>
      <c r="B129" s="123"/>
      <c r="C129" s="123"/>
      <c r="D129" s="124"/>
      <c r="E129" s="75"/>
      <c r="F129" s="75"/>
      <c r="G129" s="76"/>
      <c r="H129" s="12">
        <f t="shared" si="3"/>
        <v>-7.5</v>
      </c>
      <c r="I129" s="10"/>
      <c r="J129" s="10"/>
      <c r="K129" s="5"/>
      <c r="M129" s="49"/>
    </row>
    <row r="130" spans="1:13" x14ac:dyDescent="0.25">
      <c r="A130" s="5"/>
      <c r="B130" s="123"/>
      <c r="C130" s="123"/>
      <c r="D130" s="124"/>
      <c r="E130" s="75"/>
      <c r="F130" s="75"/>
      <c r="G130" s="76"/>
      <c r="H130" s="12">
        <f>+H129+E130-F130</f>
        <v>-7.5</v>
      </c>
      <c r="I130" s="10"/>
      <c r="J130" s="10"/>
      <c r="K130" s="5"/>
    </row>
    <row r="131" spans="1:13" ht="16.5" thickBot="1" x14ac:dyDescent="0.3">
      <c r="A131" s="5"/>
      <c r="B131" s="23"/>
      <c r="C131" s="23"/>
      <c r="D131" s="24"/>
      <c r="E131" s="19"/>
      <c r="F131" s="12"/>
      <c r="G131" s="11"/>
      <c r="H131" s="27">
        <f>+H130+E131-F131</f>
        <v>-7.5</v>
      </c>
      <c r="I131" s="10"/>
      <c r="J131" s="10"/>
      <c r="K131" s="5"/>
    </row>
    <row r="132" spans="1:13" ht="17.25" thickTop="1" thickBot="1" x14ac:dyDescent="0.3">
      <c r="A132" s="5"/>
      <c r="B132" s="287" t="s">
        <v>55</v>
      </c>
      <c r="C132" s="288"/>
      <c r="D132" s="289"/>
      <c r="E132" s="20">
        <f>SUM(E11:E131)</f>
        <v>403418</v>
      </c>
      <c r="F132" s="25">
        <f>SUM(F11:F131)</f>
        <v>403425.5</v>
      </c>
      <c r="G132" s="5"/>
      <c r="H132" s="5"/>
      <c r="I132" s="5"/>
      <c r="J132" s="5"/>
      <c r="K132" s="5"/>
    </row>
    <row r="133" spans="1:13" ht="16.5" thickBot="1" x14ac:dyDescent="0.3">
      <c r="A133" s="5"/>
      <c r="B133" s="5"/>
      <c r="C133" s="5"/>
      <c r="D133" s="5"/>
      <c r="E133" s="5"/>
      <c r="F133" s="26">
        <f>+E132-F132</f>
        <v>-7.5</v>
      </c>
      <c r="G133" s="5"/>
      <c r="H133" s="5"/>
      <c r="I133" s="5"/>
      <c r="J133" s="5"/>
      <c r="K133" s="5"/>
    </row>
    <row r="134" spans="1:13" x14ac:dyDescent="0.25">
      <c r="A134" s="5"/>
      <c r="B134" s="5"/>
      <c r="C134" s="5"/>
      <c r="D134" s="5"/>
      <c r="E134" s="5"/>
      <c r="F134" s="5"/>
      <c r="G134" s="5"/>
      <c r="H134" s="16"/>
      <c r="I134" s="16"/>
      <c r="J134" s="5"/>
      <c r="K134" s="5"/>
    </row>
    <row r="135" spans="1:13" x14ac:dyDescent="0.25">
      <c r="A135" s="5"/>
      <c r="B135" s="5"/>
      <c r="C135" s="5"/>
      <c r="D135" s="5"/>
      <c r="E135" s="5"/>
      <c r="F135" s="5"/>
      <c r="G135" s="5"/>
      <c r="H135" s="16"/>
      <c r="I135" s="5"/>
      <c r="J135" s="5"/>
      <c r="K135" s="5"/>
    </row>
  </sheetData>
  <mergeCells count="3">
    <mergeCell ref="B2:J2"/>
    <mergeCell ref="B3:J3"/>
    <mergeCell ref="B132:D13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E777-319A-410E-B506-5CF190B17B07}">
  <sheetPr codeName="Hoja45"/>
  <dimension ref="A1:M25"/>
  <sheetViews>
    <sheetView topLeftCell="A5" zoomScaleNormal="100" workbookViewId="0">
      <selection activeCell="I14" sqref="I14"/>
    </sheetView>
  </sheetViews>
  <sheetFormatPr baseColWidth="10" defaultColWidth="11.42578125" defaultRowHeight="15.75" x14ac:dyDescent="0.25"/>
  <cols>
    <col min="1" max="1" width="3.7109375" style="1" customWidth="1"/>
    <col min="2" max="3" width="11.28515625" style="1" customWidth="1"/>
    <col min="4" max="4" width="13.85546875" style="1" customWidth="1"/>
    <col min="5" max="5" width="15" style="1" customWidth="1"/>
    <col min="6" max="6" width="15.42578125" style="1" customWidth="1"/>
    <col min="7" max="7" width="13.85546875" style="1" customWidth="1"/>
    <col min="8" max="8" width="12.5703125" style="1" customWidth="1"/>
    <col min="9" max="9" width="32.140625" style="1" bestFit="1" customWidth="1"/>
    <col min="10" max="10" width="3.7109375" style="1" customWidth="1"/>
    <col min="11" max="12" width="11.42578125" style="1"/>
    <col min="13" max="13" width="12.42578125" style="1" bestFit="1" customWidth="1"/>
    <col min="14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5"/>
    </row>
    <row r="5" spans="1:13" x14ac:dyDescent="0.25">
      <c r="A5" s="5"/>
      <c r="B5" s="7"/>
      <c r="C5" s="8" t="s">
        <v>49</v>
      </c>
      <c r="D5" s="5" t="s">
        <v>356</v>
      </c>
      <c r="E5" s="9"/>
      <c r="F5" s="9"/>
      <c r="G5" s="9"/>
      <c r="H5" s="9"/>
      <c r="I5" s="9"/>
      <c r="J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5"/>
    </row>
    <row r="7" spans="1:13" x14ac:dyDescent="0.25">
      <c r="A7" s="5"/>
      <c r="B7" s="7"/>
      <c r="C7" s="8" t="s">
        <v>48</v>
      </c>
      <c r="D7" s="5" t="s">
        <v>32</v>
      </c>
      <c r="E7" s="9"/>
      <c r="F7" s="9"/>
      <c r="G7" s="9"/>
      <c r="H7" s="9"/>
      <c r="I7" s="9"/>
      <c r="J7" s="5"/>
    </row>
    <row r="8" spans="1:13" x14ac:dyDescent="0.25">
      <c r="A8" s="5"/>
      <c r="B8" s="7"/>
      <c r="C8" s="8" t="s">
        <v>306</v>
      </c>
      <c r="D8" s="5"/>
      <c r="E8" s="9"/>
      <c r="F8" s="9"/>
      <c r="G8" s="9"/>
      <c r="H8" s="9"/>
      <c r="I8" s="9"/>
      <c r="J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4</v>
      </c>
      <c r="J10" s="6"/>
    </row>
    <row r="11" spans="1:13" x14ac:dyDescent="0.25">
      <c r="A11" s="5"/>
      <c r="B11" s="123">
        <v>260197</v>
      </c>
      <c r="C11" s="123">
        <v>2318</v>
      </c>
      <c r="D11" s="124">
        <v>46041</v>
      </c>
      <c r="E11" s="75">
        <v>2595</v>
      </c>
      <c r="F11" s="75">
        <v>2595</v>
      </c>
      <c r="G11" s="76">
        <v>46055</v>
      </c>
      <c r="H11" s="75">
        <f>+E11-F11</f>
        <v>0</v>
      </c>
      <c r="I11" s="200" t="s">
        <v>365</v>
      </c>
      <c r="J11" s="5"/>
    </row>
    <row r="12" spans="1:13" x14ac:dyDescent="0.25">
      <c r="A12" s="5"/>
      <c r="B12" s="165">
        <v>2603</v>
      </c>
      <c r="C12" s="165">
        <v>115</v>
      </c>
      <c r="D12" s="166">
        <v>46100</v>
      </c>
      <c r="E12" s="108">
        <v>1280</v>
      </c>
      <c r="F12" s="108">
        <v>1280</v>
      </c>
      <c r="G12" s="167">
        <v>46113</v>
      </c>
      <c r="H12" s="108">
        <f>+H11+E12-F12</f>
        <v>0</v>
      </c>
      <c r="I12" s="219" t="s">
        <v>388</v>
      </c>
      <c r="J12" s="5"/>
    </row>
    <row r="13" spans="1:13" x14ac:dyDescent="0.25">
      <c r="A13" s="5"/>
      <c r="B13" s="123"/>
      <c r="C13" s="123">
        <v>303</v>
      </c>
      <c r="D13" s="124">
        <v>46155</v>
      </c>
      <c r="E13" s="75">
        <v>2010</v>
      </c>
      <c r="F13" s="75">
        <v>2010</v>
      </c>
      <c r="G13" s="76">
        <v>46176</v>
      </c>
      <c r="H13" s="75">
        <f t="shared" ref="H13:H23" si="0">+H12+E13-F13</f>
        <v>0</v>
      </c>
      <c r="I13" s="219" t="s">
        <v>408</v>
      </c>
      <c r="J13" s="5"/>
      <c r="L13" s="49">
        <f>SUM(F12:F13)</f>
        <v>3290</v>
      </c>
    </row>
    <row r="14" spans="1:13" x14ac:dyDescent="0.25">
      <c r="A14" s="5"/>
      <c r="B14" s="123"/>
      <c r="C14" s="123">
        <v>574</v>
      </c>
      <c r="D14" s="124">
        <v>46238</v>
      </c>
      <c r="E14" s="75">
        <v>4920</v>
      </c>
      <c r="F14" s="75">
        <v>4920</v>
      </c>
      <c r="G14" s="76">
        <v>46261</v>
      </c>
      <c r="H14" s="75">
        <f t="shared" si="0"/>
        <v>0</v>
      </c>
      <c r="I14" s="219" t="s">
        <v>408</v>
      </c>
      <c r="J14" s="5"/>
      <c r="M14" s="49"/>
    </row>
    <row r="15" spans="1:13" x14ac:dyDescent="0.25">
      <c r="A15" s="5"/>
      <c r="B15" s="123"/>
      <c r="C15" s="123"/>
      <c r="D15" s="124"/>
      <c r="E15" s="75"/>
      <c r="F15" s="75"/>
      <c r="G15" s="76"/>
      <c r="H15" s="75">
        <f t="shared" si="0"/>
        <v>0</v>
      </c>
      <c r="I15" s="198"/>
      <c r="J15" s="5"/>
    </row>
    <row r="16" spans="1:13" x14ac:dyDescent="0.25">
      <c r="A16" s="5"/>
      <c r="B16" s="123"/>
      <c r="C16" s="123"/>
      <c r="D16" s="124"/>
      <c r="E16" s="75"/>
      <c r="F16" s="75"/>
      <c r="G16" s="76"/>
      <c r="H16" s="75">
        <f t="shared" si="0"/>
        <v>0</v>
      </c>
      <c r="I16" s="198"/>
      <c r="J16" s="5"/>
      <c r="L16" s="49">
        <f>SUM(F14:F16)</f>
        <v>4920</v>
      </c>
    </row>
    <row r="17" spans="1:12" x14ac:dyDescent="0.25">
      <c r="A17" s="5"/>
      <c r="B17" s="123"/>
      <c r="C17" s="123"/>
      <c r="D17" s="124"/>
      <c r="E17" s="75"/>
      <c r="F17" s="75"/>
      <c r="G17" s="76"/>
      <c r="H17" s="75">
        <f t="shared" si="0"/>
        <v>0</v>
      </c>
      <c r="I17" s="198"/>
      <c r="J17" s="5"/>
      <c r="L17" s="49"/>
    </row>
    <row r="18" spans="1:12" x14ac:dyDescent="0.25">
      <c r="A18" s="5"/>
      <c r="B18" s="123"/>
      <c r="C18" s="123"/>
      <c r="D18" s="124"/>
      <c r="E18" s="75"/>
      <c r="F18" s="75"/>
      <c r="G18" s="76"/>
      <c r="H18" s="75">
        <f t="shared" si="0"/>
        <v>0</v>
      </c>
      <c r="I18" s="198"/>
      <c r="J18" s="5"/>
      <c r="L18" s="49"/>
    </row>
    <row r="19" spans="1:12" x14ac:dyDescent="0.25">
      <c r="A19" s="5"/>
      <c r="B19" s="123"/>
      <c r="C19" s="123"/>
      <c r="D19" s="124"/>
      <c r="E19" s="75"/>
      <c r="F19" s="75"/>
      <c r="G19" s="76"/>
      <c r="H19" s="75">
        <f t="shared" si="0"/>
        <v>0</v>
      </c>
      <c r="I19" s="198"/>
      <c r="J19" s="5"/>
      <c r="L19" s="49"/>
    </row>
    <row r="20" spans="1:12" x14ac:dyDescent="0.25">
      <c r="A20" s="5"/>
      <c r="B20" s="123"/>
      <c r="C20" s="123"/>
      <c r="D20" s="124"/>
      <c r="E20" s="75"/>
      <c r="F20" s="75"/>
      <c r="G20" s="76"/>
      <c r="H20" s="75">
        <f t="shared" si="0"/>
        <v>0</v>
      </c>
      <c r="I20" s="198"/>
      <c r="J20" s="5"/>
      <c r="L20" s="49"/>
    </row>
    <row r="21" spans="1:12" x14ac:dyDescent="0.25">
      <c r="A21" s="5"/>
      <c r="B21" s="123"/>
      <c r="C21" s="123"/>
      <c r="D21" s="124"/>
      <c r="E21" s="75"/>
      <c r="F21" s="75"/>
      <c r="G21" s="76"/>
      <c r="H21" s="75">
        <f t="shared" si="0"/>
        <v>0</v>
      </c>
      <c r="I21" s="198"/>
      <c r="J21" s="5"/>
    </row>
    <row r="22" spans="1:12" x14ac:dyDescent="0.25">
      <c r="A22" s="5"/>
      <c r="B22" s="123"/>
      <c r="C22" s="123"/>
      <c r="D22" s="124"/>
      <c r="E22" s="75"/>
      <c r="F22" s="75"/>
      <c r="G22" s="76"/>
      <c r="H22" s="75">
        <f t="shared" si="0"/>
        <v>0</v>
      </c>
      <c r="I22" s="198"/>
      <c r="J22" s="5"/>
    </row>
    <row r="23" spans="1:12" ht="16.5" thickBot="1" x14ac:dyDescent="0.3">
      <c r="A23" s="5"/>
      <c r="B23" s="23"/>
      <c r="C23" s="106"/>
      <c r="D23" s="112"/>
      <c r="E23" s="107"/>
      <c r="F23" s="75"/>
      <c r="G23" s="76"/>
      <c r="H23" s="27">
        <f t="shared" si="0"/>
        <v>0</v>
      </c>
      <c r="I23" s="199"/>
      <c r="J23" s="5"/>
      <c r="L23" s="49"/>
    </row>
    <row r="24" spans="1:12" ht="16.5" thickTop="1" x14ac:dyDescent="0.25">
      <c r="A24" s="5"/>
      <c r="B24" s="268" t="s">
        <v>55</v>
      </c>
      <c r="C24" s="268"/>
      <c r="D24" s="268"/>
      <c r="E24" s="25">
        <f>SUM(E11:E23)</f>
        <v>10805</v>
      </c>
      <c r="F24" s="25">
        <f>SUM(F11:F23)</f>
        <v>10805</v>
      </c>
      <c r="G24" s="5"/>
      <c r="H24" s="5"/>
      <c r="I24" s="5"/>
      <c r="J24" s="5"/>
    </row>
    <row r="25" spans="1:12" x14ac:dyDescent="0.25">
      <c r="A25" s="5"/>
      <c r="B25" s="276" t="s">
        <v>67</v>
      </c>
      <c r="C25" s="276"/>
      <c r="D25" s="276"/>
      <c r="E25" s="276"/>
      <c r="F25" s="51">
        <f>+E24-F24</f>
        <v>0</v>
      </c>
      <c r="G25" s="5"/>
      <c r="H25" s="5"/>
      <c r="I25" s="5"/>
      <c r="J25" s="5"/>
    </row>
  </sheetData>
  <mergeCells count="4">
    <mergeCell ref="B2:I2"/>
    <mergeCell ref="B3:I3"/>
    <mergeCell ref="B24:D24"/>
    <mergeCell ref="B25:E25"/>
  </mergeCells>
  <pageMargins left="0.39370078740157483" right="0.19685039370078741" top="0.39370078740157483" bottom="0.39370078740157483" header="0.31496062992125984" footer="0.31496062992125984"/>
  <pageSetup scale="84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618C-E9AC-4594-A12A-9382BC1EEF78}">
  <sheetPr codeName="Hoja48">
    <pageSetUpPr fitToPage="1"/>
  </sheetPr>
  <dimension ref="A1:AK57"/>
  <sheetViews>
    <sheetView topLeftCell="A4" zoomScale="90" zoomScaleNormal="90" workbookViewId="0">
      <pane xSplit="3" ySplit="4" topLeftCell="AG29" activePane="bottomRight" state="frozen"/>
      <selection activeCell="F66" sqref="F66"/>
      <selection pane="topRight" activeCell="F66" sqref="F66"/>
      <selection pane="bottomLeft" activeCell="F66" sqref="F66"/>
      <selection pane="bottomRight" activeCell="A6" sqref="A6:A7"/>
    </sheetView>
  </sheetViews>
  <sheetFormatPr baseColWidth="10" defaultColWidth="11.42578125" defaultRowHeight="15.75" x14ac:dyDescent="0.25"/>
  <cols>
    <col min="1" max="1" width="3.5703125" style="2" customWidth="1"/>
    <col min="2" max="2" width="24.42578125" style="1" customWidth="1"/>
    <col min="3" max="3" width="13.140625" style="1" customWidth="1"/>
    <col min="4" max="29" width="15.140625" style="1" hidden="1" customWidth="1"/>
    <col min="30" max="32" width="15.28515625" style="1" hidden="1" customWidth="1"/>
    <col min="33" max="33" width="15.28515625" style="1" customWidth="1"/>
    <col min="34" max="34" width="15.140625" style="1" customWidth="1"/>
    <col min="35" max="35" width="18.140625" style="1" customWidth="1"/>
    <col min="36" max="36" width="11.42578125" style="1"/>
    <col min="37" max="37" width="12.42578125" style="1" bestFit="1" customWidth="1"/>
    <col min="38" max="16384" width="11.42578125" style="1"/>
  </cols>
  <sheetData>
    <row r="1" spans="1:35" ht="15" customHeight="1" x14ac:dyDescent="0.25">
      <c r="B1" s="30"/>
      <c r="C1" s="31"/>
    </row>
    <row r="2" spans="1:35" ht="15" customHeight="1" x14ac:dyDescent="0.25">
      <c r="B2" s="30"/>
      <c r="C2" s="31"/>
    </row>
    <row r="3" spans="1:35" ht="18" x14ac:dyDescent="0.25">
      <c r="A3" s="90" t="s">
        <v>68</v>
      </c>
      <c r="B3" s="90"/>
      <c r="C3" s="90"/>
    </row>
    <row r="4" spans="1:35" ht="18" x14ac:dyDescent="0.25">
      <c r="A4" s="90" t="s">
        <v>50</v>
      </c>
      <c r="B4" s="90"/>
      <c r="C4" s="90"/>
    </row>
    <row r="5" spans="1:35" ht="20.25" customHeight="1" x14ac:dyDescent="0.25">
      <c r="A5" s="111" t="s">
        <v>290</v>
      </c>
      <c r="B5" s="31"/>
      <c r="C5" s="31"/>
    </row>
    <row r="6" spans="1:35" ht="20.25" customHeight="1" x14ac:dyDescent="0.25">
      <c r="A6" s="270" t="s">
        <v>64</v>
      </c>
      <c r="B6" s="270" t="s">
        <v>1</v>
      </c>
      <c r="C6" s="270" t="s">
        <v>2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9"/>
      <c r="AD6" s="88"/>
      <c r="AE6" s="88"/>
      <c r="AF6" s="88"/>
      <c r="AG6" s="88"/>
      <c r="AH6" s="89"/>
      <c r="AI6" s="270" t="s">
        <v>80</v>
      </c>
    </row>
    <row r="7" spans="1:35" s="32" customFormat="1" ht="17.25" customHeight="1" x14ac:dyDescent="0.25">
      <c r="A7" s="270"/>
      <c r="B7" s="270"/>
      <c r="C7" s="270"/>
      <c r="D7" s="62">
        <v>1</v>
      </c>
      <c r="E7" s="62">
        <v>2</v>
      </c>
      <c r="F7" s="62">
        <v>3</v>
      </c>
      <c r="G7" s="62">
        <v>4</v>
      </c>
      <c r="H7" s="99" t="s">
        <v>81</v>
      </c>
      <c r="I7" s="62">
        <v>6</v>
      </c>
      <c r="J7" s="62">
        <v>7</v>
      </c>
      <c r="K7" s="62">
        <v>8</v>
      </c>
      <c r="L7" s="62">
        <v>9</v>
      </c>
      <c r="M7" s="62">
        <v>10</v>
      </c>
      <c r="N7" s="62">
        <v>11</v>
      </c>
      <c r="O7" s="99" t="s">
        <v>82</v>
      </c>
      <c r="P7" s="62">
        <v>13</v>
      </c>
      <c r="Q7" s="62">
        <v>14</v>
      </c>
      <c r="R7" s="62">
        <v>15</v>
      </c>
      <c r="S7" s="62">
        <v>16</v>
      </c>
      <c r="T7" s="62">
        <v>17</v>
      </c>
      <c r="U7" s="62">
        <v>18</v>
      </c>
      <c r="V7" s="99" t="s">
        <v>83</v>
      </c>
      <c r="W7" s="62">
        <v>20</v>
      </c>
      <c r="X7" s="62">
        <v>21</v>
      </c>
      <c r="Y7" s="62">
        <v>22</v>
      </c>
      <c r="Z7" s="62">
        <v>23</v>
      </c>
      <c r="AA7" s="62">
        <v>24</v>
      </c>
      <c r="AB7" s="62">
        <v>25</v>
      </c>
      <c r="AC7" s="99" t="s">
        <v>84</v>
      </c>
      <c r="AD7" s="62">
        <v>27</v>
      </c>
      <c r="AE7" s="62">
        <v>28</v>
      </c>
      <c r="AF7" s="62">
        <v>29</v>
      </c>
      <c r="AG7" s="62">
        <v>31</v>
      </c>
      <c r="AH7" s="99" t="s">
        <v>84</v>
      </c>
      <c r="AI7" s="270"/>
    </row>
    <row r="8" spans="1:35" s="32" customFormat="1" ht="16.5" customHeight="1" x14ac:dyDescent="0.25">
      <c r="A8" s="56">
        <v>1</v>
      </c>
      <c r="B8" s="57" t="s">
        <v>25</v>
      </c>
      <c r="C8" s="54" t="s">
        <v>13</v>
      </c>
      <c r="D8" s="63"/>
      <c r="E8" s="63"/>
      <c r="F8" s="63"/>
      <c r="G8" s="63"/>
      <c r="H8" s="66">
        <f t="shared" ref="H8:H50" si="0">SUM(D8:G8)</f>
        <v>0</v>
      </c>
      <c r="I8" s="63"/>
      <c r="J8" s="63"/>
      <c r="K8" s="63"/>
      <c r="L8" s="63"/>
      <c r="M8" s="63"/>
      <c r="N8" s="63"/>
      <c r="O8" s="66">
        <f>SUM(I8:N8)</f>
        <v>0</v>
      </c>
      <c r="P8" s="63"/>
      <c r="Q8" s="63"/>
      <c r="R8" s="63"/>
      <c r="S8" s="63"/>
      <c r="T8" s="63"/>
      <c r="U8" s="63"/>
      <c r="V8" s="66">
        <f>SUM(P8:U8)</f>
        <v>0</v>
      </c>
      <c r="W8" s="63"/>
      <c r="X8" s="63"/>
      <c r="Y8" s="63"/>
      <c r="Z8" s="63"/>
      <c r="AA8" s="63"/>
      <c r="AB8" s="63"/>
      <c r="AC8" s="66">
        <f t="shared" ref="AC8:AC50" si="1">SUM(W8:AB8)</f>
        <v>0</v>
      </c>
      <c r="AD8" s="63"/>
      <c r="AE8" s="63"/>
      <c r="AF8" s="63"/>
      <c r="AG8" s="63"/>
      <c r="AH8" s="66">
        <f t="shared" ref="AH8:AH48" si="2">SUM(AD8:AG8)</f>
        <v>0</v>
      </c>
      <c r="AI8" s="68">
        <f t="shared" ref="AI8:AI21" si="3">+H8+O8+V8+AH8</f>
        <v>0</v>
      </c>
    </row>
    <row r="9" spans="1:35" ht="16.5" customHeight="1" x14ac:dyDescent="0.25">
      <c r="A9" s="56">
        <f>1+A8</f>
        <v>2</v>
      </c>
      <c r="B9" s="57" t="s">
        <v>11</v>
      </c>
      <c r="C9" s="54" t="s">
        <v>6</v>
      </c>
      <c r="D9" s="64"/>
      <c r="E9" s="64"/>
      <c r="F9" s="64"/>
      <c r="G9" s="64"/>
      <c r="H9" s="66">
        <f t="shared" si="0"/>
        <v>0</v>
      </c>
      <c r="I9" s="64"/>
      <c r="J9" s="64"/>
      <c r="K9" s="64"/>
      <c r="L9" s="64"/>
      <c r="M9" s="64"/>
      <c r="N9" s="64"/>
      <c r="O9" s="66">
        <f t="shared" ref="O9:O50" si="4">SUM(I9:N9)</f>
        <v>0</v>
      </c>
      <c r="P9" s="64"/>
      <c r="Q9" s="64"/>
      <c r="R9" s="64"/>
      <c r="S9" s="64"/>
      <c r="T9" s="64"/>
      <c r="U9" s="64"/>
      <c r="V9" s="66">
        <f>SUM(P9:U9)</f>
        <v>0</v>
      </c>
      <c r="W9" s="64"/>
      <c r="X9" s="64"/>
      <c r="Y9" s="64"/>
      <c r="Z9" s="64"/>
      <c r="AA9" s="64"/>
      <c r="AB9" s="64"/>
      <c r="AC9" s="66">
        <f t="shared" si="1"/>
        <v>0</v>
      </c>
      <c r="AD9" s="64"/>
      <c r="AE9" s="64"/>
      <c r="AF9" s="64"/>
      <c r="AG9" s="64"/>
      <c r="AH9" s="66">
        <f t="shared" si="2"/>
        <v>0</v>
      </c>
      <c r="AI9" s="68">
        <f t="shared" si="3"/>
        <v>0</v>
      </c>
    </row>
    <row r="10" spans="1:35" ht="16.5" customHeight="1" x14ac:dyDescent="0.25">
      <c r="A10" s="56">
        <f t="shared" ref="A10:A21" si="5">1+A9</f>
        <v>3</v>
      </c>
      <c r="B10" s="57" t="s">
        <v>70</v>
      </c>
      <c r="C10" s="54" t="s">
        <v>13</v>
      </c>
      <c r="D10" s="67"/>
      <c r="E10" s="67"/>
      <c r="F10" s="67"/>
      <c r="G10" s="67"/>
      <c r="H10" s="66">
        <f t="shared" si="0"/>
        <v>0</v>
      </c>
      <c r="I10" s="67"/>
      <c r="J10" s="67"/>
      <c r="K10" s="67"/>
      <c r="L10" s="67"/>
      <c r="M10" s="67"/>
      <c r="N10" s="67"/>
      <c r="O10" s="66">
        <f t="shared" si="4"/>
        <v>0</v>
      </c>
      <c r="P10" s="67"/>
      <c r="Q10" s="67"/>
      <c r="R10" s="67"/>
      <c r="S10" s="67"/>
      <c r="T10" s="67"/>
      <c r="U10" s="67"/>
      <c r="V10" s="66">
        <f t="shared" ref="V10:V23" si="6">SUM(P10:U10)</f>
        <v>0</v>
      </c>
      <c r="W10" s="67"/>
      <c r="X10" s="67"/>
      <c r="Y10" s="67"/>
      <c r="Z10" s="67"/>
      <c r="AA10" s="67"/>
      <c r="AB10" s="67"/>
      <c r="AC10" s="66">
        <f t="shared" si="1"/>
        <v>0</v>
      </c>
      <c r="AD10" s="67"/>
      <c r="AE10" s="67"/>
      <c r="AF10" s="67"/>
      <c r="AG10" s="67"/>
      <c r="AH10" s="66">
        <f t="shared" si="2"/>
        <v>0</v>
      </c>
      <c r="AI10" s="68">
        <f t="shared" si="3"/>
        <v>0</v>
      </c>
    </row>
    <row r="11" spans="1:35" ht="16.5" customHeight="1" x14ac:dyDescent="0.25">
      <c r="A11" s="56">
        <f t="shared" si="5"/>
        <v>4</v>
      </c>
      <c r="B11" s="57" t="s">
        <v>23</v>
      </c>
      <c r="C11" s="54" t="s">
        <v>9</v>
      </c>
      <c r="D11" s="67"/>
      <c r="E11" s="67"/>
      <c r="F11" s="67"/>
      <c r="G11" s="67"/>
      <c r="H11" s="66">
        <f t="shared" si="0"/>
        <v>0</v>
      </c>
      <c r="I11" s="67"/>
      <c r="J11" s="67"/>
      <c r="K11" s="67"/>
      <c r="L11" s="67"/>
      <c r="M11" s="67"/>
      <c r="N11" s="67"/>
      <c r="O11" s="66">
        <f t="shared" si="4"/>
        <v>0</v>
      </c>
      <c r="P11" s="67"/>
      <c r="Q11" s="67"/>
      <c r="R11" s="67"/>
      <c r="S11" s="67"/>
      <c r="T11" s="67"/>
      <c r="U11" s="67"/>
      <c r="V11" s="66">
        <f t="shared" si="6"/>
        <v>0</v>
      </c>
      <c r="W11" s="67"/>
      <c r="X11" s="67"/>
      <c r="Y11" s="67"/>
      <c r="Z11" s="67"/>
      <c r="AA11" s="67"/>
      <c r="AB11" s="67"/>
      <c r="AC11" s="66">
        <f t="shared" si="1"/>
        <v>0</v>
      </c>
      <c r="AD11" s="67"/>
      <c r="AE11" s="67"/>
      <c r="AF11" s="67"/>
      <c r="AG11" s="67"/>
      <c r="AH11" s="66">
        <f t="shared" si="2"/>
        <v>0</v>
      </c>
      <c r="AI11" s="68">
        <f t="shared" si="3"/>
        <v>0</v>
      </c>
    </row>
    <row r="12" spans="1:35" ht="16.5" customHeight="1" x14ac:dyDescent="0.25">
      <c r="A12" s="56">
        <f t="shared" si="5"/>
        <v>5</v>
      </c>
      <c r="B12" s="57" t="s">
        <v>24</v>
      </c>
      <c r="C12" s="54" t="s">
        <v>9</v>
      </c>
      <c r="D12" s="67"/>
      <c r="E12" s="67"/>
      <c r="F12" s="67"/>
      <c r="G12" s="67"/>
      <c r="H12" s="66">
        <f t="shared" si="0"/>
        <v>0</v>
      </c>
      <c r="I12" s="67"/>
      <c r="J12" s="67"/>
      <c r="K12" s="67"/>
      <c r="L12" s="67"/>
      <c r="M12" s="67"/>
      <c r="N12" s="67"/>
      <c r="O12" s="66">
        <f t="shared" si="4"/>
        <v>0</v>
      </c>
      <c r="P12" s="67"/>
      <c r="Q12" s="67"/>
      <c r="R12" s="67"/>
      <c r="S12" s="67"/>
      <c r="T12" s="67"/>
      <c r="U12" s="67"/>
      <c r="V12" s="66">
        <f t="shared" si="6"/>
        <v>0</v>
      </c>
      <c r="W12" s="67"/>
      <c r="X12" s="67"/>
      <c r="Y12" s="67"/>
      <c r="Z12" s="67"/>
      <c r="AA12" s="67"/>
      <c r="AB12" s="67"/>
      <c r="AC12" s="66">
        <f t="shared" si="1"/>
        <v>0</v>
      </c>
      <c r="AD12" s="67"/>
      <c r="AE12" s="67"/>
      <c r="AF12" s="67"/>
      <c r="AG12" s="67"/>
      <c r="AH12" s="66">
        <f t="shared" si="2"/>
        <v>0</v>
      </c>
      <c r="AI12" s="68">
        <f t="shared" si="3"/>
        <v>0</v>
      </c>
    </row>
    <row r="13" spans="1:35" ht="16.5" customHeight="1" x14ac:dyDescent="0.25">
      <c r="A13" s="56">
        <f t="shared" si="5"/>
        <v>6</v>
      </c>
      <c r="B13" s="57" t="s">
        <v>12</v>
      </c>
      <c r="C13" s="54" t="s">
        <v>13</v>
      </c>
      <c r="D13" s="67"/>
      <c r="E13" s="67"/>
      <c r="F13" s="67"/>
      <c r="G13" s="67"/>
      <c r="H13" s="66">
        <f t="shared" si="0"/>
        <v>0</v>
      </c>
      <c r="I13" s="67"/>
      <c r="J13" s="67"/>
      <c r="K13" s="67"/>
      <c r="L13" s="67"/>
      <c r="M13" s="67"/>
      <c r="N13" s="67"/>
      <c r="O13" s="66">
        <f t="shared" si="4"/>
        <v>0</v>
      </c>
      <c r="P13" s="67"/>
      <c r="Q13" s="67"/>
      <c r="R13" s="67"/>
      <c r="S13" s="67"/>
      <c r="T13" s="67"/>
      <c r="U13" s="67"/>
      <c r="V13" s="66">
        <f t="shared" si="6"/>
        <v>0</v>
      </c>
      <c r="W13" s="67"/>
      <c r="X13" s="67"/>
      <c r="Y13" s="67"/>
      <c r="Z13" s="67"/>
      <c r="AA13" s="67"/>
      <c r="AB13" s="67"/>
      <c r="AC13" s="66">
        <f t="shared" si="1"/>
        <v>0</v>
      </c>
      <c r="AD13" s="67"/>
      <c r="AE13" s="67"/>
      <c r="AF13" s="67"/>
      <c r="AG13" s="67"/>
      <c r="AH13" s="66">
        <f t="shared" si="2"/>
        <v>0</v>
      </c>
      <c r="AI13" s="68">
        <f t="shared" si="3"/>
        <v>0</v>
      </c>
    </row>
    <row r="14" spans="1:35" ht="16.5" customHeight="1" x14ac:dyDescent="0.25">
      <c r="A14" s="56">
        <f t="shared" si="5"/>
        <v>7</v>
      </c>
      <c r="B14" s="55" t="s">
        <v>5</v>
      </c>
      <c r="C14" s="54" t="s">
        <v>6</v>
      </c>
      <c r="D14" s="67"/>
      <c r="E14" s="67"/>
      <c r="F14" s="67"/>
      <c r="G14" s="67"/>
      <c r="H14" s="66">
        <f t="shared" si="0"/>
        <v>0</v>
      </c>
      <c r="I14" s="67"/>
      <c r="J14" s="67"/>
      <c r="K14" s="67"/>
      <c r="L14" s="67"/>
      <c r="M14" s="67"/>
      <c r="N14" s="67"/>
      <c r="O14" s="66">
        <f t="shared" si="4"/>
        <v>0</v>
      </c>
      <c r="P14" s="67"/>
      <c r="Q14" s="67"/>
      <c r="R14" s="67"/>
      <c r="S14" s="67"/>
      <c r="T14" s="67"/>
      <c r="U14" s="67"/>
      <c r="V14" s="66">
        <f t="shared" si="6"/>
        <v>0</v>
      </c>
      <c r="W14" s="67"/>
      <c r="X14" s="67"/>
      <c r="Y14" s="67"/>
      <c r="Z14" s="67"/>
      <c r="AA14" s="67"/>
      <c r="AB14" s="67"/>
      <c r="AC14" s="66">
        <f t="shared" si="1"/>
        <v>0</v>
      </c>
      <c r="AD14" s="67"/>
      <c r="AE14" s="67"/>
      <c r="AF14" s="67"/>
      <c r="AG14" s="67"/>
      <c r="AH14" s="66">
        <f t="shared" si="2"/>
        <v>0</v>
      </c>
      <c r="AI14" s="68">
        <f t="shared" si="3"/>
        <v>0</v>
      </c>
    </row>
    <row r="15" spans="1:35" ht="16.5" customHeight="1" x14ac:dyDescent="0.25">
      <c r="A15" s="56">
        <f t="shared" si="5"/>
        <v>8</v>
      </c>
      <c r="B15" s="57" t="s">
        <v>21</v>
      </c>
      <c r="C15" s="54" t="s">
        <v>16</v>
      </c>
      <c r="D15" s="67"/>
      <c r="E15" s="67"/>
      <c r="F15" s="67"/>
      <c r="G15" s="67"/>
      <c r="H15" s="66">
        <f t="shared" si="0"/>
        <v>0</v>
      </c>
      <c r="I15" s="67"/>
      <c r="J15" s="67"/>
      <c r="K15" s="67"/>
      <c r="L15" s="67"/>
      <c r="M15" s="67"/>
      <c r="N15" s="67"/>
      <c r="O15" s="66">
        <f t="shared" si="4"/>
        <v>0</v>
      </c>
      <c r="P15" s="67"/>
      <c r="Q15" s="67"/>
      <c r="R15" s="67"/>
      <c r="S15" s="67"/>
      <c r="T15" s="67"/>
      <c r="U15" s="67"/>
      <c r="V15" s="66">
        <f t="shared" si="6"/>
        <v>0</v>
      </c>
      <c r="W15" s="67"/>
      <c r="X15" s="67"/>
      <c r="Y15" s="67"/>
      <c r="Z15" s="67"/>
      <c r="AA15" s="67"/>
      <c r="AB15" s="67"/>
      <c r="AC15" s="66">
        <f t="shared" si="1"/>
        <v>0</v>
      </c>
      <c r="AD15" s="67"/>
      <c r="AE15" s="67"/>
      <c r="AF15" s="67"/>
      <c r="AG15" s="67"/>
      <c r="AH15" s="66">
        <f t="shared" si="2"/>
        <v>0</v>
      </c>
      <c r="AI15" s="68">
        <f t="shared" si="3"/>
        <v>0</v>
      </c>
    </row>
    <row r="16" spans="1:35" ht="16.5" customHeight="1" x14ac:dyDescent="0.25">
      <c r="A16" s="56">
        <f t="shared" si="5"/>
        <v>9</v>
      </c>
      <c r="B16" s="57" t="s">
        <v>15</v>
      </c>
      <c r="C16" s="54" t="s">
        <v>16</v>
      </c>
      <c r="D16" s="67"/>
      <c r="E16" s="67"/>
      <c r="F16" s="67"/>
      <c r="G16" s="67"/>
      <c r="H16" s="66">
        <f t="shared" si="0"/>
        <v>0</v>
      </c>
      <c r="I16" s="67"/>
      <c r="J16" s="67"/>
      <c r="K16" s="67"/>
      <c r="L16" s="67"/>
      <c r="M16" s="67"/>
      <c r="N16" s="67"/>
      <c r="O16" s="66">
        <f t="shared" si="4"/>
        <v>0</v>
      </c>
      <c r="P16" s="67"/>
      <c r="Q16" s="67"/>
      <c r="R16" s="67"/>
      <c r="S16" s="67"/>
      <c r="T16" s="67"/>
      <c r="U16" s="67"/>
      <c r="V16" s="66">
        <f t="shared" si="6"/>
        <v>0</v>
      </c>
      <c r="W16" s="67"/>
      <c r="X16" s="67"/>
      <c r="Y16" s="67"/>
      <c r="Z16" s="67"/>
      <c r="AA16" s="67"/>
      <c r="AB16" s="67"/>
      <c r="AC16" s="66">
        <f t="shared" si="1"/>
        <v>0</v>
      </c>
      <c r="AD16" s="67"/>
      <c r="AE16" s="67"/>
      <c r="AF16" s="67"/>
      <c r="AG16" s="67"/>
      <c r="AH16" s="66">
        <f t="shared" si="2"/>
        <v>0</v>
      </c>
      <c r="AI16" s="68">
        <f t="shared" si="3"/>
        <v>0</v>
      </c>
    </row>
    <row r="17" spans="1:37" ht="16.5" customHeight="1" x14ac:dyDescent="0.25">
      <c r="A17" s="56">
        <f t="shared" si="5"/>
        <v>10</v>
      </c>
      <c r="B17" s="57" t="s">
        <v>27</v>
      </c>
      <c r="C17" s="54" t="s">
        <v>26</v>
      </c>
      <c r="D17" s="67"/>
      <c r="E17" s="67"/>
      <c r="F17" s="67"/>
      <c r="G17" s="67"/>
      <c r="H17" s="66">
        <f t="shared" si="0"/>
        <v>0</v>
      </c>
      <c r="I17" s="67"/>
      <c r="J17" s="67"/>
      <c r="K17" s="67"/>
      <c r="L17" s="67"/>
      <c r="M17" s="67"/>
      <c r="N17" s="67"/>
      <c r="O17" s="66">
        <f t="shared" si="4"/>
        <v>0</v>
      </c>
      <c r="P17" s="67"/>
      <c r="Q17" s="67"/>
      <c r="R17" s="67"/>
      <c r="S17" s="67"/>
      <c r="T17" s="67"/>
      <c r="U17" s="67"/>
      <c r="V17" s="66">
        <f t="shared" si="6"/>
        <v>0</v>
      </c>
      <c r="W17" s="67"/>
      <c r="X17" s="67"/>
      <c r="Y17" s="67"/>
      <c r="Z17" s="67"/>
      <c r="AA17" s="67"/>
      <c r="AB17" s="67"/>
      <c r="AC17" s="66">
        <f t="shared" si="1"/>
        <v>0</v>
      </c>
      <c r="AD17" s="67"/>
      <c r="AE17" s="67"/>
      <c r="AF17" s="67"/>
      <c r="AG17" s="67"/>
      <c r="AH17" s="66">
        <f t="shared" si="2"/>
        <v>0</v>
      </c>
      <c r="AI17" s="68">
        <f t="shared" si="3"/>
        <v>0</v>
      </c>
    </row>
    <row r="18" spans="1:37" ht="16.5" customHeight="1" x14ac:dyDescent="0.25">
      <c r="A18" s="56">
        <f t="shared" si="5"/>
        <v>11</v>
      </c>
      <c r="B18" s="57" t="s">
        <v>8</v>
      </c>
      <c r="C18" s="54" t="s">
        <v>9</v>
      </c>
      <c r="D18" s="67"/>
      <c r="E18" s="67"/>
      <c r="F18" s="67"/>
      <c r="G18" s="67"/>
      <c r="H18" s="66">
        <f t="shared" si="0"/>
        <v>0</v>
      </c>
      <c r="I18" s="67"/>
      <c r="J18" s="67"/>
      <c r="K18" s="67"/>
      <c r="L18" s="67"/>
      <c r="M18" s="67"/>
      <c r="N18" s="67"/>
      <c r="O18" s="66">
        <f t="shared" si="4"/>
        <v>0</v>
      </c>
      <c r="P18" s="67"/>
      <c r="Q18" s="67"/>
      <c r="R18" s="67"/>
      <c r="S18" s="67"/>
      <c r="T18" s="67"/>
      <c r="U18" s="67"/>
      <c r="V18" s="66">
        <f t="shared" si="6"/>
        <v>0</v>
      </c>
      <c r="W18" s="67"/>
      <c r="X18" s="67"/>
      <c r="Y18" s="67"/>
      <c r="Z18" s="67"/>
      <c r="AA18" s="67"/>
      <c r="AB18" s="67"/>
      <c r="AC18" s="66">
        <f t="shared" si="1"/>
        <v>0</v>
      </c>
      <c r="AD18" s="67"/>
      <c r="AE18" s="67"/>
      <c r="AF18" s="67"/>
      <c r="AG18" s="67"/>
      <c r="AH18" s="66">
        <f t="shared" si="2"/>
        <v>0</v>
      </c>
      <c r="AI18" s="68">
        <f t="shared" si="3"/>
        <v>0</v>
      </c>
    </row>
    <row r="19" spans="1:37" ht="16.5" customHeight="1" x14ac:dyDescent="0.25">
      <c r="A19" s="56">
        <f t="shared" si="5"/>
        <v>12</v>
      </c>
      <c r="B19" s="57" t="s">
        <v>28</v>
      </c>
      <c r="C19" s="54" t="s">
        <v>29</v>
      </c>
      <c r="D19" s="67"/>
      <c r="E19" s="67"/>
      <c r="F19" s="67"/>
      <c r="G19" s="67"/>
      <c r="H19" s="66">
        <f t="shared" si="0"/>
        <v>0</v>
      </c>
      <c r="I19" s="67"/>
      <c r="J19" s="67"/>
      <c r="K19" s="67"/>
      <c r="L19" s="67"/>
      <c r="M19" s="67"/>
      <c r="N19" s="67"/>
      <c r="O19" s="66">
        <f t="shared" si="4"/>
        <v>0</v>
      </c>
      <c r="P19" s="67"/>
      <c r="Q19" s="67"/>
      <c r="R19" s="67"/>
      <c r="S19" s="67"/>
      <c r="T19" s="67"/>
      <c r="U19" s="67"/>
      <c r="V19" s="66">
        <f t="shared" si="6"/>
        <v>0</v>
      </c>
      <c r="W19" s="67"/>
      <c r="X19" s="67"/>
      <c r="Y19" s="67"/>
      <c r="Z19" s="67"/>
      <c r="AA19" s="67"/>
      <c r="AB19" s="67"/>
      <c r="AC19" s="66">
        <f t="shared" si="1"/>
        <v>0</v>
      </c>
      <c r="AD19" s="67"/>
      <c r="AE19" s="67"/>
      <c r="AF19" s="67"/>
      <c r="AG19" s="67"/>
      <c r="AH19" s="66">
        <f t="shared" si="2"/>
        <v>0</v>
      </c>
      <c r="AI19" s="68">
        <f t="shared" si="3"/>
        <v>0</v>
      </c>
    </row>
    <row r="20" spans="1:37" ht="16.5" customHeight="1" x14ac:dyDescent="0.25">
      <c r="A20" s="56">
        <f t="shared" si="5"/>
        <v>13</v>
      </c>
      <c r="B20" s="57" t="s">
        <v>10</v>
      </c>
      <c r="C20" s="65" t="s">
        <v>76</v>
      </c>
      <c r="D20" s="67"/>
      <c r="E20" s="67"/>
      <c r="F20" s="67"/>
      <c r="G20" s="67"/>
      <c r="H20" s="66">
        <f t="shared" si="0"/>
        <v>0</v>
      </c>
      <c r="I20" s="67"/>
      <c r="J20" s="67"/>
      <c r="K20" s="67"/>
      <c r="L20" s="67"/>
      <c r="M20" s="67"/>
      <c r="N20" s="67"/>
      <c r="O20" s="66">
        <f t="shared" si="4"/>
        <v>0</v>
      </c>
      <c r="P20" s="67"/>
      <c r="Q20" s="67"/>
      <c r="R20" s="67"/>
      <c r="S20" s="67"/>
      <c r="T20" s="67"/>
      <c r="U20" s="67"/>
      <c r="V20" s="66">
        <f t="shared" si="6"/>
        <v>0</v>
      </c>
      <c r="W20" s="67"/>
      <c r="X20" s="67"/>
      <c r="Y20" s="67"/>
      <c r="Z20" s="67"/>
      <c r="AA20" s="67"/>
      <c r="AB20" s="67"/>
      <c r="AC20" s="66">
        <f t="shared" si="1"/>
        <v>0</v>
      </c>
      <c r="AD20" s="67"/>
      <c r="AE20" s="67"/>
      <c r="AF20" s="67"/>
      <c r="AG20" s="67"/>
      <c r="AH20" s="66">
        <f t="shared" si="2"/>
        <v>0</v>
      </c>
      <c r="AI20" s="68">
        <f t="shared" si="3"/>
        <v>0</v>
      </c>
    </row>
    <row r="21" spans="1:37" ht="16.5" customHeight="1" x14ac:dyDescent="0.25">
      <c r="A21" s="56">
        <f t="shared" si="5"/>
        <v>14</v>
      </c>
      <c r="B21" s="57" t="s">
        <v>7</v>
      </c>
      <c r="C21" s="65" t="s">
        <v>76</v>
      </c>
      <c r="D21" s="67"/>
      <c r="E21" s="67"/>
      <c r="F21" s="67"/>
      <c r="G21" s="67"/>
      <c r="H21" s="66">
        <f t="shared" si="0"/>
        <v>0</v>
      </c>
      <c r="I21" s="67"/>
      <c r="J21" s="67"/>
      <c r="K21" s="67"/>
      <c r="L21" s="67"/>
      <c r="M21" s="67"/>
      <c r="N21" s="67"/>
      <c r="O21" s="66">
        <f t="shared" si="4"/>
        <v>0</v>
      </c>
      <c r="P21" s="67"/>
      <c r="Q21" s="67"/>
      <c r="R21" s="67"/>
      <c r="S21" s="67"/>
      <c r="T21" s="67"/>
      <c r="U21" s="67"/>
      <c r="V21" s="66">
        <f t="shared" si="6"/>
        <v>0</v>
      </c>
      <c r="W21" s="67"/>
      <c r="X21" s="67"/>
      <c r="Y21" s="67"/>
      <c r="Z21" s="67"/>
      <c r="AA21" s="67"/>
      <c r="AB21" s="67"/>
      <c r="AC21" s="66">
        <f t="shared" si="1"/>
        <v>0</v>
      </c>
      <c r="AD21" s="67"/>
      <c r="AE21" s="67"/>
      <c r="AF21" s="67"/>
      <c r="AG21" s="67"/>
      <c r="AH21" s="66">
        <f t="shared" si="2"/>
        <v>0</v>
      </c>
      <c r="AI21" s="68">
        <f t="shared" si="3"/>
        <v>0</v>
      </c>
    </row>
    <row r="22" spans="1:37" ht="27" customHeight="1" x14ac:dyDescent="0.25">
      <c r="A22" s="56" t="e">
        <f>1+#REF!</f>
        <v>#REF!</v>
      </c>
      <c r="B22" s="105" t="s">
        <v>39</v>
      </c>
      <c r="C22" s="54" t="s">
        <v>40</v>
      </c>
      <c r="D22" s="67"/>
      <c r="E22" s="67"/>
      <c r="F22" s="67"/>
      <c r="G22" s="67"/>
      <c r="H22" s="66">
        <f t="shared" si="0"/>
        <v>0</v>
      </c>
      <c r="I22" s="67"/>
      <c r="J22" s="67"/>
      <c r="K22" s="67"/>
      <c r="L22" s="75"/>
      <c r="M22" s="76"/>
      <c r="N22" s="67"/>
      <c r="O22" s="66">
        <f>SUM(I22:N22)</f>
        <v>0</v>
      </c>
      <c r="P22" s="67"/>
      <c r="Q22" s="67"/>
      <c r="R22" s="67"/>
      <c r="S22" s="67"/>
      <c r="T22" s="67"/>
      <c r="U22" s="67"/>
      <c r="V22" s="66">
        <f>SUM(P22:U22)</f>
        <v>0</v>
      </c>
      <c r="W22" s="67"/>
      <c r="X22" s="67"/>
      <c r="Y22" s="67"/>
      <c r="Z22" s="67"/>
      <c r="AA22" s="67"/>
      <c r="AB22" s="67"/>
      <c r="AC22" s="66">
        <f t="shared" si="1"/>
        <v>0</v>
      </c>
      <c r="AD22" s="67"/>
      <c r="AE22" s="67"/>
      <c r="AF22" s="67"/>
      <c r="AG22" s="67"/>
      <c r="AH22" s="66">
        <f t="shared" si="2"/>
        <v>0</v>
      </c>
      <c r="AI22" s="68">
        <f>H22+O22+V22+AH22</f>
        <v>0</v>
      </c>
    </row>
    <row r="23" spans="1:37" ht="17.25" customHeight="1" x14ac:dyDescent="0.25">
      <c r="A23" s="271" t="s">
        <v>77</v>
      </c>
      <c r="B23" s="272"/>
      <c r="C23" s="273"/>
      <c r="D23" s="93"/>
      <c r="E23" s="93"/>
      <c r="F23" s="93"/>
      <c r="G23" s="93">
        <f t="shared" ref="G23" si="7">SUM(G8:G22)</f>
        <v>0</v>
      </c>
      <c r="H23" s="66">
        <f t="shared" si="0"/>
        <v>0</v>
      </c>
      <c r="I23" s="93">
        <f>SUM(I8:I22)</f>
        <v>0</v>
      </c>
      <c r="J23" s="93">
        <f t="shared" ref="J23:N23" si="8">SUM(J8:J22)</f>
        <v>0</v>
      </c>
      <c r="K23" s="93">
        <f t="shared" si="8"/>
        <v>0</v>
      </c>
      <c r="L23" s="93">
        <f t="shared" si="8"/>
        <v>0</v>
      </c>
      <c r="M23" s="93">
        <f t="shared" si="8"/>
        <v>0</v>
      </c>
      <c r="N23" s="93">
        <f t="shared" si="8"/>
        <v>0</v>
      </c>
      <c r="O23" s="91">
        <f t="shared" si="4"/>
        <v>0</v>
      </c>
      <c r="P23" s="93">
        <f>SUM(P8:P22)</f>
        <v>0</v>
      </c>
      <c r="Q23" s="93">
        <f t="shared" ref="Q23:U23" si="9">SUM(Q8:Q22)</f>
        <v>0</v>
      </c>
      <c r="R23" s="93">
        <f t="shared" si="9"/>
        <v>0</v>
      </c>
      <c r="S23" s="93">
        <f t="shared" si="9"/>
        <v>0</v>
      </c>
      <c r="T23" s="93">
        <f t="shared" si="9"/>
        <v>0</v>
      </c>
      <c r="U23" s="93">
        <f t="shared" si="9"/>
        <v>0</v>
      </c>
      <c r="V23" s="91">
        <f t="shared" si="6"/>
        <v>0</v>
      </c>
      <c r="W23" s="93">
        <f>SUM(W8:W22)</f>
        <v>0</v>
      </c>
      <c r="X23" s="93">
        <f>SUM(X8:X22)</f>
        <v>0</v>
      </c>
      <c r="Y23" s="93">
        <f t="shared" ref="Y23:AB23" si="10">SUM(Y8:Y22)</f>
        <v>0</v>
      </c>
      <c r="Z23" s="93">
        <f t="shared" si="10"/>
        <v>0</v>
      </c>
      <c r="AA23" s="93">
        <f t="shared" si="10"/>
        <v>0</v>
      </c>
      <c r="AB23" s="93">
        <f t="shared" si="10"/>
        <v>0</v>
      </c>
      <c r="AC23" s="91">
        <f t="shared" si="1"/>
        <v>0</v>
      </c>
      <c r="AD23" s="93">
        <f>SUM(AD8:AD22)</f>
        <v>0</v>
      </c>
      <c r="AE23" s="93"/>
      <c r="AF23" s="93"/>
      <c r="AG23" s="93">
        <f>SUM(AG8:AG22)</f>
        <v>0</v>
      </c>
      <c r="AH23" s="66">
        <f t="shared" si="2"/>
        <v>0</v>
      </c>
      <c r="AI23" s="69">
        <f>SUM(AI8:AI22)</f>
        <v>0</v>
      </c>
    </row>
    <row r="24" spans="1:37" ht="17.25" customHeight="1" x14ac:dyDescent="0.25">
      <c r="A24" s="40">
        <v>1</v>
      </c>
      <c r="B24" s="41" t="s">
        <v>19</v>
      </c>
      <c r="C24" s="38" t="s">
        <v>18</v>
      </c>
      <c r="D24" s="67"/>
      <c r="E24" s="67"/>
      <c r="F24" s="67"/>
      <c r="G24" s="67"/>
      <c r="H24" s="66">
        <f t="shared" si="0"/>
        <v>0</v>
      </c>
      <c r="I24" s="67"/>
      <c r="J24" s="67"/>
      <c r="K24" s="67"/>
      <c r="L24" s="67"/>
      <c r="M24" s="67"/>
      <c r="N24" s="67"/>
      <c r="O24" s="66">
        <f t="shared" ref="O24:O48" si="11">SUM(I24:N24)</f>
        <v>0</v>
      </c>
      <c r="P24" s="67"/>
      <c r="Q24" s="67"/>
      <c r="R24" s="67"/>
      <c r="S24" s="67"/>
      <c r="T24" s="67"/>
      <c r="U24" s="67"/>
      <c r="V24" s="66">
        <f t="shared" ref="V24:V48" si="12">SUM(P24:U24)</f>
        <v>0</v>
      </c>
      <c r="W24" s="67"/>
      <c r="X24" s="67"/>
      <c r="Y24" s="67"/>
      <c r="Z24" s="67"/>
      <c r="AA24" s="67"/>
      <c r="AB24" s="67"/>
      <c r="AC24" s="66">
        <f t="shared" si="1"/>
        <v>0</v>
      </c>
      <c r="AD24" s="67"/>
      <c r="AE24" s="67"/>
      <c r="AF24" s="67"/>
      <c r="AG24" s="67"/>
      <c r="AH24" s="66">
        <f t="shared" si="2"/>
        <v>0</v>
      </c>
      <c r="AI24" s="68">
        <f>H24+O24+V24+AC24+AH24</f>
        <v>0</v>
      </c>
    </row>
    <row r="25" spans="1:37" ht="17.25" customHeight="1" x14ac:dyDescent="0.25">
      <c r="A25" s="40">
        <f t="shared" ref="A25:A48" si="13">1+A24</f>
        <v>2</v>
      </c>
      <c r="B25" s="41" t="s">
        <v>31</v>
      </c>
      <c r="C25" s="38" t="s">
        <v>32</v>
      </c>
      <c r="D25" s="67"/>
      <c r="E25" s="67"/>
      <c r="F25" s="67"/>
      <c r="G25" s="67"/>
      <c r="H25" s="66">
        <f t="shared" si="0"/>
        <v>0</v>
      </c>
      <c r="I25" s="67"/>
      <c r="J25" s="12"/>
      <c r="K25" s="67"/>
      <c r="L25" s="12"/>
      <c r="M25" s="67"/>
      <c r="N25" s="67"/>
      <c r="O25" s="66">
        <f t="shared" si="11"/>
        <v>0</v>
      </c>
      <c r="P25" s="67"/>
      <c r="Q25" s="67"/>
      <c r="R25" s="67"/>
      <c r="S25" s="67"/>
      <c r="T25" s="67"/>
      <c r="U25" s="67"/>
      <c r="V25" s="66">
        <f t="shared" si="12"/>
        <v>0</v>
      </c>
      <c r="W25" s="67"/>
      <c r="X25" s="67"/>
      <c r="Y25" s="67"/>
      <c r="Z25" s="67"/>
      <c r="AA25" s="67"/>
      <c r="AB25" s="67"/>
      <c r="AC25" s="66">
        <f t="shared" si="1"/>
        <v>0</v>
      </c>
      <c r="AD25" s="67"/>
      <c r="AE25" s="67"/>
      <c r="AF25" s="67"/>
      <c r="AG25" s="67">
        <v>197527.5</v>
      </c>
      <c r="AH25" s="66">
        <f t="shared" si="2"/>
        <v>197527.5</v>
      </c>
      <c r="AI25" s="68">
        <f>H25+O25+V25+AC25+AH25</f>
        <v>197527.5</v>
      </c>
    </row>
    <row r="26" spans="1:37" ht="17.25" customHeight="1" x14ac:dyDescent="0.25">
      <c r="A26" s="40">
        <f t="shared" si="13"/>
        <v>3</v>
      </c>
      <c r="B26" s="58" t="s">
        <v>75</v>
      </c>
      <c r="C26" s="59" t="s">
        <v>13</v>
      </c>
      <c r="D26" s="67"/>
      <c r="E26" s="67"/>
      <c r="F26" s="67"/>
      <c r="G26" s="67"/>
      <c r="H26" s="66">
        <f t="shared" si="0"/>
        <v>0</v>
      </c>
      <c r="I26" s="67"/>
      <c r="J26" s="67"/>
      <c r="K26" s="67"/>
      <c r="L26" s="67"/>
      <c r="M26" s="67"/>
      <c r="N26" s="67"/>
      <c r="O26" s="66">
        <f t="shared" si="11"/>
        <v>0</v>
      </c>
      <c r="P26" s="67"/>
      <c r="Q26" s="67"/>
      <c r="R26" s="67"/>
      <c r="S26" s="67"/>
      <c r="T26" s="67"/>
      <c r="U26" s="67"/>
      <c r="V26" s="66">
        <f t="shared" si="12"/>
        <v>0</v>
      </c>
      <c r="W26" s="67"/>
      <c r="X26" s="67"/>
      <c r="Y26" s="67"/>
      <c r="Z26" s="67"/>
      <c r="AA26" s="67"/>
      <c r="AB26" s="67"/>
      <c r="AC26" s="66">
        <f t="shared" si="1"/>
        <v>0</v>
      </c>
      <c r="AD26" s="67"/>
      <c r="AE26" s="67"/>
      <c r="AF26" s="67"/>
      <c r="AG26" s="67">
        <v>50640</v>
      </c>
      <c r="AH26" s="66">
        <f t="shared" si="2"/>
        <v>50640</v>
      </c>
      <c r="AI26" s="68">
        <f t="shared" ref="AI26:AI48" si="14">H26+O26+V26+AC26+AH26</f>
        <v>50640</v>
      </c>
    </row>
    <row r="27" spans="1:37" ht="17.25" customHeight="1" x14ac:dyDescent="0.25">
      <c r="A27" s="40">
        <f t="shared" si="13"/>
        <v>4</v>
      </c>
      <c r="B27" s="58" t="s">
        <v>112</v>
      </c>
      <c r="C27" s="59" t="s">
        <v>32</v>
      </c>
      <c r="D27" s="67"/>
      <c r="E27" s="67"/>
      <c r="F27" s="67"/>
      <c r="G27" s="67"/>
      <c r="H27" s="66">
        <f t="shared" si="0"/>
        <v>0</v>
      </c>
      <c r="I27" s="67"/>
      <c r="J27" s="67"/>
      <c r="K27" s="67"/>
      <c r="L27" s="12"/>
      <c r="M27" s="11"/>
      <c r="N27" s="67"/>
      <c r="O27" s="66">
        <f t="shared" si="11"/>
        <v>0</v>
      </c>
      <c r="P27" s="12"/>
      <c r="Q27" s="19"/>
      <c r="R27" s="67"/>
      <c r="S27" s="67"/>
      <c r="T27" s="67"/>
      <c r="U27" s="67"/>
      <c r="V27" s="66">
        <f t="shared" si="12"/>
        <v>0</v>
      </c>
      <c r="W27" s="67"/>
      <c r="X27" s="67"/>
      <c r="Y27" s="67"/>
      <c r="Z27" s="67"/>
      <c r="AA27" s="67"/>
      <c r="AB27" s="67"/>
      <c r="AC27" s="66">
        <f t="shared" si="1"/>
        <v>0</v>
      </c>
      <c r="AD27" s="67"/>
      <c r="AE27" s="67"/>
      <c r="AF27" s="67"/>
      <c r="AG27" s="67"/>
      <c r="AH27" s="66">
        <f t="shared" si="2"/>
        <v>0</v>
      </c>
      <c r="AI27" s="68">
        <f t="shared" si="14"/>
        <v>0</v>
      </c>
    </row>
    <row r="28" spans="1:37" ht="17.25" customHeight="1" x14ac:dyDescent="0.25">
      <c r="A28" s="40">
        <f t="shared" si="13"/>
        <v>5</v>
      </c>
      <c r="B28" s="58" t="s">
        <v>113</v>
      </c>
      <c r="C28" s="59" t="s">
        <v>32</v>
      </c>
      <c r="D28" s="67"/>
      <c r="E28" s="67"/>
      <c r="F28" s="67"/>
      <c r="G28" s="67"/>
      <c r="H28" s="66">
        <f t="shared" si="0"/>
        <v>0</v>
      </c>
      <c r="I28" s="67"/>
      <c r="J28" s="67"/>
      <c r="K28" s="67"/>
      <c r="L28" s="12"/>
      <c r="M28" s="11"/>
      <c r="N28" s="67"/>
      <c r="O28" s="66">
        <f t="shared" si="11"/>
        <v>0</v>
      </c>
      <c r="P28" s="12"/>
      <c r="Q28" s="19"/>
      <c r="R28" s="67"/>
      <c r="S28" s="67"/>
      <c r="T28" s="67"/>
      <c r="U28" s="67"/>
      <c r="V28" s="66">
        <f t="shared" si="12"/>
        <v>0</v>
      </c>
      <c r="W28" s="67"/>
      <c r="X28" s="67"/>
      <c r="Y28" s="67"/>
      <c r="Z28" s="67"/>
      <c r="AA28" s="67"/>
      <c r="AB28" s="67"/>
      <c r="AC28" s="66">
        <f t="shared" si="1"/>
        <v>0</v>
      </c>
      <c r="AD28" s="67"/>
      <c r="AE28" s="67"/>
      <c r="AF28" s="67"/>
      <c r="AG28" s="67">
        <v>6960</v>
      </c>
      <c r="AH28" s="66">
        <f t="shared" si="2"/>
        <v>6960</v>
      </c>
      <c r="AI28" s="68">
        <f t="shared" si="14"/>
        <v>6960</v>
      </c>
    </row>
    <row r="29" spans="1:37" ht="17.25" customHeight="1" x14ac:dyDescent="0.25">
      <c r="A29" s="40">
        <f t="shared" si="13"/>
        <v>6</v>
      </c>
      <c r="B29" s="58" t="s">
        <v>94</v>
      </c>
      <c r="C29" s="59" t="s">
        <v>26</v>
      </c>
      <c r="D29" s="67"/>
      <c r="E29" s="67"/>
      <c r="F29" s="67"/>
      <c r="G29" s="67"/>
      <c r="H29" s="66">
        <f t="shared" si="0"/>
        <v>0</v>
      </c>
      <c r="I29" s="12"/>
      <c r="J29" s="12"/>
      <c r="K29" s="12"/>
      <c r="L29" s="12"/>
      <c r="M29" s="11"/>
      <c r="N29" s="67"/>
      <c r="O29" s="66">
        <f t="shared" si="11"/>
        <v>0</v>
      </c>
      <c r="P29" s="67"/>
      <c r="Q29" s="19"/>
      <c r="R29" s="67"/>
      <c r="S29" s="67"/>
      <c r="T29" s="67"/>
      <c r="U29" s="67"/>
      <c r="V29" s="66">
        <f t="shared" si="12"/>
        <v>0</v>
      </c>
      <c r="W29" s="67"/>
      <c r="X29" s="67"/>
      <c r="Y29" s="67"/>
      <c r="Z29" s="12"/>
      <c r="AA29" s="67"/>
      <c r="AB29" s="67"/>
      <c r="AC29" s="66">
        <f t="shared" si="1"/>
        <v>0</v>
      </c>
      <c r="AD29" s="12"/>
      <c r="AE29" s="12"/>
      <c r="AF29" s="12"/>
      <c r="AG29" s="12">
        <v>118110</v>
      </c>
      <c r="AH29" s="66">
        <f t="shared" si="2"/>
        <v>118110</v>
      </c>
      <c r="AI29" s="68">
        <f t="shared" si="14"/>
        <v>118110</v>
      </c>
    </row>
    <row r="30" spans="1:37" ht="17.25" customHeight="1" x14ac:dyDescent="0.25">
      <c r="A30" s="40">
        <f t="shared" si="13"/>
        <v>7</v>
      </c>
      <c r="B30" s="58" t="s">
        <v>103</v>
      </c>
      <c r="C30" s="59" t="s">
        <v>104</v>
      </c>
      <c r="D30" s="67"/>
      <c r="E30" s="67"/>
      <c r="F30" s="67"/>
      <c r="G30" s="67"/>
      <c r="H30" s="66">
        <f t="shared" si="0"/>
        <v>0</v>
      </c>
      <c r="I30" s="12"/>
      <c r="J30" s="12"/>
      <c r="K30" s="12"/>
      <c r="L30" s="67"/>
      <c r="M30" s="67"/>
      <c r="N30" s="67"/>
      <c r="O30" s="66">
        <f t="shared" si="11"/>
        <v>0</v>
      </c>
      <c r="P30" s="67"/>
      <c r="Q30" s="19"/>
      <c r="R30" s="67"/>
      <c r="S30" s="67"/>
      <c r="T30" s="67"/>
      <c r="U30" s="67"/>
      <c r="V30" s="66">
        <f t="shared" si="12"/>
        <v>0</v>
      </c>
      <c r="W30" s="67"/>
      <c r="X30" s="67"/>
      <c r="Y30" s="67"/>
      <c r="Z30" s="67"/>
      <c r="AA30" s="67"/>
      <c r="AB30" s="67"/>
      <c r="AC30" s="66">
        <f t="shared" si="1"/>
        <v>0</v>
      </c>
      <c r="AD30" s="67"/>
      <c r="AE30" s="67"/>
      <c r="AF30" s="67"/>
      <c r="AG30" s="67"/>
      <c r="AH30" s="66">
        <f t="shared" si="2"/>
        <v>0</v>
      </c>
      <c r="AI30" s="68">
        <f t="shared" si="14"/>
        <v>0</v>
      </c>
    </row>
    <row r="31" spans="1:37" ht="17.25" customHeight="1" x14ac:dyDescent="0.25">
      <c r="A31" s="40">
        <f t="shared" si="13"/>
        <v>8</v>
      </c>
      <c r="B31" s="58" t="s">
        <v>98</v>
      </c>
      <c r="C31" s="59" t="s">
        <v>88</v>
      </c>
      <c r="D31" s="67"/>
      <c r="E31" s="67"/>
      <c r="F31" s="67"/>
      <c r="G31" s="67"/>
      <c r="H31" s="66">
        <f t="shared" si="0"/>
        <v>0</v>
      </c>
      <c r="I31" s="12"/>
      <c r="J31" s="12"/>
      <c r="K31" s="12"/>
      <c r="L31" s="67"/>
      <c r="M31" s="67"/>
      <c r="N31" s="67"/>
      <c r="O31" s="66">
        <f t="shared" si="11"/>
        <v>0</v>
      </c>
      <c r="P31" s="67"/>
      <c r="Q31" s="19"/>
      <c r="R31" s="67"/>
      <c r="S31" s="67"/>
      <c r="T31" s="67"/>
      <c r="U31" s="67"/>
      <c r="V31" s="66">
        <f t="shared" si="12"/>
        <v>0</v>
      </c>
      <c r="W31" s="67"/>
      <c r="X31" s="67"/>
      <c r="Y31" s="67"/>
      <c r="Z31" s="67"/>
      <c r="AA31" s="67"/>
      <c r="AB31" s="67"/>
      <c r="AC31" s="66">
        <f t="shared" si="1"/>
        <v>0</v>
      </c>
      <c r="AD31" s="67"/>
      <c r="AE31" s="67"/>
      <c r="AF31" s="67"/>
      <c r="AG31" s="181"/>
      <c r="AH31" s="66">
        <f t="shared" si="2"/>
        <v>0</v>
      </c>
      <c r="AI31" s="68">
        <f t="shared" si="14"/>
        <v>0</v>
      </c>
    </row>
    <row r="32" spans="1:37" ht="17.25" customHeight="1" x14ac:dyDescent="0.25">
      <c r="A32" s="40">
        <f t="shared" si="13"/>
        <v>9</v>
      </c>
      <c r="B32" s="58" t="s">
        <v>114</v>
      </c>
      <c r="C32" s="59" t="s">
        <v>88</v>
      </c>
      <c r="D32" s="67"/>
      <c r="E32" s="67"/>
      <c r="F32" s="67"/>
      <c r="G32" s="67"/>
      <c r="H32" s="66">
        <f t="shared" si="0"/>
        <v>0</v>
      </c>
      <c r="I32" s="12"/>
      <c r="J32" s="12"/>
      <c r="K32" s="12"/>
      <c r="L32" s="67"/>
      <c r="M32" s="67"/>
      <c r="N32" s="67"/>
      <c r="O32" s="66">
        <f t="shared" si="11"/>
        <v>0</v>
      </c>
      <c r="P32" s="67"/>
      <c r="Q32" s="19"/>
      <c r="R32" s="67"/>
      <c r="S32" s="67"/>
      <c r="T32" s="67"/>
      <c r="U32" s="67"/>
      <c r="V32" s="66">
        <f t="shared" si="12"/>
        <v>0</v>
      </c>
      <c r="W32" s="67"/>
      <c r="X32" s="67"/>
      <c r="Y32" s="67"/>
      <c r="Z32" s="67"/>
      <c r="AA32" s="67"/>
      <c r="AB32" s="67"/>
      <c r="AC32" s="66">
        <f t="shared" si="1"/>
        <v>0</v>
      </c>
      <c r="AD32" s="67"/>
      <c r="AE32" s="67"/>
      <c r="AF32" s="67"/>
      <c r="AG32" s="67">
        <v>226388</v>
      </c>
      <c r="AH32" s="66">
        <f t="shared" si="2"/>
        <v>226388</v>
      </c>
      <c r="AI32" s="68">
        <f t="shared" si="14"/>
        <v>226388</v>
      </c>
      <c r="AK32" s="49"/>
    </row>
    <row r="33" spans="1:35" ht="17.25" customHeight="1" x14ac:dyDescent="0.25">
      <c r="A33" s="40">
        <f t="shared" si="13"/>
        <v>10</v>
      </c>
      <c r="B33" s="58" t="s">
        <v>121</v>
      </c>
      <c r="C33" s="59" t="s">
        <v>86</v>
      </c>
      <c r="D33" s="67"/>
      <c r="E33" s="67"/>
      <c r="F33" s="67"/>
      <c r="G33" s="67"/>
      <c r="H33" s="66">
        <f t="shared" si="0"/>
        <v>0</v>
      </c>
      <c r="I33" s="12"/>
      <c r="J33" s="12"/>
      <c r="K33" s="12"/>
      <c r="L33" s="67"/>
      <c r="M33" s="67"/>
      <c r="N33" s="67"/>
      <c r="O33" s="66">
        <f t="shared" si="11"/>
        <v>0</v>
      </c>
      <c r="P33" s="67"/>
      <c r="Q33" s="19"/>
      <c r="R33" s="67"/>
      <c r="S33" s="67"/>
      <c r="T33" s="67"/>
      <c r="U33" s="67"/>
      <c r="V33" s="66">
        <f t="shared" si="12"/>
        <v>0</v>
      </c>
      <c r="W33" s="67"/>
      <c r="X33" s="67"/>
      <c r="Y33" s="67"/>
      <c r="Z33" s="67"/>
      <c r="AA33" s="67"/>
      <c r="AB33" s="67"/>
      <c r="AC33" s="66">
        <f t="shared" si="1"/>
        <v>0</v>
      </c>
      <c r="AD33" s="67"/>
      <c r="AE33" s="67"/>
      <c r="AF33" s="67"/>
      <c r="AG33" s="67">
        <v>58288</v>
      </c>
      <c r="AH33" s="66">
        <f t="shared" si="2"/>
        <v>58288</v>
      </c>
      <c r="AI33" s="68">
        <f t="shared" si="14"/>
        <v>58288</v>
      </c>
    </row>
    <row r="34" spans="1:35" ht="17.25" customHeight="1" x14ac:dyDescent="0.25">
      <c r="A34" s="40">
        <f t="shared" si="13"/>
        <v>11</v>
      </c>
      <c r="B34" s="58" t="s">
        <v>118</v>
      </c>
      <c r="C34" s="59" t="s">
        <v>122</v>
      </c>
      <c r="D34" s="67"/>
      <c r="E34" s="67"/>
      <c r="F34" s="67"/>
      <c r="G34" s="67"/>
      <c r="H34" s="66">
        <f t="shared" si="0"/>
        <v>0</v>
      </c>
      <c r="I34" s="12"/>
      <c r="J34" s="12"/>
      <c r="K34" s="12"/>
      <c r="L34" s="67"/>
      <c r="M34" s="67"/>
      <c r="N34" s="67"/>
      <c r="O34" s="66">
        <f t="shared" si="11"/>
        <v>0</v>
      </c>
      <c r="P34" s="67"/>
      <c r="Q34" s="19"/>
      <c r="R34" s="67"/>
      <c r="S34" s="67"/>
      <c r="T34" s="67"/>
      <c r="U34" s="67"/>
      <c r="V34" s="66">
        <f t="shared" si="12"/>
        <v>0</v>
      </c>
      <c r="W34" s="67"/>
      <c r="X34" s="67"/>
      <c r="Y34" s="67"/>
      <c r="Z34" s="67"/>
      <c r="AA34" s="67"/>
      <c r="AB34" s="67"/>
      <c r="AC34" s="66">
        <f t="shared" si="1"/>
        <v>0</v>
      </c>
      <c r="AD34" s="67"/>
      <c r="AE34" s="67"/>
      <c r="AF34" s="67"/>
      <c r="AG34" s="67"/>
      <c r="AH34" s="66">
        <f t="shared" si="2"/>
        <v>0</v>
      </c>
      <c r="AI34" s="68">
        <f t="shared" si="14"/>
        <v>0</v>
      </c>
    </row>
    <row r="35" spans="1:35" ht="17.25" customHeight="1" x14ac:dyDescent="0.25">
      <c r="A35" s="40">
        <f t="shared" si="13"/>
        <v>12</v>
      </c>
      <c r="B35" s="58" t="s">
        <v>115</v>
      </c>
      <c r="C35" s="59" t="s">
        <v>116</v>
      </c>
      <c r="D35" s="67"/>
      <c r="E35" s="67"/>
      <c r="F35" s="67"/>
      <c r="G35" s="67"/>
      <c r="H35" s="66">
        <f t="shared" si="0"/>
        <v>0</v>
      </c>
      <c r="I35" s="12"/>
      <c r="J35" s="12"/>
      <c r="K35" s="12"/>
      <c r="L35" s="12"/>
      <c r="M35" s="12"/>
      <c r="N35" s="12"/>
      <c r="O35" s="66">
        <f t="shared" si="11"/>
        <v>0</v>
      </c>
      <c r="P35" s="67"/>
      <c r="Q35" s="19"/>
      <c r="R35" s="67"/>
      <c r="S35" s="67"/>
      <c r="T35" s="12"/>
      <c r="U35" s="12"/>
      <c r="V35" s="66">
        <f t="shared" si="12"/>
        <v>0</v>
      </c>
      <c r="W35" s="67"/>
      <c r="X35" s="12"/>
      <c r="Y35" s="12"/>
      <c r="Z35" s="67"/>
      <c r="AA35" s="67"/>
      <c r="AB35" s="67"/>
      <c r="AC35" s="66">
        <f t="shared" si="1"/>
        <v>0</v>
      </c>
      <c r="AD35" s="67"/>
      <c r="AE35" s="67"/>
      <c r="AF35" s="67"/>
      <c r="AG35" s="67"/>
      <c r="AH35" s="66">
        <f t="shared" si="2"/>
        <v>0</v>
      </c>
      <c r="AI35" s="68">
        <f t="shared" si="14"/>
        <v>0</v>
      </c>
    </row>
    <row r="36" spans="1:35" ht="17.25" customHeight="1" x14ac:dyDescent="0.25">
      <c r="A36" s="40">
        <f t="shared" si="13"/>
        <v>13</v>
      </c>
      <c r="B36" s="58" t="s">
        <v>123</v>
      </c>
      <c r="C36" s="59" t="s">
        <v>125</v>
      </c>
      <c r="D36" s="67"/>
      <c r="E36" s="67"/>
      <c r="F36" s="67"/>
      <c r="G36" s="67"/>
      <c r="H36" s="66">
        <f t="shared" si="0"/>
        <v>0</v>
      </c>
      <c r="I36" s="12"/>
      <c r="J36" s="12"/>
      <c r="K36" s="12"/>
      <c r="L36" s="12"/>
      <c r="M36" s="12"/>
      <c r="N36" s="12"/>
      <c r="O36" s="66">
        <f t="shared" si="11"/>
        <v>0</v>
      </c>
      <c r="P36" s="67"/>
      <c r="Q36" s="67"/>
      <c r="R36" s="67"/>
      <c r="S36" s="67"/>
      <c r="T36" s="12"/>
      <c r="U36" s="12"/>
      <c r="V36" s="66">
        <f t="shared" si="12"/>
        <v>0</v>
      </c>
      <c r="W36" s="67"/>
      <c r="X36" s="12"/>
      <c r="Y36" s="12"/>
      <c r="Z36" s="67"/>
      <c r="AA36" s="67"/>
      <c r="AB36" s="67"/>
      <c r="AC36" s="66">
        <f t="shared" si="1"/>
        <v>0</v>
      </c>
      <c r="AD36" s="67"/>
      <c r="AE36" s="67"/>
      <c r="AF36" s="67"/>
      <c r="AG36" s="67"/>
      <c r="AH36" s="66">
        <f t="shared" si="2"/>
        <v>0</v>
      </c>
      <c r="AI36" s="68">
        <f t="shared" si="14"/>
        <v>0</v>
      </c>
    </row>
    <row r="37" spans="1:35" ht="17.25" customHeight="1" x14ac:dyDescent="0.25">
      <c r="A37" s="40">
        <f t="shared" si="13"/>
        <v>14</v>
      </c>
      <c r="B37" s="58" t="s">
        <v>126</v>
      </c>
      <c r="C37" s="59" t="s">
        <v>29</v>
      </c>
      <c r="D37" s="67"/>
      <c r="E37" s="67"/>
      <c r="F37" s="67"/>
      <c r="G37" s="67"/>
      <c r="H37" s="66">
        <f t="shared" si="0"/>
        <v>0</v>
      </c>
      <c r="I37" s="12"/>
      <c r="J37" s="12"/>
      <c r="K37" s="12"/>
      <c r="L37" s="12"/>
      <c r="M37" s="12"/>
      <c r="N37" s="12"/>
      <c r="O37" s="66">
        <f t="shared" si="11"/>
        <v>0</v>
      </c>
      <c r="P37" s="67"/>
      <c r="Q37" s="67"/>
      <c r="R37" s="67"/>
      <c r="S37" s="67"/>
      <c r="T37" s="12"/>
      <c r="U37" s="12"/>
      <c r="V37" s="66">
        <f t="shared" si="12"/>
        <v>0</v>
      </c>
      <c r="W37" s="12"/>
      <c r="X37" s="11"/>
      <c r="Y37" s="12"/>
      <c r="Z37" s="67"/>
      <c r="AA37" s="67"/>
      <c r="AB37" s="67"/>
      <c r="AC37" s="66">
        <f t="shared" si="1"/>
        <v>0</v>
      </c>
      <c r="AD37" s="67"/>
      <c r="AE37" s="67"/>
      <c r="AF37" s="67"/>
      <c r="AG37" s="67"/>
      <c r="AH37" s="66">
        <f t="shared" si="2"/>
        <v>0</v>
      </c>
      <c r="AI37" s="68">
        <f t="shared" si="14"/>
        <v>0</v>
      </c>
    </row>
    <row r="38" spans="1:35" ht="19.5" customHeight="1" x14ac:dyDescent="0.25">
      <c r="A38" s="40">
        <f t="shared" si="13"/>
        <v>15</v>
      </c>
      <c r="B38" s="64" t="s">
        <v>144</v>
      </c>
      <c r="C38" s="59" t="s">
        <v>145</v>
      </c>
      <c r="D38" s="67"/>
      <c r="E38" s="67"/>
      <c r="F38" s="67"/>
      <c r="G38" s="67"/>
      <c r="H38" s="66"/>
      <c r="I38" s="12"/>
      <c r="J38" s="12"/>
      <c r="K38" s="12"/>
      <c r="L38" s="12"/>
      <c r="M38" s="12"/>
      <c r="N38" s="12"/>
      <c r="O38" s="66"/>
      <c r="P38" s="67"/>
      <c r="Q38" s="67"/>
      <c r="R38" s="67"/>
      <c r="S38" s="67"/>
      <c r="T38" s="12"/>
      <c r="U38" s="12"/>
      <c r="V38" s="66"/>
      <c r="W38" s="12"/>
      <c r="X38" s="11"/>
      <c r="Y38" s="12"/>
      <c r="Z38" s="67"/>
      <c r="AA38" s="67"/>
      <c r="AB38" s="67"/>
      <c r="AC38" s="66"/>
      <c r="AD38" s="67"/>
      <c r="AE38" s="67"/>
      <c r="AF38" s="67"/>
      <c r="AG38" s="67"/>
      <c r="AH38" s="66">
        <f t="shared" si="2"/>
        <v>0</v>
      </c>
      <c r="AI38" s="68">
        <f t="shared" si="14"/>
        <v>0</v>
      </c>
    </row>
    <row r="39" spans="1:35" ht="17.25" customHeight="1" x14ac:dyDescent="0.25">
      <c r="A39" s="40">
        <f t="shared" si="13"/>
        <v>16</v>
      </c>
      <c r="B39" s="58" t="s">
        <v>166</v>
      </c>
      <c r="C39" s="59" t="s">
        <v>16</v>
      </c>
      <c r="D39" s="67"/>
      <c r="E39" s="67"/>
      <c r="F39" s="67"/>
      <c r="G39" s="67"/>
      <c r="H39" s="66"/>
      <c r="I39" s="12"/>
      <c r="J39" s="12"/>
      <c r="K39" s="12"/>
      <c r="L39" s="12"/>
      <c r="M39" s="12"/>
      <c r="N39" s="12"/>
      <c r="O39" s="66"/>
      <c r="P39" s="67"/>
      <c r="Q39" s="67"/>
      <c r="R39" s="67"/>
      <c r="S39" s="67"/>
      <c r="T39" s="12"/>
      <c r="U39" s="12"/>
      <c r="V39" s="66"/>
      <c r="W39" s="12"/>
      <c r="X39" s="11"/>
      <c r="Y39" s="12"/>
      <c r="Z39" s="67"/>
      <c r="AA39" s="67"/>
      <c r="AB39" s="67"/>
      <c r="AC39" s="66"/>
      <c r="AD39" s="67"/>
      <c r="AE39" s="67"/>
      <c r="AF39" s="67"/>
      <c r="AG39" s="67">
        <v>137808.5</v>
      </c>
      <c r="AH39" s="66">
        <f>SUM(AD39:AG39)</f>
        <v>137808.5</v>
      </c>
      <c r="AI39" s="68">
        <f t="shared" si="14"/>
        <v>137808.5</v>
      </c>
    </row>
    <row r="40" spans="1:35" ht="17.25" customHeight="1" x14ac:dyDescent="0.25">
      <c r="A40" s="40">
        <f t="shared" si="13"/>
        <v>17</v>
      </c>
      <c r="B40" s="58" t="s">
        <v>226</v>
      </c>
      <c r="C40" s="59" t="s">
        <v>18</v>
      </c>
      <c r="D40" s="67"/>
      <c r="E40" s="67"/>
      <c r="F40" s="67"/>
      <c r="G40" s="67"/>
      <c r="H40" s="66"/>
      <c r="I40" s="12"/>
      <c r="J40" s="12"/>
      <c r="K40" s="12"/>
      <c r="L40" s="12"/>
      <c r="M40" s="12"/>
      <c r="N40" s="12"/>
      <c r="O40" s="66"/>
      <c r="P40" s="67"/>
      <c r="Q40" s="67"/>
      <c r="R40" s="67"/>
      <c r="S40" s="67"/>
      <c r="T40" s="12"/>
      <c r="U40" s="12"/>
      <c r="V40" s="66"/>
      <c r="W40" s="12"/>
      <c r="X40" s="11"/>
      <c r="Y40" s="12"/>
      <c r="Z40" s="67"/>
      <c r="AA40" s="67"/>
      <c r="AB40" s="67"/>
      <c r="AC40" s="66"/>
      <c r="AD40" s="67"/>
      <c r="AE40" s="67"/>
      <c r="AF40" s="67"/>
      <c r="AG40" s="67"/>
      <c r="AH40" s="66">
        <f t="shared" ref="AH40:AH47" si="15">SUM(AD40:AG40)</f>
        <v>0</v>
      </c>
      <c r="AI40" s="68">
        <f t="shared" si="14"/>
        <v>0</v>
      </c>
    </row>
    <row r="41" spans="1:35" ht="17.25" customHeight="1" x14ac:dyDescent="0.25">
      <c r="A41" s="40">
        <f t="shared" si="13"/>
        <v>18</v>
      </c>
      <c r="B41" s="58" t="s">
        <v>227</v>
      </c>
      <c r="C41" s="59" t="s">
        <v>9</v>
      </c>
      <c r="D41" s="67"/>
      <c r="E41" s="67"/>
      <c r="F41" s="67"/>
      <c r="G41" s="67"/>
      <c r="H41" s="66"/>
      <c r="I41" s="12"/>
      <c r="J41" s="12"/>
      <c r="K41" s="12"/>
      <c r="L41" s="12"/>
      <c r="M41" s="12"/>
      <c r="N41" s="12"/>
      <c r="O41" s="66"/>
      <c r="P41" s="67"/>
      <c r="Q41" s="67"/>
      <c r="R41" s="67"/>
      <c r="S41" s="67"/>
      <c r="T41" s="12"/>
      <c r="U41" s="12"/>
      <c r="V41" s="66"/>
      <c r="W41" s="12"/>
      <c r="X41" s="11"/>
      <c r="Y41" s="12"/>
      <c r="Z41" s="67"/>
      <c r="AA41" s="67"/>
      <c r="AB41" s="67"/>
      <c r="AC41" s="66"/>
      <c r="AD41" s="67"/>
      <c r="AE41" s="67"/>
      <c r="AF41" s="67"/>
      <c r="AG41" s="67">
        <v>133103</v>
      </c>
      <c r="AH41" s="66">
        <f t="shared" si="15"/>
        <v>133103</v>
      </c>
      <c r="AI41" s="68">
        <f t="shared" si="14"/>
        <v>133103</v>
      </c>
    </row>
    <row r="42" spans="1:35" ht="17.25" customHeight="1" x14ac:dyDescent="0.25">
      <c r="A42" s="40">
        <f t="shared" si="13"/>
        <v>19</v>
      </c>
      <c r="B42" s="58" t="s">
        <v>168</v>
      </c>
      <c r="C42" s="59" t="s">
        <v>13</v>
      </c>
      <c r="D42" s="67"/>
      <c r="E42" s="67"/>
      <c r="F42" s="67"/>
      <c r="G42" s="67"/>
      <c r="H42" s="66"/>
      <c r="I42" s="12"/>
      <c r="J42" s="12"/>
      <c r="K42" s="12"/>
      <c r="L42" s="12"/>
      <c r="M42" s="12"/>
      <c r="N42" s="12"/>
      <c r="O42" s="66"/>
      <c r="P42" s="67"/>
      <c r="Q42" s="67"/>
      <c r="R42" s="67"/>
      <c r="S42" s="67"/>
      <c r="T42" s="12"/>
      <c r="U42" s="12"/>
      <c r="V42" s="66"/>
      <c r="W42" s="12"/>
      <c r="X42" s="11"/>
      <c r="Y42" s="12"/>
      <c r="Z42" s="67"/>
      <c r="AA42" s="67"/>
      <c r="AB42" s="67"/>
      <c r="AC42" s="66"/>
      <c r="AD42" s="67"/>
      <c r="AE42" s="67"/>
      <c r="AF42" s="67"/>
      <c r="AG42" s="67">
        <v>48000</v>
      </c>
      <c r="AH42" s="66">
        <f t="shared" si="15"/>
        <v>48000</v>
      </c>
      <c r="AI42" s="68">
        <f t="shared" si="14"/>
        <v>48000</v>
      </c>
    </row>
    <row r="43" spans="1:35" ht="17.25" customHeight="1" x14ac:dyDescent="0.25">
      <c r="A43" s="40">
        <f t="shared" si="13"/>
        <v>20</v>
      </c>
      <c r="B43" s="58" t="s">
        <v>188</v>
      </c>
      <c r="C43" s="59" t="s">
        <v>88</v>
      </c>
      <c r="D43" s="67"/>
      <c r="E43" s="67"/>
      <c r="F43" s="67"/>
      <c r="G43" s="67"/>
      <c r="H43" s="66"/>
      <c r="I43" s="12"/>
      <c r="J43" s="12"/>
      <c r="K43" s="12"/>
      <c r="L43" s="12"/>
      <c r="M43" s="12"/>
      <c r="N43" s="12"/>
      <c r="O43" s="66"/>
      <c r="P43" s="67"/>
      <c r="Q43" s="67"/>
      <c r="R43" s="67"/>
      <c r="S43" s="67"/>
      <c r="T43" s="12"/>
      <c r="U43" s="12"/>
      <c r="V43" s="66"/>
      <c r="W43" s="67"/>
      <c r="X43" s="12"/>
      <c r="Y43" s="11"/>
      <c r="Z43" s="67"/>
      <c r="AA43" s="67"/>
      <c r="AB43" s="67"/>
      <c r="AC43" s="66"/>
      <c r="AD43" s="67"/>
      <c r="AE43" s="67"/>
      <c r="AF43" s="67"/>
      <c r="AG43" s="67"/>
      <c r="AH43" s="66">
        <f t="shared" si="15"/>
        <v>0</v>
      </c>
      <c r="AI43" s="68">
        <f t="shared" si="14"/>
        <v>0</v>
      </c>
    </row>
    <row r="44" spans="1:35" ht="30.75" customHeight="1" x14ac:dyDescent="0.25">
      <c r="A44" s="40">
        <f t="shared" si="13"/>
        <v>21</v>
      </c>
      <c r="B44" s="58" t="s">
        <v>231</v>
      </c>
      <c r="C44" s="59" t="s">
        <v>270</v>
      </c>
      <c r="D44" s="67"/>
      <c r="E44" s="67"/>
      <c r="F44" s="67"/>
      <c r="G44" s="67"/>
      <c r="H44" s="66"/>
      <c r="I44" s="12"/>
      <c r="J44" s="12"/>
      <c r="K44" s="12"/>
      <c r="L44" s="12"/>
      <c r="M44" s="12"/>
      <c r="N44" s="12"/>
      <c r="O44" s="66"/>
      <c r="P44" s="67"/>
      <c r="Q44" s="67"/>
      <c r="R44" s="67"/>
      <c r="S44" s="67"/>
      <c r="T44" s="12"/>
      <c r="U44" s="12"/>
      <c r="V44" s="66"/>
      <c r="W44" s="67"/>
      <c r="X44" s="12"/>
      <c r="Y44" s="11"/>
      <c r="Z44" s="67"/>
      <c r="AA44" s="67"/>
      <c r="AB44" s="67"/>
      <c r="AC44" s="66"/>
      <c r="AD44" s="67"/>
      <c r="AE44" s="67"/>
      <c r="AF44" s="67"/>
      <c r="AG44" s="67">
        <v>128148</v>
      </c>
      <c r="AH44" s="66">
        <f t="shared" si="15"/>
        <v>128148</v>
      </c>
      <c r="AI44" s="68">
        <f t="shared" si="14"/>
        <v>128148</v>
      </c>
    </row>
    <row r="45" spans="1:35" ht="17.25" customHeight="1" x14ac:dyDescent="0.25">
      <c r="A45" s="40">
        <f t="shared" si="13"/>
        <v>22</v>
      </c>
      <c r="B45" s="58" t="s">
        <v>268</v>
      </c>
      <c r="C45" s="59" t="s">
        <v>267</v>
      </c>
      <c r="D45" s="67"/>
      <c r="E45" s="67"/>
      <c r="F45" s="67"/>
      <c r="G45" s="67"/>
      <c r="H45" s="66"/>
      <c r="I45" s="12"/>
      <c r="J45" s="12"/>
      <c r="K45" s="12"/>
      <c r="L45" s="12"/>
      <c r="M45" s="12"/>
      <c r="N45" s="12"/>
      <c r="O45" s="66"/>
      <c r="P45" s="67"/>
      <c r="Q45" s="67"/>
      <c r="R45" s="67"/>
      <c r="S45" s="67"/>
      <c r="T45" s="12"/>
      <c r="U45" s="12"/>
      <c r="V45" s="66"/>
      <c r="W45" s="67"/>
      <c r="X45" s="12"/>
      <c r="Y45" s="11"/>
      <c r="Z45" s="67"/>
      <c r="AA45" s="67"/>
      <c r="AB45" s="67"/>
      <c r="AC45" s="66"/>
      <c r="AD45" s="67"/>
      <c r="AE45" s="67"/>
      <c r="AF45" s="67"/>
      <c r="AG45" s="67">
        <v>15000</v>
      </c>
      <c r="AH45" s="66">
        <f t="shared" ref="AH45:AH46" si="16">SUM(AD45:AG45)</f>
        <v>15000</v>
      </c>
      <c r="AI45" s="68">
        <f t="shared" ref="AI45:AI46" si="17">H45+O45+V45+AC45+AH45</f>
        <v>15000</v>
      </c>
    </row>
    <row r="46" spans="1:35" ht="17.25" customHeight="1" x14ac:dyDescent="0.25">
      <c r="A46" s="40">
        <f t="shared" si="13"/>
        <v>23</v>
      </c>
      <c r="B46" s="58" t="s">
        <v>265</v>
      </c>
      <c r="C46" s="59" t="s">
        <v>266</v>
      </c>
      <c r="D46" s="67"/>
      <c r="E46" s="67"/>
      <c r="F46" s="67"/>
      <c r="G46" s="67"/>
      <c r="H46" s="66"/>
      <c r="I46" s="12"/>
      <c r="J46" s="12"/>
      <c r="K46" s="12"/>
      <c r="L46" s="12"/>
      <c r="M46" s="12"/>
      <c r="N46" s="12"/>
      <c r="O46" s="66"/>
      <c r="P46" s="67"/>
      <c r="Q46" s="67"/>
      <c r="R46" s="67"/>
      <c r="S46" s="67"/>
      <c r="T46" s="12"/>
      <c r="U46" s="12"/>
      <c r="V46" s="66"/>
      <c r="W46" s="67"/>
      <c r="X46" s="12"/>
      <c r="Y46" s="11"/>
      <c r="Z46" s="67"/>
      <c r="AA46" s="67"/>
      <c r="AB46" s="67"/>
      <c r="AC46" s="66"/>
      <c r="AD46" s="67"/>
      <c r="AE46" s="67"/>
      <c r="AF46" s="67"/>
      <c r="AG46" s="67">
        <v>50000</v>
      </c>
      <c r="AH46" s="66">
        <f t="shared" si="16"/>
        <v>50000</v>
      </c>
      <c r="AI46" s="68">
        <f t="shared" si="17"/>
        <v>50000</v>
      </c>
    </row>
    <row r="47" spans="1:35" ht="17.25" customHeight="1" x14ac:dyDescent="0.25">
      <c r="A47" s="40">
        <f t="shared" si="13"/>
        <v>24</v>
      </c>
      <c r="B47" s="58" t="s">
        <v>199</v>
      </c>
      <c r="C47" s="59" t="s">
        <v>32</v>
      </c>
      <c r="D47" s="67"/>
      <c r="E47" s="67"/>
      <c r="F47" s="67"/>
      <c r="G47" s="67"/>
      <c r="H47" s="66">
        <f t="shared" si="0"/>
        <v>0</v>
      </c>
      <c r="I47" s="12"/>
      <c r="J47" s="12"/>
      <c r="K47" s="12"/>
      <c r="L47" s="12"/>
      <c r="M47" s="12"/>
      <c r="N47" s="12"/>
      <c r="O47" s="66">
        <f t="shared" si="11"/>
        <v>0</v>
      </c>
      <c r="P47" s="67"/>
      <c r="Q47" s="67"/>
      <c r="R47" s="67"/>
      <c r="S47" s="67"/>
      <c r="T47" s="12"/>
      <c r="U47" s="12"/>
      <c r="V47" s="66">
        <f t="shared" si="12"/>
        <v>0</v>
      </c>
      <c r="W47" s="67"/>
      <c r="X47" s="12"/>
      <c r="Y47" s="11"/>
      <c r="Z47" s="67"/>
      <c r="AA47" s="67"/>
      <c r="AB47" s="67"/>
      <c r="AC47" s="66">
        <f t="shared" si="1"/>
        <v>0</v>
      </c>
      <c r="AD47" s="67"/>
      <c r="AE47" s="67"/>
      <c r="AF47" s="67"/>
      <c r="AG47" s="67"/>
      <c r="AH47" s="66">
        <f t="shared" si="15"/>
        <v>0</v>
      </c>
      <c r="AI47" s="68">
        <f t="shared" si="14"/>
        <v>0</v>
      </c>
    </row>
    <row r="48" spans="1:35" ht="17.25" customHeight="1" x14ac:dyDescent="0.25">
      <c r="A48" s="40">
        <f t="shared" si="13"/>
        <v>25</v>
      </c>
      <c r="B48" s="58" t="s">
        <v>184</v>
      </c>
      <c r="C48" s="59" t="s">
        <v>32</v>
      </c>
      <c r="D48" s="67"/>
      <c r="E48" s="67"/>
      <c r="F48" s="67"/>
      <c r="G48" s="67"/>
      <c r="H48" s="66">
        <f t="shared" si="0"/>
        <v>0</v>
      </c>
      <c r="I48" s="12"/>
      <c r="J48" s="12"/>
      <c r="K48" s="12"/>
      <c r="L48" s="12"/>
      <c r="M48" s="12"/>
      <c r="N48" s="12"/>
      <c r="O48" s="66">
        <f t="shared" si="11"/>
        <v>0</v>
      </c>
      <c r="P48" s="67"/>
      <c r="Q48" s="67"/>
      <c r="R48" s="67"/>
      <c r="S48" s="67"/>
      <c r="T48" s="67"/>
      <c r="U48" s="67"/>
      <c r="V48" s="66">
        <f t="shared" si="12"/>
        <v>0</v>
      </c>
      <c r="W48" s="67"/>
      <c r="X48" s="67"/>
      <c r="Y48" s="67"/>
      <c r="Z48" s="67"/>
      <c r="AA48" s="67"/>
      <c r="AB48" s="67"/>
      <c r="AC48" s="66">
        <f t="shared" si="1"/>
        <v>0</v>
      </c>
      <c r="AD48" s="67"/>
      <c r="AE48" s="67"/>
      <c r="AF48" s="67"/>
      <c r="AG48" s="67">
        <v>22689</v>
      </c>
      <c r="AH48" s="66">
        <f t="shared" si="2"/>
        <v>22689</v>
      </c>
      <c r="AI48" s="68">
        <f t="shared" si="14"/>
        <v>22689</v>
      </c>
    </row>
    <row r="49" spans="1:37" ht="16.5" thickBot="1" x14ac:dyDescent="0.3">
      <c r="A49" s="274" t="s">
        <v>79</v>
      </c>
      <c r="B49" s="274"/>
      <c r="C49" s="274"/>
      <c r="D49" s="92"/>
      <c r="E49" s="92"/>
      <c r="F49" s="92"/>
      <c r="G49" s="92">
        <f>SUM(G24:G48)</f>
        <v>0</v>
      </c>
      <c r="H49" s="91">
        <f t="shared" si="0"/>
        <v>0</v>
      </c>
      <c r="I49" s="92">
        <f t="shared" ref="I49:N49" si="18">SUM(I24:I48)</f>
        <v>0</v>
      </c>
      <c r="J49" s="92">
        <f t="shared" si="18"/>
        <v>0</v>
      </c>
      <c r="K49" s="92">
        <f t="shared" si="18"/>
        <v>0</v>
      </c>
      <c r="L49" s="92">
        <f t="shared" si="18"/>
        <v>0</v>
      </c>
      <c r="M49" s="92">
        <f t="shared" si="18"/>
        <v>0</v>
      </c>
      <c r="N49" s="92">
        <f t="shared" si="18"/>
        <v>0</v>
      </c>
      <c r="O49" s="91">
        <f>SUM(I49:N49)</f>
        <v>0</v>
      </c>
      <c r="P49" s="92">
        <f t="shared" ref="P49:U49" si="19">SUM(P24:P48)</f>
        <v>0</v>
      </c>
      <c r="Q49" s="92">
        <f t="shared" si="19"/>
        <v>0</v>
      </c>
      <c r="R49" s="92">
        <f t="shared" si="19"/>
        <v>0</v>
      </c>
      <c r="S49" s="92">
        <f t="shared" si="19"/>
        <v>0</v>
      </c>
      <c r="T49" s="92">
        <f t="shared" si="19"/>
        <v>0</v>
      </c>
      <c r="U49" s="92">
        <f t="shared" si="19"/>
        <v>0</v>
      </c>
      <c r="V49" s="91">
        <f>SUM(P49:U49)</f>
        <v>0</v>
      </c>
      <c r="W49" s="92">
        <f t="shared" ref="W49:AB49" si="20">SUM(W24:W48)</f>
        <v>0</v>
      </c>
      <c r="X49" s="92">
        <f t="shared" si="20"/>
        <v>0</v>
      </c>
      <c r="Y49" s="92">
        <f t="shared" si="20"/>
        <v>0</v>
      </c>
      <c r="Z49" s="92">
        <f t="shared" si="20"/>
        <v>0</v>
      </c>
      <c r="AA49" s="92">
        <f t="shared" si="20"/>
        <v>0</v>
      </c>
      <c r="AB49" s="92">
        <f t="shared" si="20"/>
        <v>0</v>
      </c>
      <c r="AC49" s="91">
        <f t="shared" si="1"/>
        <v>0</v>
      </c>
      <c r="AD49" s="92">
        <f>SUM(AD24:AD48)</f>
        <v>0</v>
      </c>
      <c r="AE49" s="92">
        <f>SUM(AE24:AE48)</f>
        <v>0</v>
      </c>
      <c r="AF49" s="92">
        <f>SUM(AF24:AF48)</f>
        <v>0</v>
      </c>
      <c r="AG49" s="92">
        <f>SUM(AG24:AG48)</f>
        <v>1192662</v>
      </c>
      <c r="AH49" s="66">
        <f>SUM(AD49:AG49)</f>
        <v>1192662</v>
      </c>
      <c r="AI49" s="70">
        <f>SUM(AI24:AI48)</f>
        <v>1192662</v>
      </c>
    </row>
    <row r="50" spans="1:37" ht="29.25" customHeight="1" thickTop="1" x14ac:dyDescent="0.25">
      <c r="A50" s="269" t="s">
        <v>78</v>
      </c>
      <c r="B50" s="269"/>
      <c r="C50" s="269"/>
      <c r="D50" s="71">
        <f>+D23+D49</f>
        <v>0</v>
      </c>
      <c r="E50" s="71">
        <f>+E23+E49</f>
        <v>0</v>
      </c>
      <c r="F50" s="71">
        <f>+F23+F49</f>
        <v>0</v>
      </c>
      <c r="G50" s="71">
        <f>+G23+G49</f>
        <v>0</v>
      </c>
      <c r="H50" s="66">
        <f t="shared" si="0"/>
        <v>0</v>
      </c>
      <c r="I50" s="71">
        <f t="shared" ref="I50:N50" si="21">+I23+I49</f>
        <v>0</v>
      </c>
      <c r="J50" s="71">
        <f t="shared" si="21"/>
        <v>0</v>
      </c>
      <c r="K50" s="71">
        <f t="shared" si="21"/>
        <v>0</v>
      </c>
      <c r="L50" s="71">
        <f t="shared" si="21"/>
        <v>0</v>
      </c>
      <c r="M50" s="71">
        <f t="shared" si="21"/>
        <v>0</v>
      </c>
      <c r="N50" s="71">
        <f t="shared" si="21"/>
        <v>0</v>
      </c>
      <c r="O50" s="66">
        <f t="shared" si="4"/>
        <v>0</v>
      </c>
      <c r="P50" s="71">
        <f t="shared" ref="P50:U50" si="22">+P23+P49</f>
        <v>0</v>
      </c>
      <c r="Q50" s="71">
        <f t="shared" si="22"/>
        <v>0</v>
      </c>
      <c r="R50" s="71">
        <f t="shared" si="22"/>
        <v>0</v>
      </c>
      <c r="S50" s="71">
        <f t="shared" si="22"/>
        <v>0</v>
      </c>
      <c r="T50" s="71">
        <f t="shared" si="22"/>
        <v>0</v>
      </c>
      <c r="U50" s="71">
        <f t="shared" si="22"/>
        <v>0</v>
      </c>
      <c r="V50" s="66">
        <f>SUM(P50:U50)</f>
        <v>0</v>
      </c>
      <c r="W50" s="71">
        <f t="shared" ref="W50:AB50" si="23">+W23+W49</f>
        <v>0</v>
      </c>
      <c r="X50" s="71">
        <f t="shared" si="23"/>
        <v>0</v>
      </c>
      <c r="Y50" s="71">
        <f t="shared" si="23"/>
        <v>0</v>
      </c>
      <c r="Z50" s="71">
        <f t="shared" si="23"/>
        <v>0</v>
      </c>
      <c r="AA50" s="71">
        <f t="shared" si="23"/>
        <v>0</v>
      </c>
      <c r="AB50" s="71">
        <f t="shared" si="23"/>
        <v>0</v>
      </c>
      <c r="AC50" s="66">
        <f t="shared" si="1"/>
        <v>0</v>
      </c>
      <c r="AD50" s="71">
        <f>+AD23+AD49</f>
        <v>0</v>
      </c>
      <c r="AE50" s="71"/>
      <c r="AF50" s="71"/>
      <c r="AG50" s="71"/>
      <c r="AH50" s="66">
        <f>SUM(AD50:AG50)</f>
        <v>0</v>
      </c>
      <c r="AI50" s="71">
        <f>SUM(AI49,AI23)</f>
        <v>1192662</v>
      </c>
    </row>
    <row r="51" spans="1:37" x14ac:dyDescent="0.25">
      <c r="A51" s="37"/>
      <c r="B51" s="33"/>
      <c r="C51" s="33"/>
      <c r="AK51" s="49"/>
    </row>
    <row r="52" spans="1:37" x14ac:dyDescent="0.25">
      <c r="A52" s="37"/>
      <c r="B52" s="34"/>
      <c r="C52" s="34"/>
      <c r="AI52" s="49"/>
    </row>
    <row r="53" spans="1:37" x14ac:dyDescent="0.25">
      <c r="A53" s="37"/>
      <c r="B53" s="34"/>
      <c r="C53" s="34"/>
      <c r="M53" s="49"/>
      <c r="N53" s="100"/>
    </row>
    <row r="54" spans="1:37" x14ac:dyDescent="0.25">
      <c r="M54" s="49"/>
      <c r="N54" s="100"/>
      <c r="AI54" s="49"/>
      <c r="AK54" s="49"/>
    </row>
    <row r="55" spans="1:37" x14ac:dyDescent="0.25">
      <c r="M55" s="49"/>
      <c r="N55" s="101"/>
    </row>
    <row r="56" spans="1:37" x14ac:dyDescent="0.25">
      <c r="M56" s="49"/>
      <c r="N56" s="101"/>
    </row>
    <row r="57" spans="1:37" x14ac:dyDescent="0.25">
      <c r="M57" s="49"/>
      <c r="N57" s="101"/>
    </row>
  </sheetData>
  <mergeCells count="7">
    <mergeCell ref="A50:C50"/>
    <mergeCell ref="A6:A7"/>
    <mergeCell ref="B6:B7"/>
    <mergeCell ref="C6:C7"/>
    <mergeCell ref="AI6:AI7"/>
    <mergeCell ref="A23:C23"/>
    <mergeCell ref="A49:C49"/>
  </mergeCells>
  <pageMargins left="0.7" right="0.7" top="0.75" bottom="0.75" header="0.3" footer="0.3"/>
  <pageSetup paperSize="9" scale="24" orientation="landscape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49"/>
  <dimension ref="A1:M85"/>
  <sheetViews>
    <sheetView topLeftCell="E16" zoomScale="90" zoomScaleNormal="90" workbookViewId="0">
      <selection activeCell="J34" sqref="J34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3.85546875" style="1" hidden="1" customWidth="1"/>
    <col min="10" max="10" width="22.5703125" style="1" customWidth="1"/>
    <col min="11" max="11" width="5" style="1" customWidth="1"/>
    <col min="12" max="13" width="12.42578125" style="1" bestFit="1" customWidth="1"/>
    <col min="14" max="16384" width="11.42578125" style="1"/>
  </cols>
  <sheetData>
    <row r="1" spans="1:12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2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2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2" x14ac:dyDescent="0.25">
      <c r="A5" s="5"/>
      <c r="B5" s="7"/>
      <c r="C5" s="8" t="s">
        <v>49</v>
      </c>
      <c r="D5" s="5" t="s">
        <v>121</v>
      </c>
      <c r="E5" s="9"/>
      <c r="F5" s="9"/>
      <c r="G5" s="9"/>
      <c r="H5" s="9"/>
      <c r="I5" s="9"/>
      <c r="J5" s="9"/>
      <c r="K5" s="5"/>
    </row>
    <row r="6" spans="1:12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2" x14ac:dyDescent="0.25">
      <c r="A7" s="5"/>
      <c r="B7" s="7"/>
      <c r="C7" s="8" t="s">
        <v>48</v>
      </c>
      <c r="D7" s="5" t="s">
        <v>86</v>
      </c>
      <c r="E7" s="9"/>
      <c r="F7" s="9"/>
      <c r="G7" s="9"/>
      <c r="H7" s="9"/>
      <c r="I7" s="9"/>
      <c r="J7" s="9"/>
      <c r="K7" s="5"/>
    </row>
    <row r="8" spans="1:12" x14ac:dyDescent="0.25">
      <c r="A8" s="5"/>
      <c r="B8" s="7"/>
      <c r="C8" s="8" t="s">
        <v>47</v>
      </c>
      <c r="D8" s="16" t="s">
        <v>120</v>
      </c>
      <c r="E8" s="9"/>
      <c r="F8" s="9"/>
      <c r="G8" s="9"/>
      <c r="H8" s="9"/>
      <c r="I8" s="9"/>
      <c r="J8" s="9"/>
      <c r="K8" s="5"/>
    </row>
    <row r="9" spans="1:12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2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2" x14ac:dyDescent="0.25">
      <c r="A11" s="5"/>
      <c r="B11" s="14">
        <v>250402</v>
      </c>
      <c r="C11" s="14">
        <v>1694</v>
      </c>
      <c r="D11" s="22">
        <v>45752</v>
      </c>
      <c r="E11" s="12">
        <v>47812</v>
      </c>
      <c r="F11" s="12">
        <v>19425</v>
      </c>
      <c r="G11" s="96">
        <v>45752</v>
      </c>
      <c r="H11" s="12">
        <f>+E11-F11</f>
        <v>28387</v>
      </c>
      <c r="I11" s="10"/>
      <c r="J11" s="10" t="s">
        <v>178</v>
      </c>
      <c r="K11" s="5" t="s">
        <v>135</v>
      </c>
    </row>
    <row r="12" spans="1:12" x14ac:dyDescent="0.25">
      <c r="A12" s="5"/>
      <c r="B12" s="14"/>
      <c r="C12" s="14"/>
      <c r="D12" s="22"/>
      <c r="E12" s="12"/>
      <c r="F12" s="12">
        <v>28387</v>
      </c>
      <c r="G12" s="96">
        <v>45752</v>
      </c>
      <c r="H12" s="12">
        <f>+H11+E12-F12</f>
        <v>0</v>
      </c>
      <c r="I12" s="10"/>
      <c r="J12" s="10" t="s">
        <v>179</v>
      </c>
      <c r="K12" s="5" t="s">
        <v>136</v>
      </c>
    </row>
    <row r="13" spans="1:12" x14ac:dyDescent="0.25">
      <c r="A13" s="5"/>
      <c r="B13" s="14">
        <v>250431</v>
      </c>
      <c r="C13" s="14">
        <v>1725</v>
      </c>
      <c r="D13" s="22">
        <v>45773</v>
      </c>
      <c r="E13" s="12">
        <v>71680</v>
      </c>
      <c r="F13" s="12">
        <v>46600</v>
      </c>
      <c r="G13" s="96">
        <v>45772</v>
      </c>
      <c r="H13" s="12">
        <f t="shared" ref="H13:H81" si="0">+H12+E13-F13</f>
        <v>25080</v>
      </c>
      <c r="I13" s="10"/>
      <c r="J13" s="10" t="s">
        <v>178</v>
      </c>
      <c r="K13" s="5" t="s">
        <v>136</v>
      </c>
    </row>
    <row r="14" spans="1:12" ht="16.5" thickBot="1" x14ac:dyDescent="0.3">
      <c r="A14" s="5"/>
      <c r="B14" s="83"/>
      <c r="C14" s="83"/>
      <c r="D14" s="84"/>
      <c r="E14" s="85"/>
      <c r="F14" s="85">
        <v>25080</v>
      </c>
      <c r="G14" s="115">
        <v>45773</v>
      </c>
      <c r="H14" s="85">
        <f t="shared" si="0"/>
        <v>0</v>
      </c>
      <c r="I14" s="87"/>
      <c r="J14" s="87" t="s">
        <v>179</v>
      </c>
      <c r="K14" s="5" t="s">
        <v>136</v>
      </c>
      <c r="L14" s="49">
        <f>SUM(F11:F14)</f>
        <v>119492</v>
      </c>
    </row>
    <row r="15" spans="1:12" ht="16.5" thickTop="1" x14ac:dyDescent="0.25">
      <c r="A15" s="5"/>
      <c r="B15" s="118"/>
      <c r="C15" s="118"/>
      <c r="D15" s="117"/>
      <c r="E15" s="80"/>
      <c r="F15" s="80">
        <v>10000</v>
      </c>
      <c r="G15" s="81">
        <v>45777</v>
      </c>
      <c r="H15" s="80">
        <f t="shared" si="0"/>
        <v>-10000</v>
      </c>
      <c r="I15" s="82"/>
      <c r="J15" s="82" t="s">
        <v>179</v>
      </c>
      <c r="K15" s="5" t="s">
        <v>136</v>
      </c>
    </row>
    <row r="16" spans="1:12" ht="16.5" thickBot="1" x14ac:dyDescent="0.3">
      <c r="A16" s="5"/>
      <c r="B16" s="83"/>
      <c r="C16" s="83"/>
      <c r="D16" s="84"/>
      <c r="E16" s="85"/>
      <c r="F16" s="85">
        <v>-10000</v>
      </c>
      <c r="G16" s="86">
        <v>45798</v>
      </c>
      <c r="H16" s="85">
        <f t="shared" si="0"/>
        <v>0</v>
      </c>
      <c r="I16" s="87"/>
      <c r="J16" s="87" t="s">
        <v>195</v>
      </c>
      <c r="K16" s="5" t="s">
        <v>136</v>
      </c>
    </row>
    <row r="17" spans="1:13" ht="16.5" thickTop="1" x14ac:dyDescent="0.25">
      <c r="A17" s="5"/>
      <c r="B17" s="118">
        <v>250719</v>
      </c>
      <c r="C17" s="118">
        <v>1815</v>
      </c>
      <c r="D17" s="117">
        <v>45852</v>
      </c>
      <c r="E17" s="80">
        <v>65350</v>
      </c>
      <c r="F17" s="80">
        <v>28450</v>
      </c>
      <c r="G17" s="81">
        <v>45852</v>
      </c>
      <c r="H17" s="80">
        <f t="shared" si="0"/>
        <v>36900</v>
      </c>
      <c r="I17" s="82"/>
      <c r="J17" s="10" t="s">
        <v>178</v>
      </c>
      <c r="K17" s="5" t="s">
        <v>136</v>
      </c>
    </row>
    <row r="18" spans="1:13" x14ac:dyDescent="0.25">
      <c r="A18" s="5"/>
      <c r="B18" s="14"/>
      <c r="C18" s="14"/>
      <c r="D18" s="22"/>
      <c r="E18" s="12"/>
      <c r="F18" s="12">
        <v>36900</v>
      </c>
      <c r="G18" s="11">
        <v>45852</v>
      </c>
      <c r="H18" s="12">
        <f t="shared" si="0"/>
        <v>0</v>
      </c>
      <c r="I18" s="10"/>
      <c r="J18" s="82" t="s">
        <v>179</v>
      </c>
      <c r="K18" s="5" t="s">
        <v>136</v>
      </c>
    </row>
    <row r="19" spans="1:13" x14ac:dyDescent="0.25">
      <c r="A19" s="5"/>
      <c r="B19" s="14">
        <v>250728</v>
      </c>
      <c r="C19" s="14">
        <v>1826</v>
      </c>
      <c r="D19" s="22">
        <v>45859</v>
      </c>
      <c r="E19" s="12">
        <v>67850</v>
      </c>
      <c r="F19" s="12">
        <v>33800</v>
      </c>
      <c r="G19" s="11">
        <v>45859</v>
      </c>
      <c r="H19" s="12">
        <f t="shared" si="0"/>
        <v>34050</v>
      </c>
      <c r="I19" s="10"/>
      <c r="J19" s="10" t="s">
        <v>178</v>
      </c>
      <c r="K19" s="5" t="s">
        <v>136</v>
      </c>
    </row>
    <row r="20" spans="1:13" x14ac:dyDescent="0.25">
      <c r="A20" s="5"/>
      <c r="B20" s="14"/>
      <c r="C20" s="14"/>
      <c r="D20" s="22"/>
      <c r="E20" s="12"/>
      <c r="F20" s="12">
        <v>34050</v>
      </c>
      <c r="G20" s="11">
        <v>45859</v>
      </c>
      <c r="H20" s="12">
        <f>+H19+E20-F20</f>
        <v>0</v>
      </c>
      <c r="I20" s="10"/>
      <c r="J20" s="82" t="s">
        <v>179</v>
      </c>
      <c r="K20" s="5" t="s">
        <v>136</v>
      </c>
    </row>
    <row r="21" spans="1:13" x14ac:dyDescent="0.25">
      <c r="A21" s="5"/>
      <c r="B21" s="14">
        <v>250741</v>
      </c>
      <c r="C21" s="14">
        <v>1839</v>
      </c>
      <c r="D21" s="22">
        <v>45869</v>
      </c>
      <c r="E21" s="12">
        <v>73775</v>
      </c>
      <c r="F21" s="12">
        <v>30500</v>
      </c>
      <c r="G21" s="11">
        <v>45869</v>
      </c>
      <c r="H21" s="12">
        <f>+H20+E21-F21</f>
        <v>43275</v>
      </c>
      <c r="I21" s="10"/>
      <c r="J21" s="10" t="s">
        <v>178</v>
      </c>
      <c r="K21" s="5" t="s">
        <v>135</v>
      </c>
      <c r="L21" s="49"/>
    </row>
    <row r="22" spans="1:13" ht="16.5" thickBot="1" x14ac:dyDescent="0.3">
      <c r="A22" s="5"/>
      <c r="B22" s="83"/>
      <c r="C22" s="83"/>
      <c r="D22" s="84"/>
      <c r="E22" s="85"/>
      <c r="F22" s="85">
        <v>43275</v>
      </c>
      <c r="G22" s="86">
        <v>45869</v>
      </c>
      <c r="H22" s="85">
        <f t="shared" ref="H22:H31" si="1">+H21+E22-F22</f>
        <v>0</v>
      </c>
      <c r="I22" s="87"/>
      <c r="J22" s="132" t="s">
        <v>179</v>
      </c>
      <c r="K22" s="5" t="s">
        <v>136</v>
      </c>
      <c r="L22" s="49">
        <f>SUM(F17:F22)</f>
        <v>206975</v>
      </c>
    </row>
    <row r="23" spans="1:13" ht="16.5" thickTop="1" x14ac:dyDescent="0.25">
      <c r="A23" s="5"/>
      <c r="B23" s="118">
        <v>250814</v>
      </c>
      <c r="C23" s="118">
        <v>1854</v>
      </c>
      <c r="D23" s="117">
        <v>45887</v>
      </c>
      <c r="E23" s="80">
        <v>65652</v>
      </c>
      <c r="F23" s="80">
        <v>49000</v>
      </c>
      <c r="G23" s="81">
        <v>45887</v>
      </c>
      <c r="H23" s="80">
        <f t="shared" si="1"/>
        <v>16652</v>
      </c>
      <c r="I23" s="82"/>
      <c r="J23" s="82" t="s">
        <v>178</v>
      </c>
      <c r="K23" s="5" t="s">
        <v>135</v>
      </c>
    </row>
    <row r="24" spans="1:13" x14ac:dyDescent="0.25">
      <c r="A24" s="5"/>
      <c r="B24" s="14"/>
      <c r="C24" s="14"/>
      <c r="D24" s="22"/>
      <c r="E24" s="12"/>
      <c r="F24" s="12">
        <v>16652</v>
      </c>
      <c r="G24" s="11">
        <v>45887</v>
      </c>
      <c r="H24" s="12">
        <f t="shared" si="1"/>
        <v>0</v>
      </c>
      <c r="I24" s="10"/>
      <c r="J24" s="10" t="s">
        <v>179</v>
      </c>
      <c r="K24" s="5" t="s">
        <v>136</v>
      </c>
    </row>
    <row r="25" spans="1:13" x14ac:dyDescent="0.25">
      <c r="A25" s="5"/>
      <c r="B25" s="14">
        <v>250830</v>
      </c>
      <c r="C25" s="14">
        <v>1870</v>
      </c>
      <c r="D25" s="22">
        <v>45902</v>
      </c>
      <c r="E25" s="12">
        <v>70410</v>
      </c>
      <c r="F25" s="12">
        <v>44220</v>
      </c>
      <c r="G25" s="11">
        <v>45902</v>
      </c>
      <c r="H25" s="12">
        <f t="shared" si="1"/>
        <v>26190</v>
      </c>
      <c r="I25" s="10"/>
      <c r="J25" s="10" t="s">
        <v>178</v>
      </c>
      <c r="K25" s="5" t="s">
        <v>135</v>
      </c>
      <c r="L25" s="49"/>
    </row>
    <row r="26" spans="1:13" ht="16.5" thickBot="1" x14ac:dyDescent="0.3">
      <c r="A26" s="5"/>
      <c r="B26" s="83"/>
      <c r="C26" s="83"/>
      <c r="D26" s="84"/>
      <c r="E26" s="85"/>
      <c r="F26" s="85">
        <v>26190</v>
      </c>
      <c r="G26" s="86">
        <v>45902</v>
      </c>
      <c r="H26" s="85">
        <f t="shared" si="1"/>
        <v>0</v>
      </c>
      <c r="I26" s="87"/>
      <c r="J26" s="87" t="s">
        <v>179</v>
      </c>
      <c r="K26" s="5" t="s">
        <v>136</v>
      </c>
      <c r="L26" s="49">
        <f>SUM(F23:F26)</f>
        <v>136062</v>
      </c>
    </row>
    <row r="27" spans="1:13" ht="17.25" thickTop="1" thickBot="1" x14ac:dyDescent="0.3">
      <c r="A27" s="5"/>
      <c r="B27" s="138">
        <v>250914</v>
      </c>
      <c r="C27" s="138">
        <v>1892</v>
      </c>
      <c r="D27" s="139">
        <v>45913</v>
      </c>
      <c r="E27" s="140">
        <v>58288</v>
      </c>
      <c r="F27" s="140">
        <v>58288</v>
      </c>
      <c r="G27" s="141">
        <v>45913</v>
      </c>
      <c r="H27" s="140">
        <f t="shared" si="1"/>
        <v>0</v>
      </c>
      <c r="I27" s="142"/>
      <c r="J27" s="142" t="s">
        <v>179</v>
      </c>
      <c r="K27" s="5" t="s">
        <v>136</v>
      </c>
      <c r="L27" s="49">
        <f>SUM(F27)</f>
        <v>58288</v>
      </c>
    </row>
    <row r="28" spans="1:13" ht="16.5" thickTop="1" x14ac:dyDescent="0.25">
      <c r="A28" s="5"/>
      <c r="B28" s="118">
        <v>251011</v>
      </c>
      <c r="C28" s="118">
        <v>1935</v>
      </c>
      <c r="D28" s="117">
        <v>45937</v>
      </c>
      <c r="E28" s="80">
        <v>52980</v>
      </c>
      <c r="F28" s="108">
        <v>45280</v>
      </c>
      <c r="G28" s="81">
        <v>45937</v>
      </c>
      <c r="H28" s="80">
        <f t="shared" si="1"/>
        <v>7700</v>
      </c>
      <c r="I28" s="82"/>
      <c r="J28" s="82" t="s">
        <v>282</v>
      </c>
      <c r="K28" s="5" t="s">
        <v>135</v>
      </c>
    </row>
    <row r="29" spans="1:13" x14ac:dyDescent="0.25">
      <c r="A29" s="5"/>
      <c r="B29" s="14"/>
      <c r="C29" s="14"/>
      <c r="D29" s="22"/>
      <c r="E29" s="12"/>
      <c r="F29" s="12">
        <v>7700</v>
      </c>
      <c r="G29" s="11">
        <v>45937</v>
      </c>
      <c r="H29" s="12">
        <f t="shared" si="1"/>
        <v>0</v>
      </c>
      <c r="I29" s="10"/>
      <c r="J29" s="10" t="s">
        <v>179</v>
      </c>
      <c r="K29" s="5" t="s">
        <v>136</v>
      </c>
    </row>
    <row r="30" spans="1:13" x14ac:dyDescent="0.25">
      <c r="A30" s="5"/>
      <c r="B30" s="14">
        <v>251037</v>
      </c>
      <c r="C30" s="14">
        <v>1979</v>
      </c>
      <c r="D30" s="22">
        <v>45957</v>
      </c>
      <c r="E30" s="12">
        <v>61110</v>
      </c>
      <c r="F30" s="12">
        <v>10950</v>
      </c>
      <c r="G30" s="11">
        <v>45954</v>
      </c>
      <c r="H30" s="12">
        <f t="shared" si="1"/>
        <v>50160</v>
      </c>
      <c r="I30" s="10"/>
      <c r="J30" s="10" t="s">
        <v>179</v>
      </c>
      <c r="K30" s="5" t="s">
        <v>136</v>
      </c>
    </row>
    <row r="31" spans="1:13" x14ac:dyDescent="0.25">
      <c r="A31" s="5"/>
      <c r="B31" s="14"/>
      <c r="C31" s="14"/>
      <c r="D31" s="22"/>
      <c r="E31" s="12"/>
      <c r="F31" s="12">
        <v>42000</v>
      </c>
      <c r="G31" s="11">
        <v>45954</v>
      </c>
      <c r="H31" s="12">
        <f t="shared" si="1"/>
        <v>8160</v>
      </c>
      <c r="I31" s="10"/>
      <c r="J31" s="10" t="s">
        <v>283</v>
      </c>
      <c r="K31" s="5" t="s">
        <v>135</v>
      </c>
      <c r="M31" s="49"/>
    </row>
    <row r="32" spans="1:13" ht="16.5" thickBot="1" x14ac:dyDescent="0.3">
      <c r="A32" s="5"/>
      <c r="B32" s="83"/>
      <c r="C32" s="83"/>
      <c r="D32" s="84"/>
      <c r="E32" s="85"/>
      <c r="F32" s="85">
        <v>8160</v>
      </c>
      <c r="G32" s="86">
        <v>45957</v>
      </c>
      <c r="H32" s="85">
        <f>+H31+E32-F32</f>
        <v>0</v>
      </c>
      <c r="I32" s="87"/>
      <c r="J32" s="87" t="s">
        <v>179</v>
      </c>
      <c r="K32" s="5" t="s">
        <v>136</v>
      </c>
      <c r="L32" s="49">
        <f>SUM(F28:F32)</f>
        <v>114090</v>
      </c>
    </row>
    <row r="33" spans="1:13" ht="16.5" thickTop="1" x14ac:dyDescent="0.25">
      <c r="A33" s="5"/>
      <c r="B33" s="118"/>
      <c r="C33" s="118"/>
      <c r="D33" s="117"/>
      <c r="E33" s="80"/>
      <c r="F33" s="80"/>
      <c r="G33" s="81"/>
      <c r="H33" s="80">
        <f t="shared" ref="H33:H52" si="2">+H32+E33-F33</f>
        <v>0</v>
      </c>
      <c r="I33" s="82"/>
      <c r="J33" s="82"/>
      <c r="K33" s="5"/>
    </row>
    <row r="34" spans="1:13" x14ac:dyDescent="0.25">
      <c r="A34" s="5"/>
      <c r="B34" s="14"/>
      <c r="C34" s="14"/>
      <c r="D34" s="22"/>
      <c r="E34" s="12"/>
      <c r="F34" s="12"/>
      <c r="G34" s="11"/>
      <c r="H34" s="12">
        <f t="shared" si="2"/>
        <v>0</v>
      </c>
      <c r="I34" s="10"/>
      <c r="J34" s="10"/>
      <c r="K34" s="5"/>
    </row>
    <row r="35" spans="1:13" x14ac:dyDescent="0.25">
      <c r="A35" s="5"/>
      <c r="B35" s="14"/>
      <c r="C35" s="14"/>
      <c r="D35" s="22"/>
      <c r="E35" s="12"/>
      <c r="F35" s="12"/>
      <c r="G35" s="11"/>
      <c r="H35" s="12">
        <f t="shared" si="2"/>
        <v>0</v>
      </c>
      <c r="I35" s="10"/>
      <c r="J35" s="10"/>
      <c r="K35" s="5"/>
    </row>
    <row r="36" spans="1:13" x14ac:dyDescent="0.25">
      <c r="A36" s="5"/>
      <c r="B36" s="14"/>
      <c r="C36" s="14"/>
      <c r="D36" s="22"/>
      <c r="E36" s="12"/>
      <c r="F36" s="12"/>
      <c r="G36" s="11"/>
      <c r="H36" s="12">
        <f t="shared" si="2"/>
        <v>0</v>
      </c>
      <c r="I36" s="10"/>
      <c r="J36" s="10"/>
      <c r="K36" s="5"/>
    </row>
    <row r="37" spans="1:13" x14ac:dyDescent="0.25">
      <c r="A37" s="5"/>
      <c r="B37" s="14"/>
      <c r="C37" s="14"/>
      <c r="D37" s="22"/>
      <c r="E37" s="12"/>
      <c r="F37" s="12"/>
      <c r="G37" s="11"/>
      <c r="H37" s="12">
        <f t="shared" si="2"/>
        <v>0</v>
      </c>
      <c r="I37" s="10"/>
      <c r="J37" s="10"/>
      <c r="K37" s="5"/>
    </row>
    <row r="38" spans="1:13" x14ac:dyDescent="0.25">
      <c r="A38" s="5"/>
      <c r="B38" s="14"/>
      <c r="C38" s="14"/>
      <c r="D38" s="22"/>
      <c r="E38" s="12"/>
      <c r="F38" s="12"/>
      <c r="G38" s="11"/>
      <c r="H38" s="12">
        <f t="shared" si="2"/>
        <v>0</v>
      </c>
      <c r="I38" s="10"/>
      <c r="J38" s="10"/>
      <c r="K38" s="5"/>
      <c r="M38" s="49"/>
    </row>
    <row r="39" spans="1:13" x14ac:dyDescent="0.25">
      <c r="A39" s="5"/>
      <c r="B39" s="14"/>
      <c r="C39" s="14"/>
      <c r="D39" s="22"/>
      <c r="E39" s="12"/>
      <c r="F39" s="12"/>
      <c r="G39" s="11"/>
      <c r="H39" s="12">
        <f>+H38+E39-F39</f>
        <v>0</v>
      </c>
      <c r="I39" s="10"/>
      <c r="J39" s="10"/>
      <c r="K39" s="5"/>
    </row>
    <row r="40" spans="1:13" x14ac:dyDescent="0.25">
      <c r="A40" s="5"/>
      <c r="B40" s="14"/>
      <c r="C40" s="14"/>
      <c r="D40" s="22"/>
      <c r="E40" s="12"/>
      <c r="F40" s="12"/>
      <c r="G40" s="11"/>
      <c r="H40" s="12">
        <f t="shared" si="2"/>
        <v>0</v>
      </c>
      <c r="I40" s="10"/>
      <c r="J40" s="10"/>
      <c r="K40" s="5"/>
    </row>
    <row r="41" spans="1:13" x14ac:dyDescent="0.25">
      <c r="A41" s="5"/>
      <c r="B41" s="14"/>
      <c r="C41" s="14"/>
      <c r="D41" s="22"/>
      <c r="E41" s="12"/>
      <c r="F41" s="12"/>
      <c r="G41" s="11"/>
      <c r="H41" s="12">
        <f t="shared" si="2"/>
        <v>0</v>
      </c>
      <c r="I41" s="10"/>
      <c r="J41" s="10"/>
      <c r="K41" s="5"/>
    </row>
    <row r="42" spans="1:13" x14ac:dyDescent="0.25">
      <c r="A42" s="5"/>
      <c r="B42" s="14"/>
      <c r="C42" s="14"/>
      <c r="D42" s="22"/>
      <c r="E42" s="12"/>
      <c r="F42" s="12"/>
      <c r="G42" s="11"/>
      <c r="H42" s="12">
        <f t="shared" si="2"/>
        <v>0</v>
      </c>
      <c r="I42" s="10"/>
      <c r="J42" s="10"/>
      <c r="K42" s="5"/>
      <c r="M42" s="49"/>
    </row>
    <row r="43" spans="1:13" x14ac:dyDescent="0.25">
      <c r="A43" s="5"/>
      <c r="B43" s="14"/>
      <c r="C43" s="14"/>
      <c r="D43" s="22"/>
      <c r="E43" s="12"/>
      <c r="F43" s="12"/>
      <c r="G43" s="11"/>
      <c r="H43" s="12">
        <f t="shared" si="2"/>
        <v>0</v>
      </c>
      <c r="I43" s="10"/>
      <c r="J43" s="10"/>
      <c r="K43" s="5"/>
      <c r="M43" s="49"/>
    </row>
    <row r="44" spans="1:13" x14ac:dyDescent="0.25">
      <c r="A44" s="5"/>
      <c r="B44" s="14"/>
      <c r="C44" s="14"/>
      <c r="D44" s="22"/>
      <c r="E44" s="12"/>
      <c r="F44" s="12"/>
      <c r="G44" s="11"/>
      <c r="H44" s="12">
        <f t="shared" si="2"/>
        <v>0</v>
      </c>
      <c r="I44" s="10"/>
      <c r="J44" s="10"/>
      <c r="K44" s="5"/>
    </row>
    <row r="45" spans="1:13" x14ac:dyDescent="0.25">
      <c r="A45" s="5"/>
      <c r="B45" s="14"/>
      <c r="C45" s="14"/>
      <c r="D45" s="22"/>
      <c r="E45" s="12"/>
      <c r="F45" s="12"/>
      <c r="G45" s="11"/>
      <c r="H45" s="12">
        <f t="shared" si="2"/>
        <v>0</v>
      </c>
      <c r="I45" s="10"/>
      <c r="J45" s="10"/>
      <c r="K45" s="5"/>
    </row>
    <row r="46" spans="1:13" x14ac:dyDescent="0.25">
      <c r="A46" s="5"/>
      <c r="B46" s="14"/>
      <c r="C46" s="14"/>
      <c r="D46" s="22"/>
      <c r="E46" s="12"/>
      <c r="F46" s="12"/>
      <c r="G46" s="11"/>
      <c r="H46" s="12">
        <f t="shared" si="2"/>
        <v>0</v>
      </c>
      <c r="I46" s="10"/>
      <c r="J46" s="10"/>
      <c r="K46" s="5"/>
    </row>
    <row r="47" spans="1:13" x14ac:dyDescent="0.25">
      <c r="A47" s="5"/>
      <c r="B47" s="14"/>
      <c r="C47" s="14"/>
      <c r="D47" s="22"/>
      <c r="E47" s="12"/>
      <c r="F47" s="12"/>
      <c r="G47" s="11"/>
      <c r="H47" s="12">
        <f t="shared" si="2"/>
        <v>0</v>
      </c>
      <c r="I47" s="10"/>
      <c r="J47" s="10"/>
      <c r="K47" s="5"/>
    </row>
    <row r="48" spans="1:13" x14ac:dyDescent="0.25">
      <c r="A48" s="5"/>
      <c r="B48" s="14"/>
      <c r="C48" s="14"/>
      <c r="D48" s="22"/>
      <c r="E48" s="12"/>
      <c r="F48" s="12"/>
      <c r="G48" s="11"/>
      <c r="H48" s="12">
        <f t="shared" si="2"/>
        <v>0</v>
      </c>
      <c r="I48" s="10"/>
      <c r="J48" s="10"/>
      <c r="K48" s="5"/>
    </row>
    <row r="49" spans="1:13" x14ac:dyDescent="0.25">
      <c r="A49" s="5"/>
      <c r="B49" s="14"/>
      <c r="C49" s="14"/>
      <c r="D49" s="22"/>
      <c r="E49" s="12"/>
      <c r="F49" s="12"/>
      <c r="G49" s="11"/>
      <c r="H49" s="12">
        <f t="shared" si="2"/>
        <v>0</v>
      </c>
      <c r="I49" s="10"/>
      <c r="J49" s="10"/>
      <c r="K49" s="5"/>
    </row>
    <row r="50" spans="1:13" x14ac:dyDescent="0.25">
      <c r="A50" s="5"/>
      <c r="B50" s="14"/>
      <c r="C50" s="14"/>
      <c r="D50" s="22"/>
      <c r="E50" s="12"/>
      <c r="F50" s="12"/>
      <c r="G50" s="11"/>
      <c r="H50" s="12">
        <f t="shared" si="2"/>
        <v>0</v>
      </c>
      <c r="I50" s="10"/>
      <c r="J50" s="10"/>
      <c r="K50" s="5"/>
    </row>
    <row r="51" spans="1:13" x14ac:dyDescent="0.25">
      <c r="A51" s="5"/>
      <c r="B51" s="14"/>
      <c r="C51" s="14"/>
      <c r="D51" s="22"/>
      <c r="E51" s="12"/>
      <c r="F51" s="12"/>
      <c r="G51" s="11"/>
      <c r="H51" s="12">
        <f t="shared" si="2"/>
        <v>0</v>
      </c>
      <c r="I51" s="10"/>
      <c r="J51" s="10"/>
      <c r="K51" s="5"/>
    </row>
    <row r="52" spans="1:13" x14ac:dyDescent="0.25">
      <c r="A52" s="5"/>
      <c r="B52" s="14"/>
      <c r="C52" s="14"/>
      <c r="D52" s="22"/>
      <c r="E52" s="12"/>
      <c r="F52" s="12"/>
      <c r="G52" s="11"/>
      <c r="H52" s="12">
        <f t="shared" si="2"/>
        <v>0</v>
      </c>
      <c r="I52" s="10"/>
      <c r="J52" s="10"/>
      <c r="K52" s="5"/>
      <c r="M52" s="49"/>
    </row>
    <row r="53" spans="1:13" x14ac:dyDescent="0.25">
      <c r="A53" s="5"/>
      <c r="B53" s="14"/>
      <c r="C53" s="14"/>
      <c r="D53" s="22"/>
      <c r="E53" s="12"/>
      <c r="F53" s="12"/>
      <c r="G53" s="11"/>
      <c r="H53" s="12">
        <f>+H52+E53-F53</f>
        <v>0</v>
      </c>
      <c r="I53" s="10"/>
      <c r="J53" s="10"/>
      <c r="K53" s="5"/>
    </row>
    <row r="54" spans="1:13" x14ac:dyDescent="0.25">
      <c r="A54" s="5"/>
      <c r="B54" s="14"/>
      <c r="C54" s="14"/>
      <c r="D54" s="22"/>
      <c r="E54" s="12"/>
      <c r="F54" s="12"/>
      <c r="G54" s="22"/>
      <c r="H54" s="12">
        <f t="shared" ref="H54:H80" si="3">+H53+E54-F54</f>
        <v>0</v>
      </c>
      <c r="I54" s="10"/>
      <c r="J54" s="10"/>
      <c r="K54" s="5"/>
    </row>
    <row r="55" spans="1:13" x14ac:dyDescent="0.25">
      <c r="A55" s="5"/>
      <c r="B55" s="14"/>
      <c r="C55" s="14"/>
      <c r="D55" s="22"/>
      <c r="E55" s="12"/>
      <c r="F55" s="12"/>
      <c r="G55" s="22"/>
      <c r="H55" s="12">
        <f t="shared" si="3"/>
        <v>0</v>
      </c>
      <c r="I55" s="10"/>
      <c r="J55" s="10"/>
      <c r="K55" s="5"/>
    </row>
    <row r="56" spans="1:13" x14ac:dyDescent="0.25">
      <c r="A56" s="5"/>
      <c r="B56" s="14"/>
      <c r="C56" s="14"/>
      <c r="D56" s="22"/>
      <c r="E56" s="12"/>
      <c r="F56" s="12"/>
      <c r="G56" s="11"/>
      <c r="H56" s="12">
        <f t="shared" si="3"/>
        <v>0</v>
      </c>
      <c r="I56" s="10"/>
      <c r="J56" s="10"/>
      <c r="K56" s="5"/>
    </row>
    <row r="57" spans="1:13" x14ac:dyDescent="0.25">
      <c r="A57" s="5"/>
      <c r="B57" s="14"/>
      <c r="C57" s="14"/>
      <c r="D57" s="22"/>
      <c r="E57" s="12"/>
      <c r="F57" s="12"/>
      <c r="G57" s="11"/>
      <c r="H57" s="12">
        <f t="shared" si="3"/>
        <v>0</v>
      </c>
      <c r="I57" s="10"/>
      <c r="J57" s="10"/>
      <c r="K57" s="5"/>
      <c r="M57" s="49"/>
    </row>
    <row r="58" spans="1:13" x14ac:dyDescent="0.25">
      <c r="A58" s="5"/>
      <c r="B58" s="14"/>
      <c r="C58" s="14"/>
      <c r="D58" s="22"/>
      <c r="E58" s="12"/>
      <c r="F58" s="12"/>
      <c r="G58" s="11"/>
      <c r="H58" s="12">
        <f t="shared" si="3"/>
        <v>0</v>
      </c>
      <c r="I58" s="10"/>
      <c r="J58" s="10"/>
      <c r="K58" s="5"/>
    </row>
    <row r="59" spans="1:13" x14ac:dyDescent="0.25">
      <c r="A59" s="5"/>
      <c r="B59" s="14"/>
      <c r="C59" s="14"/>
      <c r="D59" s="22"/>
      <c r="E59" s="12"/>
      <c r="F59" s="12"/>
      <c r="G59" s="11"/>
      <c r="H59" s="12">
        <f t="shared" si="3"/>
        <v>0</v>
      </c>
      <c r="I59" s="10"/>
      <c r="J59" s="10"/>
      <c r="K59" s="5"/>
    </row>
    <row r="60" spans="1:13" x14ac:dyDescent="0.25">
      <c r="A60" s="5"/>
      <c r="B60" s="14"/>
      <c r="C60" s="14"/>
      <c r="D60" s="22"/>
      <c r="E60" s="12"/>
      <c r="F60" s="12"/>
      <c r="G60" s="11"/>
      <c r="H60" s="12">
        <f t="shared" si="3"/>
        <v>0</v>
      </c>
      <c r="I60" s="10"/>
      <c r="J60" s="10"/>
      <c r="K60" s="5"/>
    </row>
    <row r="61" spans="1:13" x14ac:dyDescent="0.25">
      <c r="A61" s="5"/>
      <c r="B61" s="14"/>
      <c r="C61" s="14"/>
      <c r="D61" s="22"/>
      <c r="E61" s="12"/>
      <c r="F61" s="12"/>
      <c r="G61" s="11"/>
      <c r="H61" s="12">
        <f t="shared" si="3"/>
        <v>0</v>
      </c>
      <c r="I61" s="10"/>
      <c r="J61" s="10"/>
      <c r="K61" s="5"/>
      <c r="M61" s="49"/>
    </row>
    <row r="62" spans="1:13" x14ac:dyDescent="0.25">
      <c r="A62" s="5"/>
      <c r="B62" s="14"/>
      <c r="C62" s="14"/>
      <c r="D62" s="22"/>
      <c r="E62" s="12"/>
      <c r="F62" s="12"/>
      <c r="G62" s="11"/>
      <c r="H62" s="12">
        <f t="shared" si="3"/>
        <v>0</v>
      </c>
      <c r="I62" s="10"/>
      <c r="J62" s="10"/>
      <c r="K62" s="5"/>
    </row>
    <row r="63" spans="1:13" x14ac:dyDescent="0.25">
      <c r="A63" s="5"/>
      <c r="B63" s="14"/>
      <c r="C63" s="14"/>
      <c r="D63" s="22"/>
      <c r="E63" s="12"/>
      <c r="F63" s="12"/>
      <c r="G63" s="11"/>
      <c r="H63" s="12">
        <f t="shared" si="3"/>
        <v>0</v>
      </c>
      <c r="I63" s="10"/>
      <c r="J63" s="10"/>
      <c r="K63" s="5"/>
    </row>
    <row r="64" spans="1:13" x14ac:dyDescent="0.25">
      <c r="A64" s="5"/>
      <c r="B64" s="14"/>
      <c r="C64" s="14"/>
      <c r="D64" s="22"/>
      <c r="E64" s="12"/>
      <c r="F64" s="12"/>
      <c r="G64" s="11"/>
      <c r="H64" s="12">
        <f t="shared" si="3"/>
        <v>0</v>
      </c>
      <c r="I64" s="10"/>
      <c r="J64" s="10"/>
      <c r="K64" s="5"/>
    </row>
    <row r="65" spans="1:13" x14ac:dyDescent="0.25">
      <c r="A65" s="5"/>
      <c r="B65" s="14"/>
      <c r="C65" s="14"/>
      <c r="D65" s="22"/>
      <c r="E65" s="12"/>
      <c r="F65" s="12"/>
      <c r="G65" s="11"/>
      <c r="H65" s="12">
        <f t="shared" si="3"/>
        <v>0</v>
      </c>
      <c r="I65" s="10"/>
      <c r="J65" s="10"/>
      <c r="K65" s="5"/>
    </row>
    <row r="66" spans="1:13" x14ac:dyDescent="0.25">
      <c r="A66" s="5"/>
      <c r="B66" s="14"/>
      <c r="C66" s="14"/>
      <c r="D66" s="22"/>
      <c r="E66" s="12"/>
      <c r="F66" s="12"/>
      <c r="G66" s="11"/>
      <c r="H66" s="12">
        <f t="shared" si="3"/>
        <v>0</v>
      </c>
      <c r="I66" s="10"/>
      <c r="J66" s="10"/>
      <c r="K66" s="5"/>
    </row>
    <row r="67" spans="1:13" x14ac:dyDescent="0.25">
      <c r="A67" s="5"/>
      <c r="B67" s="14"/>
      <c r="C67" s="14"/>
      <c r="D67" s="22"/>
      <c r="E67" s="12"/>
      <c r="F67" s="12"/>
      <c r="G67" s="11"/>
      <c r="H67" s="12">
        <f t="shared" si="3"/>
        <v>0</v>
      </c>
      <c r="I67" s="10"/>
      <c r="J67" s="10"/>
      <c r="K67" s="5"/>
    </row>
    <row r="68" spans="1:13" x14ac:dyDescent="0.25">
      <c r="A68" s="5"/>
      <c r="B68" s="14"/>
      <c r="C68" s="14"/>
      <c r="D68" s="22"/>
      <c r="E68" s="12"/>
      <c r="F68" s="12"/>
      <c r="G68" s="11"/>
      <c r="H68" s="12">
        <f t="shared" si="3"/>
        <v>0</v>
      </c>
      <c r="I68" s="10"/>
      <c r="J68" s="10"/>
      <c r="K68" s="5"/>
    </row>
    <row r="69" spans="1:13" x14ac:dyDescent="0.25">
      <c r="A69" s="5"/>
      <c r="B69" s="14"/>
      <c r="C69" s="14"/>
      <c r="D69" s="22"/>
      <c r="E69" s="12"/>
      <c r="F69" s="12"/>
      <c r="G69" s="11"/>
      <c r="H69" s="12">
        <f t="shared" si="3"/>
        <v>0</v>
      </c>
      <c r="I69" s="10"/>
      <c r="J69" s="10"/>
      <c r="K69" s="5"/>
      <c r="M69" s="49"/>
    </row>
    <row r="70" spans="1:13" x14ac:dyDescent="0.25">
      <c r="A70" s="5"/>
      <c r="B70" s="14"/>
      <c r="C70" s="14"/>
      <c r="D70" s="22"/>
      <c r="E70" s="12"/>
      <c r="F70" s="12"/>
      <c r="G70" s="11"/>
      <c r="H70" s="12">
        <f t="shared" si="3"/>
        <v>0</v>
      </c>
      <c r="I70" s="10"/>
      <c r="J70" s="10"/>
      <c r="K70" s="5"/>
    </row>
    <row r="71" spans="1:13" x14ac:dyDescent="0.25">
      <c r="A71" s="5"/>
      <c r="B71" s="14"/>
      <c r="C71" s="14"/>
      <c r="D71" s="22"/>
      <c r="E71" s="12"/>
      <c r="F71" s="12"/>
      <c r="G71" s="11"/>
      <c r="H71" s="12">
        <f t="shared" si="3"/>
        <v>0</v>
      </c>
      <c r="I71" s="10"/>
      <c r="J71" s="10"/>
      <c r="K71" s="5"/>
    </row>
    <row r="72" spans="1:13" x14ac:dyDescent="0.25">
      <c r="A72" s="5"/>
      <c r="B72" s="14"/>
      <c r="C72" s="14"/>
      <c r="D72" s="22"/>
      <c r="E72" s="12"/>
      <c r="F72" s="12"/>
      <c r="G72" s="11"/>
      <c r="H72" s="12">
        <f t="shared" si="3"/>
        <v>0</v>
      </c>
      <c r="I72" s="10"/>
      <c r="J72" s="10"/>
      <c r="K72" s="5"/>
    </row>
    <row r="73" spans="1:13" x14ac:dyDescent="0.25">
      <c r="A73" s="5"/>
      <c r="B73" s="14"/>
      <c r="C73" s="14"/>
      <c r="D73" s="22"/>
      <c r="E73" s="12"/>
      <c r="F73" s="12"/>
      <c r="G73" s="11"/>
      <c r="H73" s="12">
        <f t="shared" si="3"/>
        <v>0</v>
      </c>
      <c r="I73" s="10"/>
      <c r="J73" s="10"/>
      <c r="K73" s="5"/>
    </row>
    <row r="74" spans="1:13" x14ac:dyDescent="0.25">
      <c r="A74" s="5"/>
      <c r="B74" s="14"/>
      <c r="C74" s="14"/>
      <c r="D74" s="22"/>
      <c r="E74" s="12"/>
      <c r="F74" s="12"/>
      <c r="G74" s="11"/>
      <c r="H74" s="12">
        <f t="shared" si="3"/>
        <v>0</v>
      </c>
      <c r="I74" s="10"/>
      <c r="J74" s="10"/>
      <c r="K74" s="5"/>
    </row>
    <row r="75" spans="1:13" x14ac:dyDescent="0.25">
      <c r="A75" s="5"/>
      <c r="B75" s="14"/>
      <c r="C75" s="14"/>
      <c r="D75" s="22"/>
      <c r="E75" s="12"/>
      <c r="F75" s="12"/>
      <c r="G75" s="11"/>
      <c r="H75" s="12">
        <f t="shared" si="3"/>
        <v>0</v>
      </c>
      <c r="I75" s="10"/>
      <c r="J75" s="10"/>
      <c r="K75" s="5"/>
      <c r="M75" s="49"/>
    </row>
    <row r="76" spans="1:13" x14ac:dyDescent="0.25">
      <c r="A76" s="5"/>
      <c r="B76" s="14"/>
      <c r="C76" s="14"/>
      <c r="D76" s="22"/>
      <c r="E76" s="12"/>
      <c r="F76" s="12"/>
      <c r="G76" s="11"/>
      <c r="H76" s="12">
        <f t="shared" si="3"/>
        <v>0</v>
      </c>
      <c r="I76" s="10"/>
      <c r="J76" s="10"/>
      <c r="K76" s="5"/>
    </row>
    <row r="77" spans="1:13" x14ac:dyDescent="0.25">
      <c r="A77" s="5"/>
      <c r="B77" s="14"/>
      <c r="C77" s="14"/>
      <c r="D77" s="22"/>
      <c r="E77" s="12"/>
      <c r="F77" s="12"/>
      <c r="G77" s="11"/>
      <c r="H77" s="12">
        <f t="shared" si="3"/>
        <v>0</v>
      </c>
      <c r="I77" s="10"/>
      <c r="J77" s="10"/>
      <c r="K77" s="5"/>
      <c r="M77" s="49"/>
    </row>
    <row r="78" spans="1:13" x14ac:dyDescent="0.25">
      <c r="A78" s="5"/>
      <c r="B78" s="14"/>
      <c r="C78" s="14"/>
      <c r="D78" s="22"/>
      <c r="E78" s="12"/>
      <c r="F78" s="12"/>
      <c r="G78" s="11"/>
      <c r="H78" s="12">
        <f t="shared" si="3"/>
        <v>0</v>
      </c>
      <c r="I78" s="10"/>
      <c r="J78" s="10"/>
      <c r="K78" s="5"/>
    </row>
    <row r="79" spans="1:13" x14ac:dyDescent="0.25">
      <c r="A79" s="5"/>
      <c r="B79" s="14"/>
      <c r="C79" s="14"/>
      <c r="D79" s="22"/>
      <c r="E79" s="12"/>
      <c r="F79" s="12"/>
      <c r="G79" s="11"/>
      <c r="H79" s="12">
        <f t="shared" si="3"/>
        <v>0</v>
      </c>
      <c r="I79" s="10"/>
      <c r="J79" s="10"/>
      <c r="K79" s="5"/>
    </row>
    <row r="80" spans="1:13" x14ac:dyDescent="0.25">
      <c r="A80" s="5"/>
      <c r="B80" s="23"/>
      <c r="C80" s="23"/>
      <c r="D80" s="24"/>
      <c r="E80" s="19"/>
      <c r="F80" s="12"/>
      <c r="G80" s="11"/>
      <c r="H80" s="80">
        <f t="shared" si="3"/>
        <v>0</v>
      </c>
      <c r="I80" s="10"/>
      <c r="J80" s="10"/>
      <c r="K80" s="5"/>
    </row>
    <row r="81" spans="1:11" ht="16.5" thickBot="1" x14ac:dyDescent="0.3">
      <c r="A81" s="5"/>
      <c r="B81" s="23"/>
      <c r="C81" s="23"/>
      <c r="D81" s="24"/>
      <c r="E81" s="19"/>
      <c r="F81" s="12"/>
      <c r="G81" s="11"/>
      <c r="H81" s="27">
        <f t="shared" si="0"/>
        <v>0</v>
      </c>
      <c r="I81" s="10"/>
      <c r="J81" s="10"/>
      <c r="K81" s="5"/>
    </row>
    <row r="82" spans="1:11" ht="17.25" thickTop="1" thickBot="1" x14ac:dyDescent="0.3">
      <c r="A82" s="5"/>
      <c r="B82" s="268" t="s">
        <v>55</v>
      </c>
      <c r="C82" s="268"/>
      <c r="D82" s="268"/>
      <c r="E82" s="20">
        <f>SUM(E11:E81)</f>
        <v>634907</v>
      </c>
      <c r="F82" s="25">
        <f>SUM(F11:F81)</f>
        <v>634907</v>
      </c>
      <c r="G82" s="5"/>
      <c r="H82" s="5"/>
      <c r="I82" s="5"/>
      <c r="J82" s="5"/>
      <c r="K82" s="5"/>
    </row>
    <row r="83" spans="1:11" ht="16.5" thickBot="1" x14ac:dyDescent="0.3">
      <c r="A83" s="5"/>
      <c r="B83" s="5"/>
      <c r="C83" s="5"/>
      <c r="D83" s="5"/>
      <c r="E83" s="5"/>
      <c r="F83" s="26">
        <f>+E82-F82</f>
        <v>0</v>
      </c>
      <c r="G83" s="5"/>
      <c r="H83" s="5"/>
      <c r="I83" s="5"/>
      <c r="J83" s="5"/>
      <c r="K83" s="5"/>
    </row>
    <row r="84" spans="1:11" x14ac:dyDescent="0.25">
      <c r="A84" s="5"/>
      <c r="B84" s="5"/>
      <c r="C84" s="5"/>
      <c r="D84" s="5"/>
      <c r="E84" s="5"/>
      <c r="F84" s="5"/>
      <c r="G84" s="5"/>
      <c r="H84" s="16"/>
      <c r="I84" s="16"/>
      <c r="J84" s="5"/>
      <c r="K84" s="5"/>
    </row>
    <row r="85" spans="1:11" x14ac:dyDescent="0.25">
      <c r="A85" s="5"/>
      <c r="B85" s="5"/>
      <c r="C85" s="5"/>
      <c r="D85" s="5"/>
      <c r="E85" s="5"/>
      <c r="F85" s="5"/>
      <c r="G85" s="5"/>
      <c r="H85" s="16"/>
      <c r="I85" s="5"/>
      <c r="J85" s="5"/>
      <c r="K85" s="5"/>
    </row>
  </sheetData>
  <mergeCells count="3">
    <mergeCell ref="B2:J2"/>
    <mergeCell ref="B3:J3"/>
    <mergeCell ref="B82:D8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50"/>
  <dimension ref="A1:M39"/>
  <sheetViews>
    <sheetView topLeftCell="A6" workbookViewId="0">
      <selection activeCell="E38" sqref="E38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customWidth="1"/>
    <col min="10" max="10" width="21.42578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50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115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116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16">
        <v>25000</v>
      </c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4">
        <v>240229</v>
      </c>
      <c r="C11" s="14">
        <v>850</v>
      </c>
      <c r="D11" s="22">
        <v>45342</v>
      </c>
      <c r="E11" s="12">
        <v>38283</v>
      </c>
      <c r="F11" s="12">
        <v>25000.5</v>
      </c>
      <c r="G11" s="22">
        <v>45342</v>
      </c>
      <c r="H11" s="12">
        <f>+E11-F11</f>
        <v>13282.5</v>
      </c>
      <c r="I11" s="10"/>
      <c r="J11" s="21" t="s">
        <v>92</v>
      </c>
      <c r="K11" s="5"/>
    </row>
    <row r="12" spans="1:11" x14ac:dyDescent="0.25">
      <c r="A12" s="5"/>
      <c r="B12" s="14">
        <v>240259</v>
      </c>
      <c r="C12" s="14">
        <v>880</v>
      </c>
      <c r="D12" s="22">
        <v>45351</v>
      </c>
      <c r="E12" s="12">
        <v>57862.5</v>
      </c>
      <c r="F12" s="12">
        <v>20000</v>
      </c>
      <c r="G12" s="11">
        <v>45323</v>
      </c>
      <c r="H12" s="12">
        <f>+H11+E12-F12</f>
        <v>51145</v>
      </c>
      <c r="I12" s="10"/>
      <c r="J12" s="15"/>
      <c r="K12" s="5"/>
    </row>
    <row r="13" spans="1:11" x14ac:dyDescent="0.25">
      <c r="A13" s="5"/>
      <c r="B13" s="14"/>
      <c r="C13" s="14"/>
      <c r="D13" s="22"/>
      <c r="E13" s="12"/>
      <c r="F13" s="12">
        <v>10000</v>
      </c>
      <c r="G13" s="11">
        <v>45323</v>
      </c>
      <c r="H13" s="12">
        <f t="shared" ref="H13:H26" si="0">+H12+E13-F13</f>
        <v>41145</v>
      </c>
      <c r="I13" s="10"/>
      <c r="J13" s="15"/>
      <c r="K13" s="5"/>
    </row>
    <row r="14" spans="1:11" x14ac:dyDescent="0.25">
      <c r="A14" s="5"/>
      <c r="B14" s="14"/>
      <c r="C14" s="14"/>
      <c r="D14" s="22"/>
      <c r="E14" s="12"/>
      <c r="F14" s="12">
        <v>2862.5</v>
      </c>
      <c r="G14" s="11">
        <v>45357</v>
      </c>
      <c r="H14" s="12">
        <f t="shared" si="0"/>
        <v>38282.5</v>
      </c>
      <c r="I14" s="10"/>
      <c r="J14" s="10"/>
      <c r="K14" s="5"/>
    </row>
    <row r="15" spans="1:11" ht="16.5" thickBot="1" x14ac:dyDescent="0.3">
      <c r="A15" s="5"/>
      <c r="B15" s="83"/>
      <c r="C15" s="83"/>
      <c r="D15" s="84"/>
      <c r="E15" s="85"/>
      <c r="F15" s="85">
        <v>13000</v>
      </c>
      <c r="G15" s="86">
        <v>45376</v>
      </c>
      <c r="H15" s="85">
        <f t="shared" si="0"/>
        <v>25282.5</v>
      </c>
      <c r="I15" s="87"/>
      <c r="J15" s="87"/>
      <c r="K15" s="5"/>
    </row>
    <row r="16" spans="1:11" ht="16.5" thickTop="1" x14ac:dyDescent="0.25">
      <c r="A16" s="5"/>
      <c r="B16" s="118"/>
      <c r="C16" s="118"/>
      <c r="D16" s="117"/>
      <c r="E16" s="80"/>
      <c r="F16" s="80">
        <v>20000</v>
      </c>
      <c r="G16" s="81">
        <v>45423</v>
      </c>
      <c r="H16" s="80">
        <f t="shared" si="0"/>
        <v>5282.5</v>
      </c>
      <c r="I16" s="82"/>
      <c r="J16" s="82" t="s">
        <v>130</v>
      </c>
      <c r="K16" s="5"/>
    </row>
    <row r="17" spans="1:13" x14ac:dyDescent="0.25">
      <c r="A17" s="5"/>
      <c r="B17" s="23">
        <v>240522</v>
      </c>
      <c r="C17" s="23">
        <v>1037</v>
      </c>
      <c r="D17" s="24">
        <v>45425</v>
      </c>
      <c r="E17" s="19">
        <v>57600</v>
      </c>
      <c r="F17" s="12">
        <v>5000</v>
      </c>
      <c r="G17" s="18">
        <v>45425</v>
      </c>
      <c r="H17" s="12">
        <f t="shared" si="0"/>
        <v>57882.5</v>
      </c>
      <c r="I17" s="10"/>
      <c r="J17" s="10" t="s">
        <v>131</v>
      </c>
      <c r="K17" s="5"/>
    </row>
    <row r="18" spans="1:13" ht="16.5" thickBot="1" x14ac:dyDescent="0.3">
      <c r="A18" s="5"/>
      <c r="B18" s="83"/>
      <c r="C18" s="83"/>
      <c r="D18" s="84"/>
      <c r="E18" s="85"/>
      <c r="F18" s="85">
        <v>30000</v>
      </c>
      <c r="G18" s="86">
        <v>45425</v>
      </c>
      <c r="H18" s="85">
        <f t="shared" si="0"/>
        <v>27882.5</v>
      </c>
      <c r="I18" s="87"/>
      <c r="J18" s="87" t="s">
        <v>131</v>
      </c>
      <c r="K18" s="5"/>
    </row>
    <row r="19" spans="1:13" ht="16.5" thickTop="1" x14ac:dyDescent="0.25">
      <c r="A19" s="5"/>
      <c r="B19" s="77"/>
      <c r="C19" s="77"/>
      <c r="D19" s="78"/>
      <c r="E19" s="79"/>
      <c r="F19" s="80"/>
      <c r="G19" s="81"/>
      <c r="H19" s="80">
        <f t="shared" si="0"/>
        <v>27882.5</v>
      </c>
      <c r="I19" s="82"/>
      <c r="J19" s="82"/>
      <c r="K19" s="5"/>
      <c r="M19" s="49">
        <f>SUM(F16:F18)</f>
        <v>55000</v>
      </c>
    </row>
    <row r="20" spans="1:13" x14ac:dyDescent="0.25">
      <c r="A20" s="5"/>
      <c r="B20" s="23"/>
      <c r="C20" s="23"/>
      <c r="D20" s="24"/>
      <c r="E20" s="19"/>
      <c r="F20" s="12"/>
      <c r="G20" s="11"/>
      <c r="H20" s="12">
        <f>+H19+E20-F20</f>
        <v>27882.5</v>
      </c>
      <c r="I20" s="10"/>
      <c r="J20" s="10"/>
      <c r="K20" s="5"/>
    </row>
    <row r="21" spans="1:13" x14ac:dyDescent="0.25">
      <c r="A21" s="5"/>
      <c r="B21" s="23"/>
      <c r="C21" s="23"/>
      <c r="D21" s="24"/>
      <c r="E21" s="19"/>
      <c r="F21" s="12"/>
      <c r="G21" s="11"/>
      <c r="H21" s="12">
        <f>+H20+E21-F21</f>
        <v>27882.5</v>
      </c>
      <c r="I21" s="10"/>
      <c r="J21" s="10"/>
      <c r="K21" s="5"/>
    </row>
    <row r="22" spans="1:13" x14ac:dyDescent="0.25">
      <c r="A22" s="5"/>
      <c r="B22" s="23"/>
      <c r="C22" s="23"/>
      <c r="D22" s="24"/>
      <c r="E22" s="19"/>
      <c r="F22" s="12"/>
      <c r="G22" s="11"/>
      <c r="H22" s="12">
        <f>+H21+E22-F22</f>
        <v>27882.5</v>
      </c>
      <c r="I22" s="10"/>
      <c r="J22" s="10"/>
      <c r="K22" s="5"/>
    </row>
    <row r="23" spans="1:13" x14ac:dyDescent="0.25">
      <c r="A23" s="5"/>
      <c r="B23" s="23"/>
      <c r="C23" s="23"/>
      <c r="D23" s="24"/>
      <c r="E23" s="19"/>
      <c r="F23" s="12"/>
      <c r="G23" s="11"/>
      <c r="H23" s="12">
        <f t="shared" si="0"/>
        <v>27882.5</v>
      </c>
      <c r="I23" s="10"/>
      <c r="J23" s="10"/>
      <c r="K23" s="5"/>
    </row>
    <row r="24" spans="1:13" x14ac:dyDescent="0.25">
      <c r="A24" s="5"/>
      <c r="B24" s="23"/>
      <c r="C24" s="23"/>
      <c r="D24" s="24"/>
      <c r="E24" s="19"/>
      <c r="F24" s="12"/>
      <c r="G24" s="11"/>
      <c r="H24" s="12">
        <f t="shared" si="0"/>
        <v>27882.5</v>
      </c>
      <c r="I24" s="10"/>
      <c r="J24" s="10"/>
      <c r="K24" s="5"/>
    </row>
    <row r="25" spans="1:13" x14ac:dyDescent="0.25">
      <c r="A25" s="5"/>
      <c r="B25" s="23"/>
      <c r="C25" s="23"/>
      <c r="D25" s="24"/>
      <c r="E25" s="19"/>
      <c r="F25" s="12"/>
      <c r="G25" s="11"/>
      <c r="H25" s="12">
        <f t="shared" si="0"/>
        <v>27882.5</v>
      </c>
      <c r="I25" s="10"/>
      <c r="J25" s="10"/>
      <c r="K25" s="5"/>
    </row>
    <row r="26" spans="1:13" ht="16.5" thickBot="1" x14ac:dyDescent="0.3">
      <c r="A26" s="5"/>
      <c r="B26" s="23"/>
      <c r="C26" s="23"/>
      <c r="D26" s="24"/>
      <c r="E26" s="19"/>
      <c r="F26" s="12"/>
      <c r="G26" s="11"/>
      <c r="H26" s="27">
        <f t="shared" si="0"/>
        <v>27882.5</v>
      </c>
      <c r="I26" s="10"/>
      <c r="J26" s="10"/>
      <c r="K26" s="5"/>
    </row>
    <row r="27" spans="1:13" ht="17.25" thickTop="1" thickBot="1" x14ac:dyDescent="0.3">
      <c r="A27" s="5"/>
      <c r="B27" s="268" t="s">
        <v>55</v>
      </c>
      <c r="C27" s="268"/>
      <c r="D27" s="268"/>
      <c r="E27" s="20">
        <f>SUM(E11:E26)</f>
        <v>153745.5</v>
      </c>
      <c r="F27" s="25">
        <f>SUM(F11:F26)</f>
        <v>125863</v>
      </c>
      <c r="G27" s="5"/>
      <c r="H27" s="5"/>
      <c r="I27" s="5"/>
      <c r="J27" s="5"/>
      <c r="K27" s="5"/>
    </row>
    <row r="28" spans="1:13" ht="16.5" thickBot="1" x14ac:dyDescent="0.3">
      <c r="A28" s="5"/>
      <c r="B28" s="5"/>
      <c r="C28" s="5"/>
      <c r="D28" s="5"/>
      <c r="E28" s="5"/>
      <c r="F28" s="26">
        <f>+E27-F27</f>
        <v>27882.5</v>
      </c>
      <c r="G28" s="5"/>
      <c r="H28" s="5">
        <v>25000</v>
      </c>
      <c r="I28" s="5"/>
      <c r="J28" s="5"/>
      <c r="K28" s="5"/>
    </row>
    <row r="29" spans="1:13" x14ac:dyDescent="0.25">
      <c r="A29" s="5"/>
      <c r="B29" s="5"/>
      <c r="C29" s="5"/>
      <c r="D29" s="5"/>
      <c r="E29" s="5"/>
      <c r="F29" s="5"/>
      <c r="G29" s="5"/>
      <c r="H29" s="16">
        <f>+H26-H28</f>
        <v>2882.5</v>
      </c>
      <c r="I29" s="16"/>
      <c r="J29" s="5"/>
      <c r="K29" s="5"/>
    </row>
    <row r="30" spans="1:13" x14ac:dyDescent="0.25">
      <c r="A30" s="5"/>
      <c r="B30" s="5"/>
      <c r="C30" s="5"/>
      <c r="D30" s="5"/>
      <c r="E30" s="5"/>
      <c r="F30" s="5"/>
      <c r="G30" s="5"/>
      <c r="H30" s="16"/>
      <c r="I30" s="5"/>
      <c r="J30" s="5"/>
      <c r="K30" s="5"/>
    </row>
    <row r="32" spans="1:13" x14ac:dyDescent="0.25">
      <c r="A32" s="5"/>
      <c r="B32" s="5"/>
      <c r="C32" s="5"/>
      <c r="D32" s="5"/>
      <c r="E32" s="5"/>
    </row>
    <row r="33" spans="1:5" x14ac:dyDescent="0.25">
      <c r="A33" s="5"/>
      <c r="B33" s="194" t="s">
        <v>235</v>
      </c>
      <c r="C33" s="5" t="s">
        <v>115</v>
      </c>
      <c r="D33" s="5"/>
      <c r="E33" s="5"/>
    </row>
    <row r="34" spans="1:5" x14ac:dyDescent="0.25">
      <c r="A34" s="5"/>
      <c r="B34" s="194" t="s">
        <v>236</v>
      </c>
      <c r="C34" s="5" t="s">
        <v>237</v>
      </c>
      <c r="D34" s="5"/>
      <c r="E34" s="5"/>
    </row>
    <row r="35" spans="1:5" x14ac:dyDescent="0.25">
      <c r="A35" s="5"/>
      <c r="B35" s="194" t="s">
        <v>238</v>
      </c>
      <c r="C35" s="5" t="s">
        <v>239</v>
      </c>
      <c r="D35" s="5"/>
      <c r="E35" s="5"/>
    </row>
    <row r="36" spans="1:5" x14ac:dyDescent="0.25">
      <c r="A36" s="5"/>
      <c r="B36" s="194"/>
      <c r="C36" s="5" t="s">
        <v>240</v>
      </c>
      <c r="D36" s="5"/>
      <c r="E36" s="5"/>
    </row>
    <row r="37" spans="1:5" x14ac:dyDescent="0.25">
      <c r="A37" s="5"/>
      <c r="B37" s="194" t="s">
        <v>242</v>
      </c>
      <c r="C37" s="5">
        <v>73752049</v>
      </c>
      <c r="D37" s="5"/>
      <c r="E37" s="5"/>
    </row>
    <row r="38" spans="1:5" x14ac:dyDescent="0.25">
      <c r="A38" s="5"/>
      <c r="B38" s="194" t="s">
        <v>241</v>
      </c>
      <c r="C38" s="5"/>
      <c r="D38" s="5"/>
      <c r="E38" s="5"/>
    </row>
    <row r="39" spans="1:5" x14ac:dyDescent="0.25">
      <c r="A39" s="5"/>
      <c r="B39" s="5"/>
      <c r="C39" s="5"/>
      <c r="D39" s="5"/>
      <c r="E39" s="5"/>
    </row>
  </sheetData>
  <mergeCells count="3">
    <mergeCell ref="B2:J2"/>
    <mergeCell ref="B3:J3"/>
    <mergeCell ref="B27:D2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51"/>
  <dimension ref="A1:M66"/>
  <sheetViews>
    <sheetView workbookViewId="0">
      <selection activeCell="D16" sqref="D16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customWidth="1"/>
    <col min="10" max="10" width="21.42578125" style="1" customWidth="1"/>
    <col min="11" max="11" width="5" style="1" customWidth="1"/>
    <col min="12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101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>
        <v>70724990</v>
      </c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16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16" t="s">
        <v>91</v>
      </c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x14ac:dyDescent="0.25">
      <c r="A11" s="5"/>
      <c r="B11" s="14"/>
      <c r="C11" s="14"/>
      <c r="D11" s="22"/>
      <c r="E11" s="12"/>
      <c r="F11" s="12"/>
      <c r="G11" s="22"/>
      <c r="H11" s="12">
        <v>-0.59999999999990905</v>
      </c>
      <c r="I11" s="10"/>
      <c r="J11" s="21"/>
      <c r="K11" s="5"/>
    </row>
    <row r="12" spans="1:11" x14ac:dyDescent="0.25">
      <c r="A12" s="5"/>
      <c r="B12" s="14"/>
      <c r="C12" s="14"/>
      <c r="D12" s="22"/>
      <c r="E12" s="12"/>
      <c r="F12" s="12"/>
      <c r="G12" s="11"/>
      <c r="H12" s="12">
        <f>+H11+E12-F12</f>
        <v>-0.59999999999990905</v>
      </c>
      <c r="I12" s="10"/>
      <c r="J12" s="15"/>
      <c r="K12" s="5"/>
    </row>
    <row r="13" spans="1:11" x14ac:dyDescent="0.25">
      <c r="A13" s="5"/>
      <c r="B13" s="14"/>
      <c r="C13" s="14"/>
      <c r="D13" s="22"/>
      <c r="E13" s="12"/>
      <c r="F13" s="12"/>
      <c r="G13" s="11"/>
      <c r="H13" s="12">
        <f t="shared" ref="H13:H30" si="0">+H12+E13-F13</f>
        <v>-0.59999999999990905</v>
      </c>
      <c r="I13" s="10"/>
      <c r="J13" s="15"/>
      <c r="K13" s="5"/>
    </row>
    <row r="14" spans="1:11" x14ac:dyDescent="0.25">
      <c r="A14" s="5"/>
      <c r="B14" s="14"/>
      <c r="C14" s="14"/>
      <c r="D14" s="22"/>
      <c r="E14" s="12"/>
      <c r="F14" s="12"/>
      <c r="G14" s="11"/>
      <c r="H14" s="12">
        <f t="shared" si="0"/>
        <v>-0.59999999999990905</v>
      </c>
      <c r="I14" s="10"/>
      <c r="J14" s="15"/>
      <c r="K14" s="5"/>
    </row>
    <row r="15" spans="1:11" x14ac:dyDescent="0.25">
      <c r="A15" s="5"/>
      <c r="B15" s="14"/>
      <c r="C15" s="14"/>
      <c r="D15" s="22"/>
      <c r="E15" s="12"/>
      <c r="F15" s="12"/>
      <c r="G15" s="11"/>
      <c r="H15" s="12">
        <f t="shared" si="0"/>
        <v>-0.59999999999990905</v>
      </c>
      <c r="I15" s="10"/>
      <c r="J15" s="10"/>
      <c r="K15" s="5"/>
    </row>
    <row r="16" spans="1:11" x14ac:dyDescent="0.25">
      <c r="A16" s="5"/>
      <c r="B16" s="14"/>
      <c r="C16" s="14"/>
      <c r="D16" s="22"/>
      <c r="E16" s="12"/>
      <c r="F16" s="12"/>
      <c r="G16" s="11"/>
      <c r="H16" s="12">
        <f t="shared" si="0"/>
        <v>-0.59999999999990905</v>
      </c>
      <c r="I16" s="10"/>
      <c r="J16" s="10"/>
      <c r="K16" s="5"/>
    </row>
    <row r="17" spans="1:11" x14ac:dyDescent="0.25">
      <c r="A17" s="5"/>
      <c r="B17" s="14"/>
      <c r="C17" s="14"/>
      <c r="D17" s="22"/>
      <c r="E17" s="12"/>
      <c r="F17" s="12"/>
      <c r="G17" s="11"/>
      <c r="H17" s="12">
        <f t="shared" si="0"/>
        <v>-0.59999999999990905</v>
      </c>
      <c r="I17" s="10"/>
      <c r="J17" s="10"/>
      <c r="K17" s="5"/>
    </row>
    <row r="18" spans="1:11" x14ac:dyDescent="0.25">
      <c r="A18" s="5"/>
      <c r="B18" s="14"/>
      <c r="C18" s="14"/>
      <c r="D18" s="22"/>
      <c r="E18" s="12"/>
      <c r="F18" s="12"/>
      <c r="G18" s="11"/>
      <c r="H18" s="12">
        <f t="shared" si="0"/>
        <v>-0.59999999999990905</v>
      </c>
      <c r="I18" s="10"/>
      <c r="J18" s="10"/>
      <c r="K18" s="5"/>
    </row>
    <row r="19" spans="1:11" x14ac:dyDescent="0.25">
      <c r="A19" s="5"/>
      <c r="B19" s="14"/>
      <c r="C19" s="14"/>
      <c r="D19" s="22"/>
      <c r="E19" s="12"/>
      <c r="F19" s="12"/>
      <c r="G19" s="11"/>
      <c r="H19" s="12">
        <f t="shared" si="0"/>
        <v>-0.59999999999990905</v>
      </c>
      <c r="I19" s="10"/>
      <c r="J19" s="10"/>
      <c r="K19" s="5"/>
    </row>
    <row r="20" spans="1:11" x14ac:dyDescent="0.25">
      <c r="A20" s="5"/>
      <c r="B20" s="14"/>
      <c r="C20" s="14"/>
      <c r="D20" s="22"/>
      <c r="E20" s="12"/>
      <c r="F20" s="12"/>
      <c r="G20" s="11"/>
      <c r="H20" s="12">
        <f>+H19+E20-F20</f>
        <v>-0.59999999999990905</v>
      </c>
      <c r="I20" s="10"/>
      <c r="J20" s="10"/>
      <c r="K20" s="5"/>
    </row>
    <row r="21" spans="1:11" x14ac:dyDescent="0.25">
      <c r="A21" s="5"/>
      <c r="B21" s="14"/>
      <c r="C21" s="14"/>
      <c r="D21" s="22"/>
      <c r="E21" s="12"/>
      <c r="F21" s="12"/>
      <c r="G21" s="11"/>
      <c r="H21" s="12">
        <f>+H20+E21-F21</f>
        <v>-0.59999999999990905</v>
      </c>
      <c r="I21" s="10"/>
      <c r="J21" s="10"/>
      <c r="K21" s="5"/>
    </row>
    <row r="22" spans="1:11" x14ac:dyDescent="0.25">
      <c r="A22" s="5"/>
      <c r="B22" s="14"/>
      <c r="C22" s="14"/>
      <c r="D22" s="22"/>
      <c r="E22" s="12"/>
      <c r="F22" s="12"/>
      <c r="G22" s="11"/>
      <c r="H22" s="12">
        <f>+H21+E22-F22</f>
        <v>-0.59999999999990905</v>
      </c>
      <c r="I22" s="10"/>
      <c r="J22" s="10"/>
      <c r="K22" s="5"/>
    </row>
    <row r="23" spans="1:11" x14ac:dyDescent="0.25">
      <c r="A23" s="5"/>
      <c r="B23" s="14"/>
      <c r="C23" s="14"/>
      <c r="D23" s="22"/>
      <c r="E23" s="12"/>
      <c r="F23" s="12"/>
      <c r="G23" s="11"/>
      <c r="H23" s="12">
        <f t="shared" si="0"/>
        <v>-0.59999999999990905</v>
      </c>
      <c r="I23" s="10"/>
      <c r="J23" s="10"/>
      <c r="K23" s="5"/>
    </row>
    <row r="24" spans="1:11" x14ac:dyDescent="0.25">
      <c r="A24" s="5"/>
      <c r="B24" s="14"/>
      <c r="C24" s="14"/>
      <c r="D24" s="22"/>
      <c r="E24" s="12"/>
      <c r="F24" s="12"/>
      <c r="G24" s="11"/>
      <c r="H24" s="12">
        <f t="shared" si="0"/>
        <v>-0.59999999999990905</v>
      </c>
      <c r="I24" s="10"/>
      <c r="J24" s="10"/>
      <c r="K24" s="5"/>
    </row>
    <row r="25" spans="1:11" x14ac:dyDescent="0.25">
      <c r="A25" s="5"/>
      <c r="B25" s="14"/>
      <c r="C25" s="14"/>
      <c r="D25" s="22"/>
      <c r="E25" s="12"/>
      <c r="F25" s="12"/>
      <c r="G25" s="11"/>
      <c r="H25" s="12">
        <f t="shared" si="0"/>
        <v>-0.59999999999990905</v>
      </c>
      <c r="I25" s="10"/>
      <c r="J25" s="10"/>
      <c r="K25" s="5"/>
    </row>
    <row r="26" spans="1:11" x14ac:dyDescent="0.25">
      <c r="A26" s="5"/>
      <c r="B26" s="14"/>
      <c r="C26" s="14"/>
      <c r="D26" s="22"/>
      <c r="E26" s="12"/>
      <c r="F26" s="12"/>
      <c r="G26" s="11"/>
      <c r="H26" s="12">
        <f t="shared" si="0"/>
        <v>-0.59999999999990905</v>
      </c>
      <c r="I26" s="10"/>
      <c r="J26" s="10"/>
      <c r="K26" s="5"/>
    </row>
    <row r="27" spans="1:11" x14ac:dyDescent="0.25">
      <c r="A27" s="5"/>
      <c r="B27" s="14"/>
      <c r="C27" s="14"/>
      <c r="D27" s="22"/>
      <c r="E27" s="12"/>
      <c r="F27" s="12"/>
      <c r="G27" s="11"/>
      <c r="H27" s="12">
        <f t="shared" si="0"/>
        <v>-0.59999999999990905</v>
      </c>
      <c r="I27" s="10"/>
      <c r="J27" s="10"/>
      <c r="K27" s="5"/>
    </row>
    <row r="28" spans="1:11" x14ac:dyDescent="0.25">
      <c r="A28" s="5"/>
      <c r="B28" s="14"/>
      <c r="C28" s="14"/>
      <c r="D28" s="22"/>
      <c r="E28" s="12"/>
      <c r="F28" s="12"/>
      <c r="G28" s="11"/>
      <c r="H28" s="12">
        <f t="shared" si="0"/>
        <v>-0.59999999999990905</v>
      </c>
      <c r="I28" s="10"/>
      <c r="J28" s="10"/>
      <c r="K28" s="5"/>
    </row>
    <row r="29" spans="1:11" x14ac:dyDescent="0.25">
      <c r="A29" s="5"/>
      <c r="B29" s="14"/>
      <c r="C29" s="14"/>
      <c r="D29" s="22"/>
      <c r="E29" s="12"/>
      <c r="F29" s="12"/>
      <c r="G29" s="11"/>
      <c r="H29" s="12">
        <f t="shared" si="0"/>
        <v>-0.59999999999990905</v>
      </c>
      <c r="I29" s="10"/>
      <c r="J29" s="10"/>
      <c r="K29" s="5"/>
    </row>
    <row r="30" spans="1:11" x14ac:dyDescent="0.25">
      <c r="A30" s="5"/>
      <c r="B30" s="14"/>
      <c r="C30" s="14"/>
      <c r="D30" s="22"/>
      <c r="E30" s="12"/>
      <c r="F30" s="12"/>
      <c r="G30" s="11"/>
      <c r="H30" s="12">
        <f t="shared" si="0"/>
        <v>-0.59999999999990905</v>
      </c>
      <c r="I30" s="10"/>
      <c r="J30" s="10"/>
      <c r="K30" s="5"/>
    </row>
    <row r="31" spans="1:11" x14ac:dyDescent="0.25">
      <c r="A31" s="5"/>
      <c r="B31" s="14"/>
      <c r="C31" s="14"/>
      <c r="D31" s="22"/>
      <c r="E31" s="12"/>
      <c r="F31" s="12"/>
      <c r="G31" s="11"/>
      <c r="H31" s="12">
        <f>+H30+E31-F31</f>
        <v>-0.59999999999990905</v>
      </c>
      <c r="I31" s="10"/>
      <c r="J31" s="10"/>
      <c r="K31" s="5"/>
    </row>
    <row r="32" spans="1:11" x14ac:dyDescent="0.25">
      <c r="A32" s="5"/>
      <c r="B32" s="14"/>
      <c r="C32" s="14"/>
      <c r="D32" s="22"/>
      <c r="E32" s="12"/>
      <c r="F32" s="12"/>
      <c r="G32" s="11"/>
      <c r="H32" s="12">
        <f>+H31+E32-F32</f>
        <v>-0.59999999999990905</v>
      </c>
      <c r="I32" s="10"/>
      <c r="J32" s="10"/>
      <c r="K32" s="5"/>
    </row>
    <row r="33" spans="1:13" x14ac:dyDescent="0.25">
      <c r="A33" s="5"/>
      <c r="B33" s="14"/>
      <c r="C33" s="14"/>
      <c r="D33" s="22"/>
      <c r="E33" s="12"/>
      <c r="F33" s="12"/>
      <c r="G33" s="11"/>
      <c r="H33" s="12">
        <f t="shared" ref="H33:H38" si="1">+H32+E33-F33</f>
        <v>-0.59999999999990905</v>
      </c>
      <c r="I33" s="10"/>
      <c r="J33" s="10"/>
      <c r="K33" s="5"/>
    </row>
    <row r="34" spans="1:13" x14ac:dyDescent="0.25">
      <c r="A34" s="5"/>
      <c r="B34" s="14"/>
      <c r="C34" s="14"/>
      <c r="D34" s="22"/>
      <c r="E34" s="12"/>
      <c r="F34" s="12"/>
      <c r="G34" s="11"/>
      <c r="H34" s="12">
        <f t="shared" si="1"/>
        <v>-0.59999999999990905</v>
      </c>
      <c r="I34" s="10"/>
      <c r="J34" s="10"/>
      <c r="K34" s="5"/>
    </row>
    <row r="35" spans="1:13" x14ac:dyDescent="0.25">
      <c r="A35" s="5"/>
      <c r="B35" s="14"/>
      <c r="C35" s="14"/>
      <c r="D35" s="22"/>
      <c r="E35" s="12"/>
      <c r="F35" s="12"/>
      <c r="G35" s="11"/>
      <c r="H35" s="12">
        <f t="shared" si="1"/>
        <v>-0.59999999999990905</v>
      </c>
      <c r="I35" s="10"/>
      <c r="J35" s="10"/>
      <c r="K35" s="5"/>
    </row>
    <row r="36" spans="1:13" x14ac:dyDescent="0.25">
      <c r="A36" s="5"/>
      <c r="B36" s="14"/>
      <c r="C36" s="14"/>
      <c r="D36" s="22"/>
      <c r="E36" s="12"/>
      <c r="F36" s="12"/>
      <c r="G36" s="11"/>
      <c r="H36" s="12">
        <f t="shared" si="1"/>
        <v>-0.59999999999990905</v>
      </c>
      <c r="I36" s="10"/>
      <c r="J36" s="10"/>
      <c r="K36" s="5"/>
    </row>
    <row r="37" spans="1:13" x14ac:dyDescent="0.25">
      <c r="A37" s="5"/>
      <c r="B37" s="14"/>
      <c r="C37" s="14"/>
      <c r="D37" s="22"/>
      <c r="E37" s="12"/>
      <c r="F37" s="12"/>
      <c r="G37" s="11"/>
      <c r="H37" s="12">
        <f t="shared" si="1"/>
        <v>-0.59999999999990905</v>
      </c>
      <c r="I37" s="10"/>
      <c r="J37" s="10"/>
      <c r="K37" s="5"/>
    </row>
    <row r="38" spans="1:13" x14ac:dyDescent="0.25">
      <c r="A38" s="5"/>
      <c r="B38" s="14"/>
      <c r="C38" s="14"/>
      <c r="D38" s="22"/>
      <c r="E38" s="12"/>
      <c r="F38" s="12"/>
      <c r="G38" s="11"/>
      <c r="H38" s="12">
        <f t="shared" si="1"/>
        <v>-0.59999999999990905</v>
      </c>
      <c r="I38" s="10"/>
      <c r="J38" s="10"/>
      <c r="K38" s="5"/>
    </row>
    <row r="39" spans="1:13" x14ac:dyDescent="0.25">
      <c r="A39" s="5"/>
      <c r="B39" s="14"/>
      <c r="C39" s="14"/>
      <c r="D39" s="22"/>
      <c r="E39" s="12"/>
      <c r="F39" s="12"/>
      <c r="G39" s="11"/>
      <c r="H39" s="12">
        <f t="shared" ref="H39:H44" si="2">+H38+E39-F39</f>
        <v>-0.59999999999990905</v>
      </c>
      <c r="I39" s="10"/>
      <c r="J39" s="10"/>
      <c r="K39" s="5"/>
      <c r="L39" s="49"/>
    </row>
    <row r="40" spans="1:13" x14ac:dyDescent="0.25">
      <c r="A40" s="5"/>
      <c r="B40" s="14"/>
      <c r="C40" s="14"/>
      <c r="D40" s="22"/>
      <c r="E40" s="12"/>
      <c r="F40" s="12"/>
      <c r="G40" s="11"/>
      <c r="H40" s="12">
        <f t="shared" si="2"/>
        <v>-0.59999999999990905</v>
      </c>
      <c r="I40" s="10"/>
      <c r="J40" s="10"/>
      <c r="K40" s="5"/>
    </row>
    <row r="41" spans="1:13" x14ac:dyDescent="0.25">
      <c r="A41" s="5"/>
      <c r="B41" s="14"/>
      <c r="C41" s="14"/>
      <c r="D41" s="22"/>
      <c r="E41" s="12"/>
      <c r="F41" s="12"/>
      <c r="G41" s="11"/>
      <c r="H41" s="12">
        <f t="shared" si="2"/>
        <v>-0.59999999999990905</v>
      </c>
      <c r="I41" s="10"/>
      <c r="J41" s="10"/>
      <c r="K41" s="5"/>
    </row>
    <row r="42" spans="1:13" x14ac:dyDescent="0.25">
      <c r="A42" s="5"/>
      <c r="B42" s="14"/>
      <c r="C42" s="14"/>
      <c r="D42" s="22"/>
      <c r="E42" s="12"/>
      <c r="F42" s="12"/>
      <c r="G42" s="11"/>
      <c r="H42" s="12">
        <f t="shared" si="2"/>
        <v>-0.59999999999990905</v>
      </c>
      <c r="I42" s="10"/>
      <c r="J42" s="10"/>
      <c r="K42" s="5"/>
    </row>
    <row r="43" spans="1:13" x14ac:dyDescent="0.25">
      <c r="A43" s="5"/>
      <c r="B43" s="14"/>
      <c r="C43" s="14"/>
      <c r="D43" s="22"/>
      <c r="E43" s="12"/>
      <c r="F43" s="12"/>
      <c r="G43" s="11"/>
      <c r="H43" s="12">
        <f t="shared" si="2"/>
        <v>-0.59999999999990905</v>
      </c>
      <c r="I43" s="10"/>
      <c r="J43" s="10"/>
      <c r="K43" s="5"/>
    </row>
    <row r="44" spans="1:13" x14ac:dyDescent="0.25">
      <c r="A44" s="5"/>
      <c r="B44" s="14"/>
      <c r="C44" s="14"/>
      <c r="D44" s="22"/>
      <c r="E44" s="12"/>
      <c r="F44" s="12"/>
      <c r="G44" s="11"/>
      <c r="H44" s="12">
        <f t="shared" si="2"/>
        <v>-0.59999999999990905</v>
      </c>
      <c r="I44" s="10"/>
      <c r="J44" s="10"/>
      <c r="K44" s="5"/>
    </row>
    <row r="45" spans="1:13" x14ac:dyDescent="0.25">
      <c r="A45" s="5"/>
      <c r="B45" s="14"/>
      <c r="C45" s="14"/>
      <c r="D45" s="22"/>
      <c r="E45" s="12"/>
      <c r="F45" s="12"/>
      <c r="G45" s="11"/>
      <c r="H45" s="12">
        <f t="shared" ref="H45:H59" si="3">+H44+E45-F45</f>
        <v>-0.59999999999990905</v>
      </c>
      <c r="I45" s="10"/>
      <c r="J45" s="10"/>
      <c r="K45" s="5"/>
      <c r="M45" s="49"/>
    </row>
    <row r="46" spans="1:13" x14ac:dyDescent="0.25">
      <c r="A46" s="5"/>
      <c r="B46" s="14"/>
      <c r="C46" s="14"/>
      <c r="D46" s="22"/>
      <c r="E46" s="12"/>
      <c r="F46" s="12"/>
      <c r="G46" s="11"/>
      <c r="H46" s="12">
        <f t="shared" si="3"/>
        <v>-0.59999999999990905</v>
      </c>
      <c r="I46" s="10"/>
      <c r="J46" s="10"/>
      <c r="K46" s="5"/>
    </row>
    <row r="47" spans="1:13" x14ac:dyDescent="0.25">
      <c r="A47" s="5"/>
      <c r="B47" s="14"/>
      <c r="C47" s="14"/>
      <c r="D47" s="22"/>
      <c r="E47" s="12"/>
      <c r="F47" s="12"/>
      <c r="G47" s="11"/>
      <c r="H47" s="12">
        <f t="shared" si="3"/>
        <v>-0.59999999999990905</v>
      </c>
      <c r="I47" s="10"/>
      <c r="J47" s="10"/>
      <c r="K47" s="5"/>
    </row>
    <row r="48" spans="1:13" x14ac:dyDescent="0.25">
      <c r="A48" s="5"/>
      <c r="B48" s="14"/>
      <c r="C48" s="14"/>
      <c r="D48" s="22"/>
      <c r="E48" s="12"/>
      <c r="F48" s="12"/>
      <c r="G48" s="11"/>
      <c r="H48" s="12">
        <f t="shared" si="3"/>
        <v>-0.59999999999990905</v>
      </c>
      <c r="I48" s="10"/>
      <c r="J48" s="10"/>
      <c r="K48" s="5"/>
    </row>
    <row r="49" spans="1:13" x14ac:dyDescent="0.25">
      <c r="A49" s="5"/>
      <c r="B49" s="14"/>
      <c r="C49" s="14"/>
      <c r="D49" s="22"/>
      <c r="E49" s="12"/>
      <c r="F49" s="12"/>
      <c r="G49" s="11"/>
      <c r="H49" s="12">
        <f t="shared" si="3"/>
        <v>-0.59999999999990905</v>
      </c>
      <c r="I49" s="10"/>
      <c r="J49" s="10"/>
      <c r="K49" s="5"/>
    </row>
    <row r="50" spans="1:13" x14ac:dyDescent="0.25">
      <c r="A50" s="5"/>
      <c r="B50" s="14"/>
      <c r="C50" s="14"/>
      <c r="D50" s="22"/>
      <c r="E50" s="12"/>
      <c r="F50" s="12"/>
      <c r="G50" s="11"/>
      <c r="H50" s="12">
        <f t="shared" si="3"/>
        <v>-0.59999999999990905</v>
      </c>
      <c r="I50" s="10"/>
      <c r="J50" s="10"/>
      <c r="K50" s="5"/>
      <c r="M50" s="49"/>
    </row>
    <row r="51" spans="1:13" x14ac:dyDescent="0.25">
      <c r="A51" s="5"/>
      <c r="B51" s="14"/>
      <c r="C51" s="14"/>
      <c r="D51" s="22"/>
      <c r="E51" s="12"/>
      <c r="F51" s="12"/>
      <c r="G51" s="11"/>
      <c r="H51" s="12">
        <f t="shared" si="3"/>
        <v>-0.59999999999990905</v>
      </c>
      <c r="I51" s="10"/>
      <c r="J51" s="10"/>
      <c r="K51" s="5"/>
    </row>
    <row r="52" spans="1:13" x14ac:dyDescent="0.25">
      <c r="A52" s="5"/>
      <c r="B52" s="14"/>
      <c r="C52" s="14"/>
      <c r="D52" s="22"/>
      <c r="E52" s="12"/>
      <c r="F52" s="12"/>
      <c r="G52" s="11"/>
      <c r="H52" s="12">
        <f t="shared" si="3"/>
        <v>-0.59999999999990905</v>
      </c>
      <c r="I52" s="10"/>
      <c r="J52" s="10"/>
      <c r="K52" s="5"/>
    </row>
    <row r="53" spans="1:13" x14ac:dyDescent="0.25">
      <c r="A53" s="5"/>
      <c r="B53" s="14"/>
      <c r="C53" s="14"/>
      <c r="D53" s="22"/>
      <c r="E53" s="12"/>
      <c r="F53" s="12"/>
      <c r="G53" s="11"/>
      <c r="H53" s="12">
        <f t="shared" si="3"/>
        <v>-0.59999999999990905</v>
      </c>
      <c r="I53" s="10"/>
      <c r="J53" s="10"/>
      <c r="K53" s="5"/>
    </row>
    <row r="54" spans="1:13" x14ac:dyDescent="0.25">
      <c r="A54" s="5"/>
      <c r="B54" s="14"/>
      <c r="C54" s="14"/>
      <c r="D54" s="22"/>
      <c r="E54" s="12"/>
      <c r="F54" s="12"/>
      <c r="G54" s="11"/>
      <c r="H54" s="12">
        <f t="shared" si="3"/>
        <v>-0.59999999999990905</v>
      </c>
      <c r="I54" s="10"/>
      <c r="J54" s="10"/>
      <c r="K54" s="5"/>
      <c r="M54" s="49"/>
    </row>
    <row r="55" spans="1:13" x14ac:dyDescent="0.25">
      <c r="A55" s="5"/>
      <c r="B55" s="14"/>
      <c r="C55" s="14"/>
      <c r="D55" s="22"/>
      <c r="E55" s="12"/>
      <c r="F55" s="12"/>
      <c r="G55" s="11"/>
      <c r="H55" s="12">
        <f t="shared" si="3"/>
        <v>-0.59999999999990905</v>
      </c>
      <c r="I55" s="10"/>
      <c r="J55" s="10"/>
      <c r="K55" s="5"/>
    </row>
    <row r="56" spans="1:13" x14ac:dyDescent="0.25">
      <c r="A56" s="5"/>
      <c r="B56" s="14"/>
      <c r="C56" s="14"/>
      <c r="D56" s="22"/>
      <c r="E56" s="12"/>
      <c r="F56" s="12"/>
      <c r="G56" s="11"/>
      <c r="H56" s="12">
        <f>+H55+E56-F56</f>
        <v>-0.59999999999990905</v>
      </c>
      <c r="I56" s="10"/>
      <c r="J56" s="10"/>
      <c r="K56" s="5"/>
    </row>
    <row r="57" spans="1:13" x14ac:dyDescent="0.25">
      <c r="A57" s="5"/>
      <c r="B57" s="14"/>
      <c r="C57" s="14"/>
      <c r="D57" s="22"/>
      <c r="E57" s="12"/>
      <c r="F57" s="12"/>
      <c r="G57" s="11"/>
      <c r="H57" s="12">
        <f t="shared" si="3"/>
        <v>-0.59999999999990905</v>
      </c>
      <c r="I57" s="10"/>
      <c r="J57" s="10"/>
      <c r="K57" s="5"/>
    </row>
    <row r="58" spans="1:13" x14ac:dyDescent="0.25">
      <c r="A58" s="5"/>
      <c r="B58" s="14"/>
      <c r="C58" s="14"/>
      <c r="D58" s="22"/>
      <c r="E58" s="12"/>
      <c r="F58" s="12"/>
      <c r="G58" s="11"/>
      <c r="H58" s="12">
        <f t="shared" si="3"/>
        <v>-0.59999999999990905</v>
      </c>
      <c r="I58" s="10"/>
      <c r="J58" s="10"/>
      <c r="K58" s="5"/>
      <c r="M58" s="49"/>
    </row>
    <row r="59" spans="1:13" x14ac:dyDescent="0.25">
      <c r="A59" s="5"/>
      <c r="B59" s="14"/>
      <c r="C59" s="14"/>
      <c r="D59" s="22"/>
      <c r="E59" s="12"/>
      <c r="F59" s="12"/>
      <c r="G59" s="11"/>
      <c r="H59" s="12">
        <f t="shared" si="3"/>
        <v>-0.59999999999990905</v>
      </c>
      <c r="I59" s="10"/>
      <c r="J59" s="10"/>
      <c r="K59" s="5"/>
    </row>
    <row r="60" spans="1:13" x14ac:dyDescent="0.25">
      <c r="A60" s="5"/>
      <c r="B60" s="14"/>
      <c r="C60" s="14"/>
      <c r="D60" s="22"/>
      <c r="E60" s="12"/>
      <c r="F60" s="12"/>
      <c r="G60" s="11"/>
      <c r="H60" s="12">
        <f>+H59+E60-F60</f>
        <v>-0.59999999999990905</v>
      </c>
      <c r="I60" s="10"/>
      <c r="J60" s="10"/>
      <c r="K60" s="5"/>
    </row>
    <row r="61" spans="1:13" x14ac:dyDescent="0.25">
      <c r="A61" s="5"/>
      <c r="B61" s="14"/>
      <c r="C61" s="14"/>
      <c r="D61" s="22"/>
      <c r="E61" s="12"/>
      <c r="F61" s="12"/>
      <c r="G61" s="11"/>
      <c r="H61" s="12">
        <f>+H60+E61-F61</f>
        <v>-0.59999999999990905</v>
      </c>
      <c r="I61" s="10"/>
      <c r="J61" s="10"/>
      <c r="K61" s="5"/>
    </row>
    <row r="62" spans="1:13" ht="16.5" thickBot="1" x14ac:dyDescent="0.3">
      <c r="A62" s="5"/>
      <c r="B62" s="23"/>
      <c r="C62" s="23"/>
      <c r="D62" s="24"/>
      <c r="E62" s="19"/>
      <c r="F62" s="12"/>
      <c r="G62" s="11"/>
      <c r="H62" s="27">
        <f>+H61+E62-F62</f>
        <v>-0.59999999999990905</v>
      </c>
      <c r="I62" s="10"/>
      <c r="J62" s="10"/>
      <c r="K62" s="5"/>
    </row>
    <row r="63" spans="1:13" ht="17.25" thickTop="1" thickBot="1" x14ac:dyDescent="0.3">
      <c r="A63" s="5"/>
      <c r="B63" s="268" t="s">
        <v>55</v>
      </c>
      <c r="C63" s="268"/>
      <c r="D63" s="268"/>
      <c r="E63" s="20">
        <f>SUM(E11:E62)</f>
        <v>0</v>
      </c>
      <c r="F63" s="25">
        <f>SUM(F11:F62)</f>
        <v>0</v>
      </c>
      <c r="G63" s="5"/>
      <c r="H63" s="5"/>
      <c r="I63" s="5"/>
      <c r="J63" s="5"/>
      <c r="K63" s="5"/>
    </row>
    <row r="64" spans="1:13" ht="16.5" thickBot="1" x14ac:dyDescent="0.3">
      <c r="A64" s="5"/>
      <c r="B64" s="5"/>
      <c r="C64" s="5"/>
      <c r="D64" s="5"/>
      <c r="E64" s="5"/>
      <c r="F64" s="26">
        <f>+E63-F63</f>
        <v>0</v>
      </c>
      <c r="G64" s="5"/>
      <c r="H64" s="5"/>
      <c r="I64" s="5"/>
      <c r="J64" s="5"/>
      <c r="K64" s="5"/>
    </row>
    <row r="65" spans="1:11" x14ac:dyDescent="0.25">
      <c r="A65" s="5"/>
      <c r="B65" s="5"/>
      <c r="C65" s="5"/>
      <c r="D65" s="5"/>
      <c r="E65" s="5"/>
      <c r="F65" s="5"/>
      <c r="G65" s="5"/>
      <c r="H65" s="16"/>
      <c r="I65" s="16"/>
      <c r="J65" s="5"/>
      <c r="K65" s="5"/>
    </row>
    <row r="66" spans="1:11" x14ac:dyDescent="0.25">
      <c r="A66" s="5"/>
      <c r="B66" s="5"/>
      <c r="C66" s="5"/>
      <c r="D66" s="5"/>
      <c r="E66" s="5"/>
      <c r="F66" s="5"/>
      <c r="G66" s="5"/>
      <c r="H66" s="16"/>
      <c r="I66" s="5"/>
      <c r="J66" s="5"/>
      <c r="K66" s="5"/>
    </row>
  </sheetData>
  <mergeCells count="3">
    <mergeCell ref="B2:J2"/>
    <mergeCell ref="B3:J3"/>
    <mergeCell ref="B63:D6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53"/>
  <dimension ref="A1:M51"/>
  <sheetViews>
    <sheetView topLeftCell="A4" workbookViewId="0">
      <selection activeCell="I12" sqref="I12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customWidth="1"/>
    <col min="10" max="10" width="21.42578125" style="1" customWidth="1"/>
    <col min="11" max="11" width="5" style="1" customWidth="1"/>
    <col min="12" max="12" width="11.42578125" style="1"/>
    <col min="13" max="13" width="12.42578125" style="1" bestFit="1" customWidth="1"/>
    <col min="14" max="16384" width="11.42578125" style="1"/>
  </cols>
  <sheetData>
    <row r="1" spans="1:1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1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 x14ac:dyDescent="0.25">
      <c r="A5" s="5"/>
      <c r="B5" s="7"/>
      <c r="C5" s="8" t="s">
        <v>49</v>
      </c>
      <c r="D5" s="5" t="s">
        <v>118</v>
      </c>
      <c r="E5" s="9"/>
      <c r="F5" s="9"/>
      <c r="G5" s="9"/>
      <c r="H5" s="9"/>
      <c r="I5" s="9"/>
      <c r="J5" s="9"/>
      <c r="K5" s="5"/>
    </row>
    <row r="6" spans="1:11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1" x14ac:dyDescent="0.25">
      <c r="A7" s="5"/>
      <c r="B7" s="7"/>
      <c r="C7" s="8" t="s">
        <v>48</v>
      </c>
      <c r="D7" s="5" t="s">
        <v>119</v>
      </c>
      <c r="E7" s="9"/>
      <c r="F7" s="9"/>
      <c r="G7" s="9"/>
      <c r="H7" s="9"/>
      <c r="I7" s="9"/>
      <c r="J7" s="9"/>
      <c r="K7" s="5"/>
    </row>
    <row r="8" spans="1:11" x14ac:dyDescent="0.25">
      <c r="A8" s="5"/>
      <c r="B8" s="7"/>
      <c r="C8" s="8" t="s">
        <v>47</v>
      </c>
      <c r="D8" s="16" t="s">
        <v>91</v>
      </c>
      <c r="E8" s="9"/>
      <c r="F8" s="9"/>
      <c r="G8" s="9"/>
      <c r="H8" s="9"/>
      <c r="I8" s="9"/>
      <c r="J8" s="9"/>
      <c r="K8" s="5"/>
    </row>
    <row r="9" spans="1:11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1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1" ht="16.5" thickBot="1" x14ac:dyDescent="0.3">
      <c r="A11" s="5"/>
      <c r="B11" s="83">
        <v>250703</v>
      </c>
      <c r="C11" s="83">
        <v>1797</v>
      </c>
      <c r="D11" s="84">
        <v>45840</v>
      </c>
      <c r="E11" s="85">
        <v>91740</v>
      </c>
      <c r="F11" s="85">
        <v>91740</v>
      </c>
      <c r="G11" s="86">
        <v>45840</v>
      </c>
      <c r="H11" s="85">
        <v>0</v>
      </c>
      <c r="I11" s="87"/>
      <c r="J11" s="87" t="s">
        <v>203</v>
      </c>
      <c r="K11" s="5" t="s">
        <v>136</v>
      </c>
    </row>
    <row r="12" spans="1:11" ht="16.5" thickTop="1" x14ac:dyDescent="0.25">
      <c r="A12" s="5"/>
      <c r="B12" s="118"/>
      <c r="C12" s="118"/>
      <c r="D12" s="117"/>
      <c r="E12" s="80"/>
      <c r="F12" s="80"/>
      <c r="G12" s="81"/>
      <c r="H12" s="80">
        <f>+H11+E12-F12</f>
        <v>0</v>
      </c>
      <c r="I12" s="82"/>
      <c r="J12" s="82"/>
      <c r="K12" s="5"/>
    </row>
    <row r="13" spans="1:11" x14ac:dyDescent="0.25">
      <c r="A13" s="5"/>
      <c r="B13" s="14"/>
      <c r="C13" s="14"/>
      <c r="D13" s="22"/>
      <c r="E13" s="12"/>
      <c r="F13" s="12"/>
      <c r="G13" s="11"/>
      <c r="H13" s="12">
        <f t="shared" ref="H13:H47" si="0">+H12+E13-F13</f>
        <v>0</v>
      </c>
      <c r="I13" s="10"/>
      <c r="J13" s="10"/>
      <c r="K13" s="5"/>
    </row>
    <row r="14" spans="1:11" x14ac:dyDescent="0.25">
      <c r="A14" s="5"/>
      <c r="B14" s="14"/>
      <c r="C14" s="14"/>
      <c r="D14" s="22"/>
      <c r="E14" s="12"/>
      <c r="F14" s="12"/>
      <c r="G14" s="11"/>
      <c r="H14" s="12">
        <f t="shared" si="0"/>
        <v>0</v>
      </c>
      <c r="I14" s="10"/>
      <c r="J14" s="10"/>
      <c r="K14" s="5"/>
    </row>
    <row r="15" spans="1:11" x14ac:dyDescent="0.25">
      <c r="A15" s="5"/>
      <c r="B15" s="14"/>
      <c r="C15" s="14"/>
      <c r="D15" s="22"/>
      <c r="E15" s="12"/>
      <c r="F15" s="12"/>
      <c r="G15" s="11"/>
      <c r="H15" s="12">
        <f t="shared" si="0"/>
        <v>0</v>
      </c>
      <c r="I15" s="10"/>
      <c r="J15" s="10"/>
      <c r="K15" s="5"/>
    </row>
    <row r="16" spans="1:11" x14ac:dyDescent="0.25">
      <c r="A16" s="5"/>
      <c r="B16" s="14"/>
      <c r="C16" s="14"/>
      <c r="D16" s="22"/>
      <c r="E16" s="12"/>
      <c r="F16" s="12"/>
      <c r="G16" s="11"/>
      <c r="H16" s="12">
        <f t="shared" si="0"/>
        <v>0</v>
      </c>
      <c r="I16" s="10"/>
      <c r="J16" s="10"/>
      <c r="K16" s="5"/>
    </row>
    <row r="17" spans="1:13" x14ac:dyDescent="0.25">
      <c r="A17" s="5"/>
      <c r="B17" s="14"/>
      <c r="C17" s="14"/>
      <c r="D17" s="22"/>
      <c r="E17" s="12"/>
      <c r="F17" s="12"/>
      <c r="G17" s="11"/>
      <c r="H17" s="12">
        <f t="shared" si="0"/>
        <v>0</v>
      </c>
      <c r="I17" s="10"/>
      <c r="J17" s="10"/>
      <c r="K17" s="5"/>
    </row>
    <row r="18" spans="1:13" x14ac:dyDescent="0.25">
      <c r="A18" s="5"/>
      <c r="B18" s="14"/>
      <c r="C18" s="14"/>
      <c r="D18" s="22"/>
      <c r="E18" s="12"/>
      <c r="F18" s="12"/>
      <c r="G18" s="11"/>
      <c r="H18" s="12">
        <f t="shared" si="0"/>
        <v>0</v>
      </c>
      <c r="I18" s="10"/>
      <c r="J18" s="10"/>
      <c r="K18" s="5"/>
    </row>
    <row r="19" spans="1:13" x14ac:dyDescent="0.25">
      <c r="A19" s="5"/>
      <c r="B19" s="14"/>
      <c r="C19" s="14"/>
      <c r="D19" s="22"/>
      <c r="E19" s="12"/>
      <c r="F19" s="12"/>
      <c r="G19" s="11"/>
      <c r="H19" s="12">
        <f t="shared" si="0"/>
        <v>0</v>
      </c>
      <c r="I19" s="10"/>
      <c r="J19" s="10"/>
      <c r="K19" s="5"/>
    </row>
    <row r="20" spans="1:13" hidden="1" x14ac:dyDescent="0.25">
      <c r="A20" s="5"/>
      <c r="B20" s="14"/>
      <c r="C20" s="14"/>
      <c r="D20" s="22"/>
      <c r="E20" s="12"/>
      <c r="F20" s="12"/>
      <c r="G20" s="11"/>
      <c r="H20" s="12">
        <f>+H19+E20-F20</f>
        <v>0</v>
      </c>
      <c r="I20" s="10"/>
      <c r="J20" s="10"/>
      <c r="K20" s="5"/>
      <c r="M20" s="49"/>
    </row>
    <row r="21" spans="1:13" hidden="1" x14ac:dyDescent="0.25">
      <c r="A21" s="5"/>
      <c r="B21" s="14"/>
      <c r="C21" s="14"/>
      <c r="D21" s="22"/>
      <c r="E21" s="12"/>
      <c r="F21" s="12"/>
      <c r="G21" s="11"/>
      <c r="H21" s="12">
        <f>+H20+E21-F21</f>
        <v>0</v>
      </c>
      <c r="I21" s="10"/>
      <c r="J21" s="10"/>
      <c r="K21" s="5"/>
    </row>
    <row r="22" spans="1:13" hidden="1" x14ac:dyDescent="0.25">
      <c r="A22" s="5"/>
      <c r="B22" s="14"/>
      <c r="C22" s="14"/>
      <c r="D22" s="22"/>
      <c r="E22" s="12"/>
      <c r="F22" s="12"/>
      <c r="G22" s="11"/>
      <c r="H22" s="12">
        <f>+H21+E22-F22</f>
        <v>0</v>
      </c>
      <c r="I22" s="10"/>
      <c r="J22" s="10"/>
      <c r="K22" s="5"/>
    </row>
    <row r="23" spans="1:13" hidden="1" x14ac:dyDescent="0.25">
      <c r="A23" s="5"/>
      <c r="B23" s="14"/>
      <c r="C23" s="14"/>
      <c r="D23" s="22"/>
      <c r="E23" s="12"/>
      <c r="F23" s="12"/>
      <c r="G23" s="11"/>
      <c r="H23" s="12">
        <f>+H22+E23-F23</f>
        <v>0</v>
      </c>
      <c r="I23" s="10"/>
      <c r="J23" s="10"/>
      <c r="K23" s="5"/>
    </row>
    <row r="24" spans="1:13" hidden="1" x14ac:dyDescent="0.25">
      <c r="A24" s="5"/>
      <c r="B24" s="14"/>
      <c r="C24" s="14"/>
      <c r="D24" s="22"/>
      <c r="E24" s="12"/>
      <c r="F24" s="12"/>
      <c r="G24" s="11"/>
      <c r="H24" s="12">
        <f t="shared" ref="H24:H46" si="1">+H23+E24-F24</f>
        <v>0</v>
      </c>
      <c r="I24" s="10"/>
      <c r="J24" s="10"/>
      <c r="K24" s="5"/>
    </row>
    <row r="25" spans="1:13" hidden="1" x14ac:dyDescent="0.25">
      <c r="A25" s="5"/>
      <c r="B25" s="14"/>
      <c r="C25" s="14"/>
      <c r="D25" s="22"/>
      <c r="E25" s="12"/>
      <c r="F25" s="12"/>
      <c r="G25" s="11"/>
      <c r="H25" s="12">
        <f t="shared" si="1"/>
        <v>0</v>
      </c>
      <c r="I25" s="10"/>
      <c r="J25" s="10"/>
      <c r="K25" s="5"/>
    </row>
    <row r="26" spans="1:13" hidden="1" x14ac:dyDescent="0.25">
      <c r="A26" s="5"/>
      <c r="B26" s="14"/>
      <c r="C26" s="14"/>
      <c r="D26" s="22"/>
      <c r="E26" s="12"/>
      <c r="F26" s="12"/>
      <c r="G26" s="11"/>
      <c r="H26" s="12">
        <f t="shared" si="1"/>
        <v>0</v>
      </c>
      <c r="I26" s="10"/>
      <c r="J26" s="10"/>
      <c r="K26" s="5"/>
    </row>
    <row r="27" spans="1:13" hidden="1" x14ac:dyDescent="0.25">
      <c r="A27" s="5"/>
      <c r="B27" s="14"/>
      <c r="C27" s="14"/>
      <c r="D27" s="22"/>
      <c r="E27" s="12"/>
      <c r="F27" s="12"/>
      <c r="G27" s="11"/>
      <c r="H27" s="12">
        <f t="shared" si="1"/>
        <v>0</v>
      </c>
      <c r="I27" s="10"/>
      <c r="J27" s="10"/>
      <c r="K27" s="5"/>
    </row>
    <row r="28" spans="1:13" hidden="1" x14ac:dyDescent="0.25">
      <c r="A28" s="5"/>
      <c r="B28" s="14"/>
      <c r="C28" s="14"/>
      <c r="D28" s="22"/>
      <c r="E28" s="12"/>
      <c r="F28" s="12"/>
      <c r="G28" s="11"/>
      <c r="H28" s="12">
        <f t="shared" si="1"/>
        <v>0</v>
      </c>
      <c r="I28" s="10"/>
      <c r="J28" s="10"/>
      <c r="K28" s="5"/>
      <c r="M28" s="49"/>
    </row>
    <row r="29" spans="1:13" hidden="1" x14ac:dyDescent="0.25">
      <c r="A29" s="5"/>
      <c r="B29" s="14"/>
      <c r="C29" s="14"/>
      <c r="D29" s="22"/>
      <c r="E29" s="12"/>
      <c r="F29" s="12"/>
      <c r="G29" s="11"/>
      <c r="H29" s="12">
        <f t="shared" si="1"/>
        <v>0</v>
      </c>
      <c r="I29" s="10"/>
      <c r="J29" s="10"/>
      <c r="K29" s="5"/>
    </row>
    <row r="30" spans="1:13" hidden="1" x14ac:dyDescent="0.25">
      <c r="A30" s="5"/>
      <c r="B30" s="14"/>
      <c r="C30" s="14"/>
      <c r="D30" s="22"/>
      <c r="E30" s="12"/>
      <c r="F30" s="12"/>
      <c r="G30" s="11"/>
      <c r="H30" s="12">
        <f t="shared" si="1"/>
        <v>0</v>
      </c>
      <c r="I30" s="10"/>
      <c r="J30" s="10"/>
      <c r="K30" s="5"/>
    </row>
    <row r="31" spans="1:13" hidden="1" x14ac:dyDescent="0.25">
      <c r="A31" s="5"/>
      <c r="B31" s="14"/>
      <c r="C31" s="14"/>
      <c r="D31" s="22"/>
      <c r="E31" s="12"/>
      <c r="F31" s="12"/>
      <c r="G31" s="11"/>
      <c r="H31" s="12">
        <f t="shared" si="1"/>
        <v>0</v>
      </c>
      <c r="I31" s="10"/>
      <c r="J31" s="10"/>
      <c r="K31" s="5"/>
    </row>
    <row r="32" spans="1:13" hidden="1" x14ac:dyDescent="0.25">
      <c r="A32" s="5"/>
      <c r="B32" s="14"/>
      <c r="C32" s="14"/>
      <c r="D32" s="22"/>
      <c r="E32" s="12"/>
      <c r="F32" s="12"/>
      <c r="G32" s="11"/>
      <c r="H32" s="12">
        <f t="shared" si="1"/>
        <v>0</v>
      </c>
      <c r="I32" s="10"/>
      <c r="J32" s="10"/>
      <c r="K32" s="5"/>
      <c r="M32" s="49"/>
    </row>
    <row r="33" spans="1:13" hidden="1" x14ac:dyDescent="0.25">
      <c r="A33" s="5"/>
      <c r="B33" s="14"/>
      <c r="C33" s="14"/>
      <c r="D33" s="22"/>
      <c r="E33" s="12"/>
      <c r="F33" s="12"/>
      <c r="G33" s="11"/>
      <c r="H33" s="12">
        <f t="shared" si="1"/>
        <v>0</v>
      </c>
      <c r="I33" s="10"/>
      <c r="J33" s="10"/>
      <c r="K33" s="5"/>
    </row>
    <row r="34" spans="1:13" hidden="1" x14ac:dyDescent="0.25">
      <c r="A34" s="5"/>
      <c r="B34" s="14"/>
      <c r="C34" s="14"/>
      <c r="D34" s="22"/>
      <c r="E34" s="12"/>
      <c r="F34" s="12"/>
      <c r="G34" s="11"/>
      <c r="H34" s="12">
        <f t="shared" si="1"/>
        <v>0</v>
      </c>
      <c r="I34" s="10"/>
      <c r="J34" s="10"/>
      <c r="K34" s="5"/>
    </row>
    <row r="35" spans="1:13" hidden="1" x14ac:dyDescent="0.25">
      <c r="A35" s="5"/>
      <c r="B35" s="14"/>
      <c r="C35" s="14"/>
      <c r="D35" s="22"/>
      <c r="E35" s="12"/>
      <c r="F35" s="12"/>
      <c r="G35" s="11"/>
      <c r="H35" s="12">
        <f t="shared" si="1"/>
        <v>0</v>
      </c>
      <c r="I35" s="10"/>
      <c r="J35" s="10"/>
      <c r="K35" s="5"/>
      <c r="M35" s="49"/>
    </row>
    <row r="36" spans="1:13" hidden="1" x14ac:dyDescent="0.25">
      <c r="A36" s="5"/>
      <c r="B36" s="14"/>
      <c r="C36" s="14"/>
      <c r="D36" s="22"/>
      <c r="E36" s="12"/>
      <c r="F36" s="12"/>
      <c r="G36" s="11"/>
      <c r="H36" s="12">
        <f t="shared" si="1"/>
        <v>0</v>
      </c>
      <c r="I36" s="10"/>
      <c r="J36" s="10"/>
      <c r="K36" s="5"/>
    </row>
    <row r="37" spans="1:13" hidden="1" x14ac:dyDescent="0.25">
      <c r="A37" s="5"/>
      <c r="B37" s="14"/>
      <c r="C37" s="14"/>
      <c r="D37" s="22"/>
      <c r="E37" s="12"/>
      <c r="F37" s="12"/>
      <c r="G37" s="11"/>
      <c r="H37" s="12">
        <f t="shared" si="1"/>
        <v>0</v>
      </c>
      <c r="I37" s="10"/>
      <c r="J37" s="10"/>
      <c r="K37" s="5"/>
    </row>
    <row r="38" spans="1:13" hidden="1" x14ac:dyDescent="0.25">
      <c r="A38" s="5"/>
      <c r="B38" s="14"/>
      <c r="C38" s="14"/>
      <c r="D38" s="22"/>
      <c r="E38" s="12"/>
      <c r="F38" s="12"/>
      <c r="G38" s="11"/>
      <c r="H38" s="12">
        <f t="shared" si="1"/>
        <v>0</v>
      </c>
      <c r="I38" s="10"/>
      <c r="J38" s="10"/>
      <c r="K38" s="5"/>
      <c r="M38" s="49"/>
    </row>
    <row r="39" spans="1:13" hidden="1" x14ac:dyDescent="0.25">
      <c r="A39" s="5"/>
      <c r="B39" s="14"/>
      <c r="C39" s="14"/>
      <c r="D39" s="22"/>
      <c r="E39" s="12"/>
      <c r="F39" s="12"/>
      <c r="G39" s="11"/>
      <c r="H39" s="12">
        <f t="shared" si="1"/>
        <v>0</v>
      </c>
      <c r="I39" s="10"/>
      <c r="J39" s="10"/>
      <c r="K39" s="5"/>
    </row>
    <row r="40" spans="1:13" hidden="1" x14ac:dyDescent="0.25">
      <c r="A40" s="5"/>
      <c r="B40" s="14"/>
      <c r="C40" s="14"/>
      <c r="D40" s="22"/>
      <c r="E40" s="12"/>
      <c r="F40" s="12"/>
      <c r="G40" s="11"/>
      <c r="H40" s="12">
        <f t="shared" si="1"/>
        <v>0</v>
      </c>
      <c r="I40" s="10"/>
      <c r="J40" s="10"/>
      <c r="K40" s="5"/>
      <c r="M40" s="49"/>
    </row>
    <row r="41" spans="1:13" hidden="1" x14ac:dyDescent="0.25">
      <c r="A41" s="5"/>
      <c r="B41" s="14"/>
      <c r="C41" s="14"/>
      <c r="D41" s="22"/>
      <c r="E41" s="12"/>
      <c r="F41" s="12"/>
      <c r="G41" s="11"/>
      <c r="H41" s="12">
        <f t="shared" si="1"/>
        <v>0</v>
      </c>
      <c r="I41" s="10"/>
      <c r="J41" s="10"/>
      <c r="K41" s="5"/>
    </row>
    <row r="42" spans="1:13" hidden="1" x14ac:dyDescent="0.25">
      <c r="A42" s="5"/>
      <c r="B42" s="14"/>
      <c r="C42" s="14"/>
      <c r="D42" s="22"/>
      <c r="E42" s="12"/>
      <c r="F42" s="12"/>
      <c r="G42" s="11"/>
      <c r="H42" s="12">
        <f t="shared" si="1"/>
        <v>0</v>
      </c>
      <c r="I42" s="10"/>
      <c r="J42" s="10"/>
      <c r="K42" s="5"/>
      <c r="M42" s="49"/>
    </row>
    <row r="43" spans="1:13" hidden="1" x14ac:dyDescent="0.25">
      <c r="A43" s="5"/>
      <c r="B43" s="14"/>
      <c r="C43" s="14"/>
      <c r="D43" s="22"/>
      <c r="E43" s="12"/>
      <c r="F43" s="12"/>
      <c r="G43" s="11"/>
      <c r="H43" s="12">
        <f t="shared" si="1"/>
        <v>0</v>
      </c>
      <c r="I43" s="10"/>
      <c r="J43" s="10"/>
      <c r="K43" s="5"/>
    </row>
    <row r="44" spans="1:13" hidden="1" x14ac:dyDescent="0.25">
      <c r="A44" s="5"/>
      <c r="B44" s="14"/>
      <c r="C44" s="14"/>
      <c r="D44" s="22"/>
      <c r="E44" s="12"/>
      <c r="F44" s="12"/>
      <c r="G44" s="11"/>
      <c r="H44" s="12">
        <f t="shared" si="1"/>
        <v>0</v>
      </c>
      <c r="I44" s="10"/>
      <c r="J44" s="10"/>
      <c r="K44" s="5"/>
    </row>
    <row r="45" spans="1:13" hidden="1" x14ac:dyDescent="0.25">
      <c r="A45" s="5"/>
      <c r="B45" s="14"/>
      <c r="C45" s="14"/>
      <c r="D45" s="22"/>
      <c r="E45" s="12"/>
      <c r="F45" s="12"/>
      <c r="G45" s="11"/>
      <c r="H45" s="12">
        <f t="shared" si="1"/>
        <v>0</v>
      </c>
      <c r="I45" s="10"/>
      <c r="J45" s="10"/>
      <c r="K45" s="5"/>
    </row>
    <row r="46" spans="1:13" hidden="1" x14ac:dyDescent="0.25">
      <c r="A46" s="5"/>
      <c r="B46" s="23"/>
      <c r="C46" s="23"/>
      <c r="D46" s="24"/>
      <c r="E46" s="19"/>
      <c r="F46" s="12"/>
      <c r="G46" s="11"/>
      <c r="H46" s="12">
        <f t="shared" si="1"/>
        <v>0</v>
      </c>
      <c r="I46" s="10"/>
      <c r="J46" s="10"/>
      <c r="K46" s="5"/>
    </row>
    <row r="47" spans="1:13" ht="16.5" thickBot="1" x14ac:dyDescent="0.3">
      <c r="A47" s="5"/>
      <c r="B47" s="23"/>
      <c r="C47" s="23"/>
      <c r="D47" s="24"/>
      <c r="E47" s="19"/>
      <c r="F47" s="12"/>
      <c r="G47" s="11"/>
      <c r="H47" s="27">
        <f t="shared" si="0"/>
        <v>0</v>
      </c>
      <c r="I47" s="10"/>
      <c r="J47" s="10"/>
      <c r="K47" s="5"/>
    </row>
    <row r="48" spans="1:13" ht="17.25" thickTop="1" thickBot="1" x14ac:dyDescent="0.3">
      <c r="A48" s="5"/>
      <c r="B48" s="268" t="s">
        <v>55</v>
      </c>
      <c r="C48" s="268"/>
      <c r="D48" s="268"/>
      <c r="E48" s="20">
        <f>SUM(E11:E47)</f>
        <v>91740</v>
      </c>
      <c r="F48" s="25">
        <f>SUM(F11:F47)</f>
        <v>91740</v>
      </c>
      <c r="G48" s="5"/>
      <c r="H48" s="5"/>
      <c r="I48" s="5"/>
      <c r="J48" s="5"/>
      <c r="K48" s="5"/>
    </row>
    <row r="49" spans="1:11" ht="16.5" thickBot="1" x14ac:dyDescent="0.3">
      <c r="A49" s="5"/>
      <c r="B49" s="5"/>
      <c r="C49" s="5"/>
      <c r="D49" s="5"/>
      <c r="E49" s="5"/>
      <c r="F49" s="26">
        <f>+E48-F48</f>
        <v>0</v>
      </c>
      <c r="G49" s="5"/>
      <c r="H49" s="5"/>
      <c r="I49" s="5"/>
      <c r="J49" s="5"/>
      <c r="K49" s="5"/>
    </row>
    <row r="50" spans="1:11" x14ac:dyDescent="0.25">
      <c r="A50" s="5"/>
      <c r="B50" s="5"/>
      <c r="C50" s="5"/>
      <c r="D50" s="5"/>
      <c r="E50" s="5"/>
      <c r="F50" s="5"/>
      <c r="G50" s="5"/>
      <c r="H50" s="16"/>
      <c r="I50" s="16"/>
      <c r="J50" s="5"/>
      <c r="K50" s="5"/>
    </row>
    <row r="51" spans="1:11" x14ac:dyDescent="0.25">
      <c r="A51" s="5"/>
      <c r="B51" s="5"/>
      <c r="C51" s="5"/>
      <c r="D51" s="5"/>
      <c r="E51" s="5"/>
      <c r="F51" s="5"/>
      <c r="G51" s="5"/>
      <c r="H51" s="16"/>
      <c r="I51" s="5"/>
      <c r="J51" s="5"/>
      <c r="K51" s="5"/>
    </row>
  </sheetData>
  <mergeCells count="3">
    <mergeCell ref="B2:J2"/>
    <mergeCell ref="B3:J3"/>
    <mergeCell ref="B48:D48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54"/>
  <dimension ref="A1:M36"/>
  <sheetViews>
    <sheetView workbookViewId="0">
      <selection activeCell="H16" sqref="H16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customWidth="1"/>
    <col min="10" max="10" width="21.42578125" style="1" customWidth="1"/>
    <col min="11" max="11" width="5" style="1" customWidth="1"/>
    <col min="12" max="12" width="11.42578125" style="1"/>
    <col min="13" max="13" width="12.42578125" style="1" bestFit="1" customWidth="1"/>
    <col min="14" max="16384" width="11.42578125" style="1"/>
  </cols>
  <sheetData>
    <row r="1" spans="1:12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2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2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2" x14ac:dyDescent="0.25">
      <c r="A5" s="5"/>
      <c r="B5" s="7"/>
      <c r="C5" s="8" t="s">
        <v>49</v>
      </c>
      <c r="D5" s="5" t="s">
        <v>123</v>
      </c>
      <c r="E5" s="9"/>
      <c r="F5" s="9"/>
      <c r="G5" s="9"/>
      <c r="H5" s="9"/>
      <c r="I5" s="9"/>
      <c r="J5" s="9"/>
      <c r="K5" s="5"/>
    </row>
    <row r="6" spans="1:12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2" x14ac:dyDescent="0.25">
      <c r="A7" s="5"/>
      <c r="B7" s="7"/>
      <c r="C7" s="8" t="s">
        <v>48</v>
      </c>
      <c r="D7" s="5" t="s">
        <v>124</v>
      </c>
      <c r="E7" s="9"/>
      <c r="F7" s="9"/>
      <c r="G7" s="9"/>
      <c r="H7" s="9"/>
      <c r="I7" s="9"/>
      <c r="J7" s="9"/>
      <c r="K7" s="5"/>
    </row>
    <row r="8" spans="1:12" x14ac:dyDescent="0.25">
      <c r="A8" s="5"/>
      <c r="B8" s="7"/>
      <c r="C8" s="8" t="s">
        <v>47</v>
      </c>
      <c r="D8" s="16" t="s">
        <v>91</v>
      </c>
      <c r="E8" s="9"/>
      <c r="F8" s="9"/>
      <c r="G8" s="9"/>
      <c r="H8" s="9"/>
      <c r="I8" s="9"/>
      <c r="J8" s="9"/>
      <c r="K8" s="5"/>
    </row>
    <row r="9" spans="1:12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2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2" x14ac:dyDescent="0.25">
      <c r="A11" s="5"/>
      <c r="B11" s="14"/>
      <c r="C11" s="14"/>
      <c r="D11" s="22"/>
      <c r="E11" s="12"/>
      <c r="F11" s="12"/>
      <c r="G11" s="11"/>
      <c r="H11" s="12">
        <v>-5</v>
      </c>
      <c r="I11" s="10"/>
      <c r="J11" s="10"/>
      <c r="K11" s="5"/>
    </row>
    <row r="12" spans="1:12" x14ac:dyDescent="0.25">
      <c r="A12" s="5"/>
      <c r="B12" s="14">
        <v>250730</v>
      </c>
      <c r="C12" s="14">
        <v>1828</v>
      </c>
      <c r="D12" s="22">
        <v>45860</v>
      </c>
      <c r="E12" s="12">
        <v>76560</v>
      </c>
      <c r="F12" s="12">
        <v>43000</v>
      </c>
      <c r="G12" s="11">
        <v>45860</v>
      </c>
      <c r="H12" s="12">
        <f>+H11+E12-F12</f>
        <v>33555</v>
      </c>
      <c r="I12" s="10"/>
      <c r="J12" s="10"/>
      <c r="K12" s="5" t="s">
        <v>136</v>
      </c>
    </row>
    <row r="13" spans="1:12" x14ac:dyDescent="0.25">
      <c r="A13" s="5"/>
      <c r="B13" s="14"/>
      <c r="C13" s="14"/>
      <c r="D13" s="22"/>
      <c r="E13" s="12"/>
      <c r="F13" s="12">
        <v>33560</v>
      </c>
      <c r="G13" s="11">
        <v>45860</v>
      </c>
      <c r="H13" s="12">
        <f t="shared" ref="H13:H32" si="0">+H12+E13-F13</f>
        <v>-5</v>
      </c>
      <c r="I13" s="10"/>
      <c r="J13" s="10"/>
      <c r="K13" s="5" t="s">
        <v>135</v>
      </c>
      <c r="L13" s="49">
        <f>SUM(F12:F13)</f>
        <v>76560</v>
      </c>
    </row>
    <row r="14" spans="1:12" x14ac:dyDescent="0.25">
      <c r="A14" s="5"/>
      <c r="B14" s="14">
        <v>250813</v>
      </c>
      <c r="C14" s="14">
        <v>1853</v>
      </c>
      <c r="D14" s="22">
        <v>45887</v>
      </c>
      <c r="E14" s="12">
        <v>41323</v>
      </c>
      <c r="F14" s="12">
        <v>30000</v>
      </c>
      <c r="G14" s="11">
        <v>45883</v>
      </c>
      <c r="H14" s="12">
        <f t="shared" si="0"/>
        <v>11318</v>
      </c>
      <c r="I14" s="10"/>
      <c r="J14" s="10" t="s">
        <v>220</v>
      </c>
      <c r="K14" s="5" t="s">
        <v>136</v>
      </c>
    </row>
    <row r="15" spans="1:12" ht="16.5" thickBot="1" x14ac:dyDescent="0.3">
      <c r="A15" s="5"/>
      <c r="B15" s="83"/>
      <c r="C15" s="83"/>
      <c r="D15" s="84"/>
      <c r="E15" s="85"/>
      <c r="F15" s="85">
        <v>11323</v>
      </c>
      <c r="G15" s="86">
        <v>45888</v>
      </c>
      <c r="H15" s="85">
        <f t="shared" si="0"/>
        <v>-5</v>
      </c>
      <c r="I15" s="87"/>
      <c r="J15" s="87" t="s">
        <v>221</v>
      </c>
      <c r="K15" s="5" t="s">
        <v>136</v>
      </c>
      <c r="L15" s="49">
        <f>SUM(F14:F15)</f>
        <v>41323</v>
      </c>
    </row>
    <row r="16" spans="1:12" ht="16.5" thickTop="1" x14ac:dyDescent="0.25">
      <c r="A16" s="5"/>
      <c r="B16" s="118"/>
      <c r="C16" s="118"/>
      <c r="D16" s="117"/>
      <c r="E16" s="80"/>
      <c r="F16" s="80"/>
      <c r="G16" s="81"/>
      <c r="H16" s="80">
        <f t="shared" si="0"/>
        <v>-5</v>
      </c>
      <c r="I16" s="82"/>
      <c r="J16" s="82"/>
      <c r="K16" s="5"/>
    </row>
    <row r="17" spans="1:13" x14ac:dyDescent="0.25">
      <c r="A17" s="5"/>
      <c r="B17" s="14"/>
      <c r="C17" s="14"/>
      <c r="D17" s="22"/>
      <c r="E17" s="12"/>
      <c r="F17" s="12"/>
      <c r="G17" s="11"/>
      <c r="H17" s="12">
        <f t="shared" si="0"/>
        <v>-5</v>
      </c>
      <c r="I17" s="10"/>
      <c r="J17" s="10"/>
      <c r="K17" s="5"/>
    </row>
    <row r="18" spans="1:13" x14ac:dyDescent="0.25">
      <c r="A18" s="5"/>
      <c r="B18" s="14"/>
      <c r="C18" s="14"/>
      <c r="D18" s="22"/>
      <c r="E18" s="12"/>
      <c r="F18" s="12"/>
      <c r="G18" s="11"/>
      <c r="H18" s="12">
        <f t="shared" si="0"/>
        <v>-5</v>
      </c>
      <c r="I18" s="10"/>
      <c r="J18" s="10"/>
      <c r="K18" s="5"/>
    </row>
    <row r="19" spans="1:13" x14ac:dyDescent="0.25">
      <c r="A19" s="5"/>
      <c r="B19" s="14"/>
      <c r="C19" s="14"/>
      <c r="D19" s="22"/>
      <c r="E19" s="12"/>
      <c r="F19" s="12"/>
      <c r="G19" s="11"/>
      <c r="H19" s="12">
        <f t="shared" si="0"/>
        <v>-5</v>
      </c>
      <c r="I19" s="10"/>
      <c r="J19" s="10"/>
      <c r="K19" s="5"/>
    </row>
    <row r="20" spans="1:13" x14ac:dyDescent="0.25">
      <c r="A20" s="5"/>
      <c r="B20" s="14"/>
      <c r="C20" s="14"/>
      <c r="D20" s="22"/>
      <c r="E20" s="12"/>
      <c r="F20" s="12"/>
      <c r="G20" s="11"/>
      <c r="H20" s="12">
        <f>+H19+E20-F20</f>
        <v>-5</v>
      </c>
      <c r="I20" s="10"/>
      <c r="J20" s="10"/>
      <c r="K20" s="5"/>
    </row>
    <row r="21" spans="1:13" x14ac:dyDescent="0.25">
      <c r="A21" s="5"/>
      <c r="B21" s="14"/>
      <c r="C21" s="14"/>
      <c r="D21" s="22"/>
      <c r="E21" s="12"/>
      <c r="F21" s="12"/>
      <c r="G21" s="11"/>
      <c r="H21" s="12">
        <f>+H20+E21-F21</f>
        <v>-5</v>
      </c>
      <c r="I21" s="10"/>
      <c r="J21" s="10"/>
      <c r="K21" s="5"/>
    </row>
    <row r="22" spans="1:13" x14ac:dyDescent="0.25">
      <c r="A22" s="5"/>
      <c r="B22" s="14"/>
      <c r="C22" s="14"/>
      <c r="D22" s="22"/>
      <c r="E22" s="12"/>
      <c r="F22" s="12"/>
      <c r="G22" s="11"/>
      <c r="H22" s="12">
        <f>+H21+E22-F22</f>
        <v>-5</v>
      </c>
      <c r="I22" s="10"/>
      <c r="J22" s="10"/>
      <c r="K22" s="5"/>
      <c r="M22" s="49"/>
    </row>
    <row r="23" spans="1:13" x14ac:dyDescent="0.25">
      <c r="A23" s="5"/>
      <c r="B23" s="14"/>
      <c r="C23" s="14"/>
      <c r="D23" s="22"/>
      <c r="E23" s="12"/>
      <c r="F23" s="12"/>
      <c r="G23" s="11"/>
      <c r="H23" s="12">
        <f t="shared" si="0"/>
        <v>-5</v>
      </c>
      <c r="I23" s="10"/>
      <c r="J23" s="10"/>
      <c r="K23" s="5"/>
    </row>
    <row r="24" spans="1:13" x14ac:dyDescent="0.25">
      <c r="A24" s="5"/>
      <c r="B24" s="14"/>
      <c r="C24" s="14"/>
      <c r="D24" s="22"/>
      <c r="E24" s="12"/>
      <c r="F24" s="12"/>
      <c r="G24" s="11"/>
      <c r="H24" s="12">
        <f t="shared" si="0"/>
        <v>-5</v>
      </c>
      <c r="I24" s="10"/>
      <c r="J24" s="10"/>
      <c r="K24" s="5"/>
    </row>
    <row r="25" spans="1:13" x14ac:dyDescent="0.25">
      <c r="A25" s="5"/>
      <c r="B25" s="14"/>
      <c r="C25" s="14"/>
      <c r="D25" s="22"/>
      <c r="E25" s="12"/>
      <c r="F25" s="12"/>
      <c r="G25" s="11"/>
      <c r="H25" s="12">
        <f t="shared" si="0"/>
        <v>-5</v>
      </c>
      <c r="I25" s="10"/>
      <c r="J25" s="10"/>
      <c r="K25" s="5"/>
      <c r="M25" s="49"/>
    </row>
    <row r="26" spans="1:13" x14ac:dyDescent="0.25">
      <c r="A26" s="5"/>
      <c r="B26" s="14"/>
      <c r="C26" s="14"/>
      <c r="D26" s="22"/>
      <c r="E26" s="12"/>
      <c r="F26" s="12"/>
      <c r="G26" s="11"/>
      <c r="H26" s="12">
        <f t="shared" si="0"/>
        <v>-5</v>
      </c>
      <c r="I26" s="10"/>
      <c r="J26" s="10"/>
      <c r="K26" s="5"/>
    </row>
    <row r="27" spans="1:13" x14ac:dyDescent="0.25">
      <c r="A27" s="5"/>
      <c r="B27" s="14"/>
      <c r="C27" s="14"/>
      <c r="D27" s="22"/>
      <c r="E27" s="12"/>
      <c r="F27" s="12"/>
      <c r="G27" s="11"/>
      <c r="H27" s="12">
        <f t="shared" si="0"/>
        <v>-5</v>
      </c>
      <c r="I27" s="10"/>
      <c r="J27" s="10"/>
      <c r="K27" s="5"/>
    </row>
    <row r="28" spans="1:13" x14ac:dyDescent="0.25">
      <c r="A28" s="5"/>
      <c r="B28" s="14"/>
      <c r="C28" s="14"/>
      <c r="D28" s="22"/>
      <c r="E28" s="12"/>
      <c r="F28" s="12"/>
      <c r="G28" s="11"/>
      <c r="H28" s="12">
        <f t="shared" si="0"/>
        <v>-5</v>
      </c>
      <c r="I28" s="10"/>
      <c r="J28" s="10"/>
      <c r="K28" s="5"/>
    </row>
    <row r="29" spans="1:13" x14ac:dyDescent="0.25">
      <c r="A29" s="5"/>
      <c r="B29" s="14"/>
      <c r="C29" s="14"/>
      <c r="D29" s="22"/>
      <c r="E29" s="12"/>
      <c r="F29" s="12"/>
      <c r="G29" s="11"/>
      <c r="H29" s="12">
        <f t="shared" si="0"/>
        <v>-5</v>
      </c>
      <c r="I29" s="10"/>
      <c r="J29" s="10"/>
      <c r="K29" s="5"/>
    </row>
    <row r="30" spans="1:13" x14ac:dyDescent="0.25">
      <c r="A30" s="5"/>
      <c r="B30" s="14"/>
      <c r="C30" s="14"/>
      <c r="D30" s="22"/>
      <c r="E30" s="12"/>
      <c r="F30" s="12"/>
      <c r="G30" s="11"/>
      <c r="H30" s="12">
        <f t="shared" si="0"/>
        <v>-5</v>
      </c>
      <c r="I30" s="10"/>
      <c r="J30" s="10"/>
      <c r="K30" s="5"/>
    </row>
    <row r="31" spans="1:13" x14ac:dyDescent="0.25">
      <c r="A31" s="5"/>
      <c r="B31" s="23"/>
      <c r="C31" s="23"/>
      <c r="D31" s="24"/>
      <c r="E31" s="19"/>
      <c r="F31" s="12"/>
      <c r="G31" s="11"/>
      <c r="H31" s="12">
        <f t="shared" si="0"/>
        <v>-5</v>
      </c>
      <c r="I31" s="10"/>
      <c r="J31" s="10"/>
      <c r="K31" s="5"/>
    </row>
    <row r="32" spans="1:13" ht="16.5" thickBot="1" x14ac:dyDescent="0.3">
      <c r="A32" s="5"/>
      <c r="B32" s="23"/>
      <c r="C32" s="23"/>
      <c r="D32" s="24"/>
      <c r="E32" s="19"/>
      <c r="F32" s="12"/>
      <c r="G32" s="11"/>
      <c r="H32" s="27">
        <f t="shared" si="0"/>
        <v>-5</v>
      </c>
      <c r="I32" s="10"/>
      <c r="J32" s="10"/>
      <c r="K32" s="5"/>
    </row>
    <row r="33" spans="1:11" ht="17.25" thickTop="1" thickBot="1" x14ac:dyDescent="0.3">
      <c r="A33" s="5"/>
      <c r="B33" s="268" t="s">
        <v>55</v>
      </c>
      <c r="C33" s="268"/>
      <c r="D33" s="268"/>
      <c r="E33" s="20">
        <f>SUM(E11:E32)</f>
        <v>117883</v>
      </c>
      <c r="F33" s="25">
        <f>SUM(F11:F32)</f>
        <v>117883</v>
      </c>
      <c r="G33" s="5"/>
      <c r="H33" s="5"/>
      <c r="I33" s="5"/>
      <c r="J33" s="5"/>
      <c r="K33" s="5"/>
    </row>
    <row r="34" spans="1:11" ht="16.5" thickBot="1" x14ac:dyDescent="0.3">
      <c r="A34" s="5"/>
      <c r="B34" s="5"/>
      <c r="C34" s="5"/>
      <c r="D34" s="5"/>
      <c r="E34" s="5"/>
      <c r="F34" s="26">
        <f>+E33-F33</f>
        <v>0</v>
      </c>
      <c r="G34" s="5"/>
      <c r="H34" s="5"/>
      <c r="I34" s="5"/>
      <c r="J34" s="5"/>
      <c r="K34" s="5"/>
    </row>
    <row r="35" spans="1:11" x14ac:dyDescent="0.25">
      <c r="A35" s="5"/>
      <c r="B35" s="5"/>
      <c r="C35" s="5"/>
      <c r="D35" s="5"/>
      <c r="E35" s="5"/>
      <c r="F35" s="5"/>
      <c r="G35" s="5"/>
      <c r="H35" s="16"/>
      <c r="I35" s="16"/>
      <c r="J35" s="5"/>
      <c r="K35" s="5"/>
    </row>
    <row r="36" spans="1:11" x14ac:dyDescent="0.25">
      <c r="A36" s="5"/>
      <c r="B36" s="5"/>
      <c r="C36" s="5"/>
      <c r="D36" s="5"/>
      <c r="E36" s="5"/>
      <c r="F36" s="5"/>
      <c r="G36" s="5"/>
      <c r="H36" s="16"/>
      <c r="I36" s="5"/>
      <c r="J36" s="5"/>
      <c r="K36" s="5"/>
    </row>
  </sheetData>
  <mergeCells count="3">
    <mergeCell ref="B2:J2"/>
    <mergeCell ref="B3:J3"/>
    <mergeCell ref="B33:D3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56"/>
  <dimension ref="A1:L41"/>
  <sheetViews>
    <sheetView workbookViewId="0">
      <selection activeCell="J12" sqref="J12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customWidth="1"/>
    <col min="10" max="10" width="27.85546875" style="1" customWidth="1"/>
    <col min="11" max="11" width="5" style="1" customWidth="1"/>
    <col min="12" max="12" width="12.42578125" style="1" bestFit="1" customWidth="1"/>
    <col min="13" max="16384" width="11.42578125" style="1"/>
  </cols>
  <sheetData>
    <row r="1" spans="1:12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2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2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2" x14ac:dyDescent="0.25">
      <c r="A5" s="5"/>
      <c r="B5" s="7"/>
      <c r="C5" s="8" t="s">
        <v>49</v>
      </c>
      <c r="D5" s="5" t="s">
        <v>132</v>
      </c>
      <c r="E5" s="9"/>
      <c r="F5" s="9"/>
      <c r="G5" s="9"/>
      <c r="H5" s="9"/>
      <c r="I5" s="9"/>
      <c r="J5" s="9"/>
      <c r="K5" s="5"/>
    </row>
    <row r="6" spans="1:12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2" x14ac:dyDescent="0.25">
      <c r="A7" s="5"/>
      <c r="B7" s="7"/>
      <c r="C7" s="8" t="s">
        <v>48</v>
      </c>
      <c r="D7" s="5" t="s">
        <v>16</v>
      </c>
      <c r="E7" s="9"/>
      <c r="F7" s="9"/>
      <c r="G7" s="9"/>
      <c r="H7" s="9"/>
      <c r="I7" s="9"/>
      <c r="J7" s="9"/>
      <c r="K7" s="5"/>
    </row>
    <row r="8" spans="1:12" x14ac:dyDescent="0.25">
      <c r="A8" s="5"/>
      <c r="B8" s="7"/>
      <c r="C8" s="8" t="s">
        <v>47</v>
      </c>
      <c r="D8" s="16" t="s">
        <v>120</v>
      </c>
      <c r="E8" s="9"/>
      <c r="F8" s="9"/>
      <c r="G8" s="9"/>
      <c r="H8" s="9"/>
      <c r="I8" s="9"/>
      <c r="J8" s="9"/>
      <c r="K8" s="5"/>
    </row>
    <row r="9" spans="1:12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2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2" ht="18" customHeight="1" x14ac:dyDescent="0.25">
      <c r="A11" s="5"/>
      <c r="B11" s="297" t="s">
        <v>171</v>
      </c>
      <c r="C11" s="298"/>
      <c r="D11" s="298"/>
      <c r="E11" s="299"/>
      <c r="F11" s="12">
        <v>49000</v>
      </c>
      <c r="G11" s="96">
        <v>45726</v>
      </c>
      <c r="H11" s="12">
        <v>-49000</v>
      </c>
      <c r="I11" s="10"/>
      <c r="J11" s="10"/>
      <c r="K11" s="5"/>
    </row>
    <row r="12" spans="1:12" ht="18" customHeight="1" thickBot="1" x14ac:dyDescent="0.3">
      <c r="A12" s="5"/>
      <c r="B12" s="83">
        <v>250408</v>
      </c>
      <c r="C12" s="83">
        <v>1701</v>
      </c>
      <c r="D12" s="84">
        <v>45756</v>
      </c>
      <c r="E12" s="85">
        <v>67522</v>
      </c>
      <c r="F12" s="85">
        <v>18522</v>
      </c>
      <c r="G12" s="86">
        <v>45756</v>
      </c>
      <c r="H12" s="85">
        <f>+H11+E12-F12</f>
        <v>0</v>
      </c>
      <c r="I12" s="87"/>
      <c r="J12" s="87" t="s">
        <v>176</v>
      </c>
      <c r="K12" s="5" t="s">
        <v>135</v>
      </c>
      <c r="L12" s="49">
        <f>+F12</f>
        <v>18522</v>
      </c>
    </row>
    <row r="13" spans="1:12" ht="18" customHeight="1" thickTop="1" x14ac:dyDescent="0.25">
      <c r="A13" s="5"/>
      <c r="B13" s="118"/>
      <c r="C13" s="118"/>
      <c r="D13" s="117"/>
      <c r="E13" s="80"/>
      <c r="F13" s="80"/>
      <c r="G13" s="81"/>
      <c r="H13" s="80">
        <f t="shared" ref="H13:H37" si="0">+H12+E13-F13</f>
        <v>0</v>
      </c>
      <c r="I13" s="82"/>
      <c r="J13" s="82"/>
      <c r="K13" s="5"/>
      <c r="L13" s="49"/>
    </row>
    <row r="14" spans="1:12" ht="18" customHeight="1" x14ac:dyDescent="0.25">
      <c r="A14" s="5"/>
      <c r="B14" s="14"/>
      <c r="C14" s="14"/>
      <c r="D14" s="22"/>
      <c r="E14" s="12"/>
      <c r="F14" s="12"/>
      <c r="G14" s="11"/>
      <c r="H14" s="12">
        <f>+H13+E14-F14</f>
        <v>0</v>
      </c>
      <c r="I14" s="10"/>
      <c r="J14" s="10"/>
      <c r="K14" s="5"/>
    </row>
    <row r="15" spans="1:12" x14ac:dyDescent="0.25">
      <c r="A15" s="5"/>
      <c r="B15" s="14"/>
      <c r="C15" s="14"/>
      <c r="D15" s="22"/>
      <c r="E15" s="12"/>
      <c r="F15" s="12"/>
      <c r="G15" s="11"/>
      <c r="H15" s="12">
        <f>+H14+E15-F15</f>
        <v>0</v>
      </c>
      <c r="I15" s="10"/>
      <c r="J15" s="10"/>
      <c r="K15" s="5"/>
    </row>
    <row r="16" spans="1:12" x14ac:dyDescent="0.25">
      <c r="A16" s="5"/>
      <c r="B16" s="14"/>
      <c r="C16" s="14"/>
      <c r="D16" s="22"/>
      <c r="E16" s="12"/>
      <c r="F16" s="12"/>
      <c r="G16" s="11"/>
      <c r="H16" s="12">
        <f t="shared" si="0"/>
        <v>0</v>
      </c>
      <c r="I16" s="10"/>
      <c r="J16" s="10"/>
      <c r="K16" s="5"/>
    </row>
    <row r="17" spans="1:12" x14ac:dyDescent="0.25">
      <c r="A17" s="5"/>
      <c r="B17" s="14"/>
      <c r="C17" s="14"/>
      <c r="D17" s="22"/>
      <c r="E17" s="12"/>
      <c r="F17" s="12"/>
      <c r="G17" s="11"/>
      <c r="H17" s="12">
        <f t="shared" si="0"/>
        <v>0</v>
      </c>
      <c r="I17" s="10"/>
      <c r="J17" s="10"/>
      <c r="K17" s="5"/>
    </row>
    <row r="18" spans="1:12" x14ac:dyDescent="0.25">
      <c r="A18" s="5"/>
      <c r="B18" s="14"/>
      <c r="C18" s="14"/>
      <c r="D18" s="22"/>
      <c r="E18" s="12"/>
      <c r="F18" s="12"/>
      <c r="G18" s="11"/>
      <c r="H18" s="12">
        <f t="shared" si="0"/>
        <v>0</v>
      </c>
      <c r="I18" s="10"/>
      <c r="J18" s="10"/>
      <c r="K18" s="5"/>
    </row>
    <row r="19" spans="1:12" x14ac:dyDescent="0.25">
      <c r="A19" s="5"/>
      <c r="B19" s="14"/>
      <c r="C19" s="14"/>
      <c r="D19" s="22"/>
      <c r="E19" s="12"/>
      <c r="F19" s="12"/>
      <c r="G19" s="11"/>
      <c r="H19" s="12">
        <f t="shared" si="0"/>
        <v>0</v>
      </c>
      <c r="I19" s="10"/>
      <c r="J19" s="10"/>
      <c r="K19" s="5"/>
    </row>
    <row r="20" spans="1:12" x14ac:dyDescent="0.25">
      <c r="A20" s="5"/>
      <c r="B20" s="14"/>
      <c r="C20" s="14"/>
      <c r="D20" s="22"/>
      <c r="E20" s="12"/>
      <c r="F20" s="12"/>
      <c r="G20" s="11"/>
      <c r="H20" s="12">
        <f>+H19+E20-F20</f>
        <v>0</v>
      </c>
      <c r="I20" s="10"/>
      <c r="J20" s="10"/>
      <c r="K20" s="5"/>
    </row>
    <row r="21" spans="1:12" x14ac:dyDescent="0.25">
      <c r="A21" s="5"/>
      <c r="B21" s="14"/>
      <c r="C21" s="14"/>
      <c r="D21" s="22"/>
      <c r="E21" s="12"/>
      <c r="F21" s="12"/>
      <c r="G21" s="11"/>
      <c r="H21" s="12">
        <f>+H20+E21-F21</f>
        <v>0</v>
      </c>
      <c r="I21" s="10"/>
      <c r="J21" s="10"/>
      <c r="K21" s="5"/>
    </row>
    <row r="22" spans="1:12" x14ac:dyDescent="0.25">
      <c r="A22" s="5"/>
      <c r="B22" s="14"/>
      <c r="C22" s="14"/>
      <c r="D22" s="22"/>
      <c r="E22" s="12"/>
      <c r="F22" s="12"/>
      <c r="G22" s="11"/>
      <c r="H22" s="12">
        <f>+H21+E22-F22</f>
        <v>0</v>
      </c>
      <c r="I22" s="10"/>
      <c r="J22" s="10"/>
      <c r="K22" s="5"/>
    </row>
    <row r="23" spans="1:12" x14ac:dyDescent="0.25">
      <c r="A23" s="5"/>
      <c r="B23" s="14"/>
      <c r="C23" s="14"/>
      <c r="D23" s="22"/>
      <c r="E23" s="12"/>
      <c r="F23" s="12"/>
      <c r="G23" s="11"/>
      <c r="H23" s="12">
        <f t="shared" si="0"/>
        <v>0</v>
      </c>
      <c r="I23" s="10"/>
      <c r="J23" s="10"/>
      <c r="K23" s="5"/>
      <c r="L23" s="49"/>
    </row>
    <row r="24" spans="1:12" x14ac:dyDescent="0.25">
      <c r="A24" s="5"/>
      <c r="B24" s="14"/>
      <c r="C24" s="14"/>
      <c r="D24" s="22"/>
      <c r="E24" s="12"/>
      <c r="F24" s="12"/>
      <c r="G24" s="11"/>
      <c r="H24" s="12">
        <f t="shared" si="0"/>
        <v>0</v>
      </c>
      <c r="I24" s="10"/>
      <c r="J24" s="10"/>
      <c r="K24" s="5"/>
      <c r="L24" s="49"/>
    </row>
    <row r="25" spans="1:12" x14ac:dyDescent="0.25">
      <c r="A25" s="5"/>
      <c r="B25" s="14"/>
      <c r="C25" s="14"/>
      <c r="D25" s="22"/>
      <c r="E25" s="12"/>
      <c r="F25" s="12"/>
      <c r="G25" s="11"/>
      <c r="H25" s="12">
        <f t="shared" si="0"/>
        <v>0</v>
      </c>
      <c r="I25" s="10"/>
      <c r="J25" s="10"/>
      <c r="K25" s="5"/>
    </row>
    <row r="26" spans="1:12" x14ac:dyDescent="0.25">
      <c r="A26" s="5"/>
      <c r="B26" s="14"/>
      <c r="C26" s="14"/>
      <c r="D26" s="22"/>
      <c r="E26" s="12"/>
      <c r="F26" s="12"/>
      <c r="G26" s="11"/>
      <c r="H26" s="12">
        <f t="shared" si="0"/>
        <v>0</v>
      </c>
      <c r="I26" s="10"/>
      <c r="J26" s="10"/>
      <c r="K26" s="5"/>
      <c r="L26" s="49"/>
    </row>
    <row r="27" spans="1:12" x14ac:dyDescent="0.25">
      <c r="A27" s="5"/>
      <c r="B27" s="14"/>
      <c r="C27" s="14"/>
      <c r="D27" s="22"/>
      <c r="E27" s="12"/>
      <c r="F27" s="12"/>
      <c r="G27" s="11"/>
      <c r="H27" s="12">
        <f t="shared" si="0"/>
        <v>0</v>
      </c>
      <c r="I27" s="10"/>
      <c r="J27" s="10"/>
      <c r="K27" s="5"/>
    </row>
    <row r="28" spans="1:12" x14ac:dyDescent="0.25">
      <c r="A28" s="5"/>
      <c r="B28" s="14"/>
      <c r="C28" s="14"/>
      <c r="D28" s="22"/>
      <c r="E28" s="12"/>
      <c r="F28" s="12"/>
      <c r="G28" s="11"/>
      <c r="H28" s="12">
        <f t="shared" si="0"/>
        <v>0</v>
      </c>
      <c r="I28" s="10"/>
      <c r="J28" s="10"/>
      <c r="K28" s="5"/>
    </row>
    <row r="29" spans="1:12" x14ac:dyDescent="0.25">
      <c r="A29" s="5"/>
      <c r="B29" s="14"/>
      <c r="C29" s="14"/>
      <c r="D29" s="22"/>
      <c r="E29" s="12"/>
      <c r="F29" s="12"/>
      <c r="G29" s="11"/>
      <c r="H29" s="12">
        <f t="shared" si="0"/>
        <v>0</v>
      </c>
      <c r="I29" s="10"/>
      <c r="J29" s="10"/>
      <c r="K29" s="5"/>
    </row>
    <row r="30" spans="1:12" x14ac:dyDescent="0.25">
      <c r="A30" s="5"/>
      <c r="B30" s="14"/>
      <c r="C30" s="14"/>
      <c r="D30" s="22"/>
      <c r="E30" s="12"/>
      <c r="F30" s="12"/>
      <c r="G30" s="11"/>
      <c r="H30" s="12">
        <f t="shared" si="0"/>
        <v>0</v>
      </c>
      <c r="I30" s="10"/>
      <c r="J30" s="10"/>
      <c r="K30" s="5"/>
      <c r="L30" s="49"/>
    </row>
    <row r="31" spans="1:12" x14ac:dyDescent="0.25">
      <c r="A31" s="5"/>
      <c r="B31" s="14"/>
      <c r="C31" s="14"/>
      <c r="D31" s="22"/>
      <c r="E31" s="12"/>
      <c r="F31" s="12"/>
      <c r="G31" s="11"/>
      <c r="H31" s="12">
        <f t="shared" si="0"/>
        <v>0</v>
      </c>
      <c r="I31" s="10"/>
      <c r="J31" s="10"/>
      <c r="K31" s="5"/>
    </row>
    <row r="32" spans="1:12" x14ac:dyDescent="0.25">
      <c r="A32" s="5"/>
      <c r="B32" s="14"/>
      <c r="C32" s="14"/>
      <c r="D32" s="22"/>
      <c r="E32" s="12"/>
      <c r="F32" s="12"/>
      <c r="G32" s="11"/>
      <c r="H32" s="12">
        <f t="shared" si="0"/>
        <v>0</v>
      </c>
      <c r="I32" s="10"/>
      <c r="J32" s="10"/>
      <c r="K32" s="5"/>
      <c r="L32" s="49"/>
    </row>
    <row r="33" spans="1:12" x14ac:dyDescent="0.25">
      <c r="A33" s="5"/>
      <c r="B33" s="14"/>
      <c r="C33" s="14"/>
      <c r="D33" s="22"/>
      <c r="E33" s="12"/>
      <c r="F33" s="12"/>
      <c r="G33" s="11"/>
      <c r="H33" s="12">
        <f t="shared" si="0"/>
        <v>0</v>
      </c>
      <c r="I33" s="10"/>
      <c r="J33" s="10"/>
      <c r="K33" s="5"/>
      <c r="L33" s="49"/>
    </row>
    <row r="34" spans="1:12" x14ac:dyDescent="0.25">
      <c r="A34" s="5"/>
      <c r="B34" s="14"/>
      <c r="C34" s="14"/>
      <c r="D34" s="22"/>
      <c r="E34" s="12"/>
      <c r="F34" s="12"/>
      <c r="G34" s="11"/>
      <c r="H34" s="12">
        <f t="shared" si="0"/>
        <v>0</v>
      </c>
      <c r="I34" s="10"/>
      <c r="J34" s="10"/>
      <c r="K34" s="5"/>
    </row>
    <row r="35" spans="1:12" x14ac:dyDescent="0.25">
      <c r="A35" s="5"/>
      <c r="B35" s="14"/>
      <c r="C35" s="14"/>
      <c r="D35" s="22"/>
      <c r="E35" s="12"/>
      <c r="F35" s="12"/>
      <c r="G35" s="11"/>
      <c r="H35" s="12">
        <f t="shared" si="0"/>
        <v>0</v>
      </c>
      <c r="I35" s="10"/>
      <c r="J35" s="10"/>
      <c r="K35" s="5"/>
    </row>
    <row r="36" spans="1:12" x14ac:dyDescent="0.25">
      <c r="A36" s="5"/>
      <c r="B36" s="23"/>
      <c r="C36" s="23"/>
      <c r="D36" s="24"/>
      <c r="E36" s="19"/>
      <c r="F36" s="12"/>
      <c r="G36" s="11"/>
      <c r="H36" s="12">
        <f t="shared" si="0"/>
        <v>0</v>
      </c>
      <c r="I36" s="10"/>
      <c r="J36" s="10"/>
      <c r="K36" s="5"/>
    </row>
    <row r="37" spans="1:12" ht="16.5" thickBot="1" x14ac:dyDescent="0.3">
      <c r="A37" s="5"/>
      <c r="B37" s="23"/>
      <c r="C37" s="23"/>
      <c r="D37" s="24"/>
      <c r="E37" s="19"/>
      <c r="F37" s="12"/>
      <c r="G37" s="11"/>
      <c r="H37" s="27">
        <f t="shared" si="0"/>
        <v>0</v>
      </c>
      <c r="I37" s="10"/>
      <c r="J37" s="10"/>
      <c r="K37" s="5"/>
    </row>
    <row r="38" spans="1:12" ht="17.25" thickTop="1" thickBot="1" x14ac:dyDescent="0.3">
      <c r="A38" s="5"/>
      <c r="B38" s="268" t="s">
        <v>55</v>
      </c>
      <c r="C38" s="268"/>
      <c r="D38" s="268"/>
      <c r="E38" s="20">
        <f>SUM(E11:E37)</f>
        <v>67522</v>
      </c>
      <c r="F38" s="25">
        <f>SUM(F11:F37)</f>
        <v>67522</v>
      </c>
      <c r="G38" s="5"/>
      <c r="H38" s="5"/>
      <c r="I38" s="5"/>
      <c r="J38" s="5"/>
      <c r="K38" s="5"/>
    </row>
    <row r="39" spans="1:12" ht="16.5" thickBot="1" x14ac:dyDescent="0.3">
      <c r="A39" s="5"/>
      <c r="B39" s="5"/>
      <c r="C39" s="5"/>
      <c r="D39" s="5"/>
      <c r="E39" s="5"/>
      <c r="F39" s="26">
        <f>+E38-F38</f>
        <v>0</v>
      </c>
      <c r="G39" s="5"/>
      <c r="H39" s="5"/>
      <c r="I39" s="5"/>
      <c r="J39" s="5"/>
      <c r="K39" s="5"/>
    </row>
    <row r="40" spans="1:12" x14ac:dyDescent="0.25">
      <c r="A40" s="5"/>
      <c r="B40" s="5"/>
      <c r="C40" s="5"/>
      <c r="D40" s="5"/>
      <c r="E40" s="5"/>
      <c r="F40" s="5"/>
      <c r="G40" s="5"/>
      <c r="H40" s="16"/>
      <c r="I40" s="16"/>
      <c r="J40" s="5"/>
      <c r="K40" s="5"/>
    </row>
    <row r="41" spans="1:12" x14ac:dyDescent="0.25">
      <c r="A41" s="5"/>
      <c r="B41" s="5"/>
      <c r="C41" s="5"/>
      <c r="D41" s="5"/>
      <c r="E41" s="5"/>
      <c r="F41" s="5"/>
      <c r="G41" s="5"/>
      <c r="H41" s="16"/>
      <c r="I41" s="5"/>
      <c r="J41" s="5"/>
      <c r="K41" s="5"/>
    </row>
  </sheetData>
  <mergeCells count="4">
    <mergeCell ref="B2:J2"/>
    <mergeCell ref="B3:J3"/>
    <mergeCell ref="B38:D38"/>
    <mergeCell ref="B11:E1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Hoja57"/>
  <dimension ref="A1:M30"/>
  <sheetViews>
    <sheetView workbookViewId="0">
      <selection activeCell="B4" sqref="B4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customWidth="1"/>
    <col min="10" max="10" width="27.85546875" style="1" customWidth="1"/>
    <col min="11" max="11" width="5" style="1" customWidth="1"/>
    <col min="12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3" x14ac:dyDescent="0.25">
      <c r="A5" s="5"/>
      <c r="B5" s="7"/>
      <c r="C5" s="8" t="s">
        <v>49</v>
      </c>
      <c r="D5" s="5" t="s">
        <v>144</v>
      </c>
      <c r="E5" s="9"/>
      <c r="F5" s="9"/>
      <c r="G5" s="9"/>
      <c r="H5" s="9"/>
      <c r="I5" s="9"/>
      <c r="J5" s="9"/>
      <c r="K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3" x14ac:dyDescent="0.25">
      <c r="A7" s="5"/>
      <c r="B7" s="7"/>
      <c r="C7" s="8" t="s">
        <v>48</v>
      </c>
      <c r="D7" s="5" t="s">
        <v>145</v>
      </c>
      <c r="E7" s="9"/>
      <c r="F7" s="9"/>
      <c r="G7" s="9"/>
      <c r="H7" s="9"/>
      <c r="I7" s="9"/>
      <c r="J7" s="9"/>
      <c r="K7" s="5"/>
    </row>
    <row r="8" spans="1:13" x14ac:dyDescent="0.25">
      <c r="A8" s="5"/>
      <c r="B8" s="7"/>
      <c r="C8" s="8" t="s">
        <v>47</v>
      </c>
      <c r="D8" s="16" t="s">
        <v>120</v>
      </c>
      <c r="E8" s="9"/>
      <c r="F8" s="9"/>
      <c r="G8" s="9"/>
      <c r="H8" s="9"/>
      <c r="I8" s="9"/>
      <c r="J8" s="9"/>
      <c r="K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3" s="2" customFormat="1" ht="42" customHeight="1" x14ac:dyDescent="0.25">
      <c r="A10" s="6"/>
      <c r="B10" s="163" t="s">
        <v>0</v>
      </c>
      <c r="C10" s="163" t="s">
        <v>38</v>
      </c>
      <c r="D10" s="163" t="s">
        <v>43</v>
      </c>
      <c r="E10" s="163" t="s">
        <v>44</v>
      </c>
      <c r="F10" s="164" t="s">
        <v>36</v>
      </c>
      <c r="G10" s="164" t="s">
        <v>37</v>
      </c>
      <c r="H10" s="163" t="s">
        <v>46</v>
      </c>
      <c r="I10" s="163" t="s">
        <v>3</v>
      </c>
      <c r="J10" s="163" t="s">
        <v>4</v>
      </c>
      <c r="K10" s="6"/>
    </row>
    <row r="11" spans="1:13" ht="18" customHeight="1" x14ac:dyDescent="0.25">
      <c r="A11" s="10"/>
      <c r="B11" s="14"/>
      <c r="C11" s="14"/>
      <c r="D11" s="22"/>
      <c r="E11" s="12"/>
      <c r="F11" s="12"/>
      <c r="G11" s="22"/>
      <c r="H11" s="12">
        <f>+E11-F11</f>
        <v>0</v>
      </c>
      <c r="I11" s="10"/>
      <c r="J11" s="21"/>
      <c r="K11" s="5"/>
    </row>
    <row r="12" spans="1:13" ht="18" customHeight="1" x14ac:dyDescent="0.25">
      <c r="A12" s="10"/>
      <c r="B12" s="14"/>
      <c r="C12" s="14"/>
      <c r="D12" s="22"/>
      <c r="E12" s="12"/>
      <c r="F12" s="12"/>
      <c r="G12" s="11"/>
      <c r="H12" s="12">
        <f>+H11+E12-F12</f>
        <v>0</v>
      </c>
      <c r="I12" s="10"/>
      <c r="J12" s="15"/>
      <c r="K12" s="5"/>
    </row>
    <row r="13" spans="1:13" ht="18" customHeight="1" x14ac:dyDescent="0.25">
      <c r="A13" s="10"/>
      <c r="B13" s="14"/>
      <c r="C13" s="22"/>
      <c r="D13" s="22"/>
      <c r="E13" s="12"/>
      <c r="F13" s="12"/>
      <c r="G13" s="11"/>
      <c r="H13" s="12">
        <f t="shared" ref="H13" si="0">+H12+E13-F13</f>
        <v>0</v>
      </c>
      <c r="I13" s="10"/>
      <c r="J13" s="21"/>
      <c r="K13" s="5"/>
      <c r="L13" s="49"/>
      <c r="M13" s="49"/>
    </row>
    <row r="14" spans="1:13" x14ac:dyDescent="0.25">
      <c r="A14" s="10"/>
      <c r="B14" s="14"/>
      <c r="C14" s="14"/>
      <c r="D14" s="22"/>
      <c r="E14" s="12"/>
      <c r="F14" s="12"/>
      <c r="G14" s="11"/>
      <c r="H14" s="12">
        <f t="shared" ref="H14:H22" si="1">+E14-F14</f>
        <v>0</v>
      </c>
      <c r="I14" s="10"/>
      <c r="J14" s="10"/>
      <c r="K14" s="5"/>
    </row>
    <row r="15" spans="1:13" x14ac:dyDescent="0.25">
      <c r="A15" s="10"/>
      <c r="B15" s="14"/>
      <c r="C15" s="14"/>
      <c r="D15" s="22"/>
      <c r="E15" s="12"/>
      <c r="F15" s="12"/>
      <c r="G15" s="11"/>
      <c r="H15" s="12">
        <f t="shared" si="1"/>
        <v>0</v>
      </c>
      <c r="I15" s="10"/>
      <c r="J15" s="10"/>
      <c r="K15" s="5"/>
      <c r="M15" s="49"/>
    </row>
    <row r="16" spans="1:13" x14ac:dyDescent="0.25">
      <c r="A16" s="10"/>
      <c r="B16" s="14"/>
      <c r="C16" s="14"/>
      <c r="D16" s="22"/>
      <c r="E16" s="12"/>
      <c r="F16" s="12"/>
      <c r="G16" s="11"/>
      <c r="H16" s="12">
        <f t="shared" si="1"/>
        <v>0</v>
      </c>
      <c r="I16" s="10"/>
      <c r="J16" s="10"/>
      <c r="K16" s="5"/>
    </row>
    <row r="17" spans="1:12" x14ac:dyDescent="0.25">
      <c r="A17" s="10"/>
      <c r="B17" s="14"/>
      <c r="C17" s="14"/>
      <c r="D17" s="22"/>
      <c r="E17" s="12"/>
      <c r="F17" s="12"/>
      <c r="G17" s="11"/>
      <c r="H17" s="12">
        <f t="shared" si="1"/>
        <v>0</v>
      </c>
      <c r="I17" s="10"/>
      <c r="J17" s="10"/>
      <c r="K17" s="5"/>
    </row>
    <row r="18" spans="1:12" x14ac:dyDescent="0.25">
      <c r="A18" s="10"/>
      <c r="B18" s="14"/>
      <c r="C18" s="14"/>
      <c r="D18" s="22"/>
      <c r="E18" s="12"/>
      <c r="F18" s="12"/>
      <c r="G18" s="11"/>
      <c r="H18" s="12">
        <f t="shared" si="1"/>
        <v>0</v>
      </c>
      <c r="I18" s="10"/>
      <c r="J18" s="10"/>
      <c r="K18" s="5"/>
    </row>
    <row r="19" spans="1:12" x14ac:dyDescent="0.25">
      <c r="A19" s="10"/>
      <c r="B19" s="14"/>
      <c r="C19" s="14"/>
      <c r="D19" s="22"/>
      <c r="E19" s="12"/>
      <c r="F19" s="12"/>
      <c r="G19" s="11"/>
      <c r="H19" s="12">
        <f t="shared" si="1"/>
        <v>0</v>
      </c>
      <c r="I19" s="10"/>
      <c r="J19" s="10"/>
      <c r="K19" s="5"/>
    </row>
    <row r="20" spans="1:12" x14ac:dyDescent="0.25">
      <c r="A20" s="10"/>
      <c r="B20" s="14"/>
      <c r="C20" s="14"/>
      <c r="D20" s="22"/>
      <c r="E20" s="12"/>
      <c r="F20" s="12"/>
      <c r="G20" s="11"/>
      <c r="H20" s="12">
        <f t="shared" si="1"/>
        <v>0</v>
      </c>
      <c r="I20" s="10"/>
      <c r="J20" s="10"/>
      <c r="K20" s="5"/>
    </row>
    <row r="21" spans="1:12" x14ac:dyDescent="0.25">
      <c r="A21" s="10"/>
      <c r="B21" s="14"/>
      <c r="C21" s="14"/>
      <c r="D21" s="22"/>
      <c r="E21" s="12"/>
      <c r="F21" s="12"/>
      <c r="G21" s="11"/>
      <c r="H21" s="12">
        <f t="shared" si="1"/>
        <v>0</v>
      </c>
      <c r="I21" s="10"/>
      <c r="J21" s="10"/>
      <c r="K21" s="5"/>
    </row>
    <row r="22" spans="1:12" x14ac:dyDescent="0.25">
      <c r="A22" s="10"/>
      <c r="B22" s="14"/>
      <c r="C22" s="14"/>
      <c r="D22" s="22"/>
      <c r="E22" s="12"/>
      <c r="F22" s="12"/>
      <c r="G22" s="11"/>
      <c r="H22" s="12">
        <f t="shared" si="1"/>
        <v>0</v>
      </c>
      <c r="I22" s="10"/>
      <c r="J22" s="10"/>
      <c r="K22" s="5"/>
    </row>
    <row r="23" spans="1:12" x14ac:dyDescent="0.25">
      <c r="A23" s="10"/>
      <c r="B23" s="14"/>
      <c r="C23" s="14"/>
      <c r="D23" s="22"/>
      <c r="E23" s="12"/>
      <c r="F23" s="12"/>
      <c r="G23" s="11"/>
      <c r="H23" s="12">
        <f t="shared" ref="H23" si="2">+H22+E23-F23</f>
        <v>0</v>
      </c>
      <c r="I23" s="10"/>
      <c r="J23" s="10"/>
      <c r="K23" s="5"/>
      <c r="L23" s="49"/>
    </row>
    <row r="24" spans="1:12" x14ac:dyDescent="0.25">
      <c r="A24" s="10"/>
      <c r="B24" s="14"/>
      <c r="C24" s="14"/>
      <c r="D24" s="22"/>
      <c r="E24" s="12"/>
      <c r="F24" s="12"/>
      <c r="G24" s="11"/>
      <c r="H24" s="12">
        <f t="shared" ref="H24:H26" si="3">+H23+E24-F24</f>
        <v>0</v>
      </c>
      <c r="I24" s="10"/>
      <c r="J24" s="10"/>
      <c r="K24" s="5"/>
    </row>
    <row r="25" spans="1:12" x14ac:dyDescent="0.25">
      <c r="A25" s="5"/>
      <c r="B25" s="77"/>
      <c r="C25" s="77"/>
      <c r="D25" s="78"/>
      <c r="E25" s="79"/>
      <c r="F25" s="80"/>
      <c r="G25" s="81"/>
      <c r="H25" s="80">
        <f t="shared" si="3"/>
        <v>0</v>
      </c>
      <c r="I25" s="82"/>
      <c r="J25" s="82"/>
      <c r="K25" s="5"/>
    </row>
    <row r="26" spans="1:12" ht="16.5" thickBot="1" x14ac:dyDescent="0.3">
      <c r="A26" s="5"/>
      <c r="B26" s="23"/>
      <c r="C26" s="23"/>
      <c r="D26" s="24"/>
      <c r="E26" s="19"/>
      <c r="F26" s="12"/>
      <c r="G26" s="11"/>
      <c r="H26" s="27">
        <f t="shared" si="3"/>
        <v>0</v>
      </c>
      <c r="I26" s="10"/>
      <c r="J26" s="10"/>
      <c r="K26" s="5"/>
    </row>
    <row r="27" spans="1:12" ht="17.25" thickTop="1" thickBot="1" x14ac:dyDescent="0.3">
      <c r="A27" s="5"/>
      <c r="B27" s="268" t="s">
        <v>55</v>
      </c>
      <c r="C27" s="268"/>
      <c r="D27" s="268"/>
      <c r="E27" s="20">
        <f>SUM(E11:E26)</f>
        <v>0</v>
      </c>
      <c r="F27" s="25">
        <f>SUM(F11:F26)</f>
        <v>0</v>
      </c>
      <c r="G27" s="5"/>
      <c r="H27" s="5"/>
      <c r="I27" s="5"/>
      <c r="J27" s="5"/>
      <c r="K27" s="5"/>
    </row>
    <row r="28" spans="1:12" ht="16.5" thickBot="1" x14ac:dyDescent="0.3">
      <c r="A28" s="5"/>
      <c r="B28" s="5"/>
      <c r="C28" s="5"/>
      <c r="D28" s="5"/>
      <c r="E28" s="5"/>
      <c r="F28" s="26">
        <f>+E27-F27</f>
        <v>0</v>
      </c>
      <c r="G28" s="5"/>
      <c r="H28" s="5"/>
      <c r="I28" s="5"/>
      <c r="J28" s="5"/>
      <c r="K28" s="5"/>
    </row>
    <row r="29" spans="1:12" x14ac:dyDescent="0.25">
      <c r="A29" s="5"/>
      <c r="B29" s="5"/>
      <c r="C29" s="5"/>
      <c r="D29" s="5"/>
      <c r="E29" s="5"/>
      <c r="F29" s="5"/>
      <c r="G29" s="5"/>
      <c r="H29" s="16"/>
      <c r="I29" s="16"/>
      <c r="J29" s="5"/>
      <c r="K29" s="5"/>
    </row>
    <row r="30" spans="1:12" x14ac:dyDescent="0.25">
      <c r="A30" s="5"/>
      <c r="B30" s="5"/>
      <c r="C30" s="5"/>
      <c r="D30" s="5"/>
      <c r="E30" s="5"/>
      <c r="F30" s="5"/>
      <c r="G30" s="5"/>
      <c r="H30" s="16"/>
      <c r="I30" s="5"/>
      <c r="J30" s="5"/>
      <c r="K30" s="5"/>
    </row>
  </sheetData>
  <mergeCells count="3">
    <mergeCell ref="B2:J2"/>
    <mergeCell ref="B3:J3"/>
    <mergeCell ref="B27:D2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Hoja58"/>
  <dimension ref="A1:M34"/>
  <sheetViews>
    <sheetView topLeftCell="C1" workbookViewId="0">
      <selection activeCell="B12" sqref="B12:J12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hidden="1" customWidth="1"/>
    <col min="10" max="10" width="27.85546875" style="1" customWidth="1"/>
    <col min="11" max="11" width="5" style="1" customWidth="1"/>
    <col min="12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3" x14ac:dyDescent="0.25">
      <c r="A5" s="5"/>
      <c r="B5" s="7"/>
      <c r="C5" s="8" t="s">
        <v>49</v>
      </c>
      <c r="D5" s="5" t="s">
        <v>146</v>
      </c>
      <c r="E5" s="9"/>
      <c r="F5" s="9"/>
      <c r="G5" s="9"/>
      <c r="H5" s="9"/>
      <c r="I5" s="9"/>
      <c r="J5" s="9"/>
      <c r="K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3" x14ac:dyDescent="0.25">
      <c r="A7" s="5"/>
      <c r="B7" s="7"/>
      <c r="C7" s="8" t="s">
        <v>48</v>
      </c>
      <c r="D7" s="5" t="s">
        <v>32</v>
      </c>
      <c r="E7" s="9"/>
      <c r="F7" s="9"/>
      <c r="G7" s="9"/>
      <c r="H7" s="9"/>
      <c r="I7" s="9"/>
      <c r="J7" s="9"/>
      <c r="K7" s="5"/>
    </row>
    <row r="8" spans="1:13" x14ac:dyDescent="0.25">
      <c r="A8" s="5"/>
      <c r="B8" s="7"/>
      <c r="C8" s="8" t="s">
        <v>47</v>
      </c>
      <c r="D8" s="16" t="s">
        <v>120</v>
      </c>
      <c r="E8" s="9"/>
      <c r="F8" s="9"/>
      <c r="G8" s="9"/>
      <c r="H8" s="9"/>
      <c r="I8" s="9"/>
      <c r="J8" s="9"/>
      <c r="K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3" ht="18" customHeight="1" x14ac:dyDescent="0.25">
      <c r="A11" s="5"/>
      <c r="B11" s="297" t="s">
        <v>171</v>
      </c>
      <c r="C11" s="298"/>
      <c r="D11" s="298"/>
      <c r="E11" s="299"/>
      <c r="F11" s="12"/>
      <c r="G11" s="22"/>
      <c r="H11" s="12">
        <v>-9680</v>
      </c>
      <c r="I11" s="10"/>
      <c r="J11" s="21"/>
      <c r="K11" s="5"/>
    </row>
    <row r="12" spans="1:13" ht="18" customHeight="1" thickBot="1" x14ac:dyDescent="0.3">
      <c r="A12" s="5"/>
      <c r="B12" s="83">
        <v>250416</v>
      </c>
      <c r="C12" s="83">
        <v>1711</v>
      </c>
      <c r="D12" s="84">
        <v>45763</v>
      </c>
      <c r="E12" s="85">
        <v>4400</v>
      </c>
      <c r="F12" s="85">
        <v>-5280</v>
      </c>
      <c r="G12" s="86">
        <v>45763</v>
      </c>
      <c r="H12" s="85">
        <f>+H11+E12-F12</f>
        <v>0</v>
      </c>
      <c r="I12" s="87"/>
      <c r="J12" s="120" t="s">
        <v>180</v>
      </c>
      <c r="K12" s="5"/>
    </row>
    <row r="13" spans="1:13" ht="18" customHeight="1" thickTop="1" x14ac:dyDescent="0.25">
      <c r="A13" s="5"/>
      <c r="B13" s="118"/>
      <c r="C13" s="118"/>
      <c r="D13" s="117"/>
      <c r="E13" s="80"/>
      <c r="F13" s="80"/>
      <c r="G13" s="81"/>
      <c r="H13" s="80">
        <f t="shared" ref="H13:H29" si="0">+H12+E13-F13</f>
        <v>0</v>
      </c>
      <c r="I13" s="82"/>
      <c r="J13" s="174"/>
      <c r="K13" s="5"/>
      <c r="L13" s="49"/>
      <c r="M13" s="49"/>
    </row>
    <row r="14" spans="1:13" x14ac:dyDescent="0.25">
      <c r="A14" s="5"/>
      <c r="B14" s="14"/>
      <c r="C14" s="14"/>
      <c r="D14" s="22"/>
      <c r="E14" s="12"/>
      <c r="F14" s="12"/>
      <c r="G14" s="11"/>
      <c r="H14" s="12">
        <f t="shared" si="0"/>
        <v>0</v>
      </c>
      <c r="I14" s="10"/>
      <c r="J14" s="10"/>
      <c r="K14" s="5"/>
    </row>
    <row r="15" spans="1:13" hidden="1" x14ac:dyDescent="0.25">
      <c r="A15" s="5"/>
      <c r="B15" s="14"/>
      <c r="C15" s="14"/>
      <c r="D15" s="22"/>
      <c r="E15" s="12"/>
      <c r="F15" s="12"/>
      <c r="G15" s="11"/>
      <c r="H15" s="12">
        <f t="shared" si="0"/>
        <v>0</v>
      </c>
      <c r="I15" s="10"/>
      <c r="J15" s="10"/>
      <c r="K15" s="5"/>
    </row>
    <row r="16" spans="1:13" hidden="1" x14ac:dyDescent="0.25">
      <c r="A16" s="5"/>
      <c r="B16" s="14"/>
      <c r="C16" s="14"/>
      <c r="D16" s="22"/>
      <c r="E16" s="12"/>
      <c r="F16" s="12"/>
      <c r="G16" s="11"/>
      <c r="H16" s="12">
        <f t="shared" si="0"/>
        <v>0</v>
      </c>
      <c r="I16" s="10"/>
      <c r="J16" s="10"/>
      <c r="K16" s="5"/>
      <c r="L16" s="49"/>
    </row>
    <row r="17" spans="1:13" hidden="1" x14ac:dyDescent="0.25">
      <c r="A17" s="5"/>
      <c r="B17" s="14"/>
      <c r="C17" s="14"/>
      <c r="D17" s="22"/>
      <c r="E17" s="12"/>
      <c r="F17" s="12"/>
      <c r="G17" s="11"/>
      <c r="H17" s="12">
        <f t="shared" si="0"/>
        <v>0</v>
      </c>
      <c r="I17" s="10"/>
      <c r="J17" s="10"/>
      <c r="K17" s="5"/>
      <c r="M17" s="49"/>
    </row>
    <row r="18" spans="1:13" hidden="1" x14ac:dyDescent="0.25">
      <c r="A18" s="5"/>
      <c r="B18" s="14"/>
      <c r="C18" s="14"/>
      <c r="D18" s="22"/>
      <c r="E18" s="12"/>
      <c r="F18" s="12"/>
      <c r="G18" s="11"/>
      <c r="H18" s="12">
        <f t="shared" si="0"/>
        <v>0</v>
      </c>
      <c r="I18" s="10"/>
      <c r="J18" s="10"/>
      <c r="K18" s="5"/>
      <c r="L18" s="49"/>
    </row>
    <row r="19" spans="1:13" hidden="1" x14ac:dyDescent="0.25">
      <c r="A19" s="5"/>
      <c r="B19" s="14"/>
      <c r="C19" s="14"/>
      <c r="D19" s="22"/>
      <c r="E19" s="12"/>
      <c r="F19" s="12"/>
      <c r="G19" s="11"/>
      <c r="H19" s="12">
        <f t="shared" si="0"/>
        <v>0</v>
      </c>
      <c r="I19" s="10"/>
      <c r="J19" s="10"/>
      <c r="K19" s="5"/>
      <c r="L19" s="49"/>
    </row>
    <row r="20" spans="1:13" hidden="1" x14ac:dyDescent="0.25">
      <c r="A20" s="5"/>
      <c r="B20" s="14"/>
      <c r="C20" s="14"/>
      <c r="D20" s="22"/>
      <c r="E20" s="12"/>
      <c r="F20" s="12"/>
      <c r="G20" s="11"/>
      <c r="H20" s="12">
        <f t="shared" si="0"/>
        <v>0</v>
      </c>
      <c r="I20" s="10"/>
      <c r="J20" s="10"/>
      <c r="K20" s="5"/>
      <c r="L20" s="49"/>
    </row>
    <row r="21" spans="1:13" hidden="1" x14ac:dyDescent="0.25">
      <c r="A21" s="5"/>
      <c r="B21" s="14"/>
      <c r="C21" s="14"/>
      <c r="D21" s="22"/>
      <c r="E21" s="12"/>
      <c r="F21" s="12"/>
      <c r="G21" s="11"/>
      <c r="H21" s="12">
        <f t="shared" si="0"/>
        <v>0</v>
      </c>
      <c r="I21" s="10"/>
      <c r="J21" s="10"/>
      <c r="K21" s="5"/>
      <c r="L21" s="49"/>
      <c r="M21" s="49"/>
    </row>
    <row r="22" spans="1:13" hidden="1" x14ac:dyDescent="0.25">
      <c r="A22" s="5"/>
      <c r="B22" s="14"/>
      <c r="C22" s="14"/>
      <c r="D22" s="22"/>
      <c r="E22" s="12"/>
      <c r="F22" s="12"/>
      <c r="G22" s="11"/>
      <c r="H22" s="12">
        <f t="shared" si="0"/>
        <v>0</v>
      </c>
      <c r="I22" s="10"/>
      <c r="J22" s="10"/>
      <c r="K22" s="5"/>
      <c r="L22" s="49"/>
      <c r="M22" s="49"/>
    </row>
    <row r="23" spans="1:13" hidden="1" x14ac:dyDescent="0.25">
      <c r="A23" s="5"/>
      <c r="B23" s="14"/>
      <c r="C23" s="14"/>
      <c r="D23" s="22"/>
      <c r="E23" s="12"/>
      <c r="F23" s="12"/>
      <c r="G23" s="11"/>
      <c r="H23" s="12">
        <f t="shared" si="0"/>
        <v>0</v>
      </c>
      <c r="I23" s="10"/>
      <c r="J23" s="10"/>
      <c r="K23" s="5"/>
      <c r="L23" s="49"/>
      <c r="M23" s="49"/>
    </row>
    <row r="24" spans="1:13" hidden="1" x14ac:dyDescent="0.25">
      <c r="A24" s="5"/>
      <c r="B24" s="14"/>
      <c r="C24" s="14"/>
      <c r="D24" s="22"/>
      <c r="E24" s="12"/>
      <c r="F24" s="12"/>
      <c r="G24" s="11"/>
      <c r="H24" s="12">
        <f t="shared" si="0"/>
        <v>0</v>
      </c>
      <c r="I24" s="10"/>
      <c r="J24" s="10"/>
      <c r="K24" s="5"/>
      <c r="L24" s="49"/>
      <c r="M24" s="49"/>
    </row>
    <row r="25" spans="1:13" hidden="1" x14ac:dyDescent="0.25">
      <c r="A25" s="5"/>
      <c r="B25" s="14"/>
      <c r="C25" s="14"/>
      <c r="D25" s="22"/>
      <c r="E25" s="12"/>
      <c r="F25" s="12"/>
      <c r="G25" s="11"/>
      <c r="H25" s="12">
        <f t="shared" si="0"/>
        <v>0</v>
      </c>
      <c r="I25" s="10"/>
      <c r="J25" s="10"/>
      <c r="K25" s="5"/>
      <c r="L25" s="49"/>
      <c r="M25" s="49"/>
    </row>
    <row r="26" spans="1:13" hidden="1" x14ac:dyDescent="0.25">
      <c r="A26" s="5"/>
      <c r="B26" s="14"/>
      <c r="C26" s="14"/>
      <c r="D26" s="22"/>
      <c r="E26" s="12"/>
      <c r="F26" s="12"/>
      <c r="G26" s="11"/>
      <c r="H26" s="12">
        <f t="shared" si="0"/>
        <v>0</v>
      </c>
      <c r="I26" s="10"/>
      <c r="J26" s="10"/>
      <c r="K26" s="5"/>
      <c r="L26" s="49"/>
      <c r="M26" s="49"/>
    </row>
    <row r="27" spans="1:13" hidden="1" x14ac:dyDescent="0.25">
      <c r="A27" s="5"/>
      <c r="B27" s="14"/>
      <c r="C27" s="14"/>
      <c r="D27" s="22"/>
      <c r="E27" s="12"/>
      <c r="F27" s="12"/>
      <c r="G27" s="11"/>
      <c r="H27" s="12">
        <f t="shared" si="0"/>
        <v>0</v>
      </c>
      <c r="I27" s="10"/>
      <c r="J27" s="10"/>
      <c r="K27" s="5"/>
      <c r="L27" s="49"/>
      <c r="M27" s="49"/>
    </row>
    <row r="28" spans="1:13" hidden="1" x14ac:dyDescent="0.25">
      <c r="A28" s="5"/>
      <c r="B28" s="14"/>
      <c r="C28" s="14"/>
      <c r="D28" s="22"/>
      <c r="E28" s="12"/>
      <c r="F28" s="12"/>
      <c r="G28" s="11"/>
      <c r="H28" s="12">
        <f t="shared" si="0"/>
        <v>0</v>
      </c>
      <c r="I28" s="10"/>
      <c r="J28" s="10"/>
      <c r="K28" s="5"/>
      <c r="L28" s="49"/>
      <c r="M28" s="49"/>
    </row>
    <row r="29" spans="1:13" hidden="1" x14ac:dyDescent="0.25">
      <c r="A29" s="5"/>
      <c r="B29" s="14"/>
      <c r="C29" s="14"/>
      <c r="D29" s="22"/>
      <c r="E29" s="12"/>
      <c r="F29" s="12"/>
      <c r="G29" s="11"/>
      <c r="H29" s="12">
        <f t="shared" si="0"/>
        <v>0</v>
      </c>
      <c r="I29" s="10"/>
      <c r="J29" s="10"/>
      <c r="K29" s="5"/>
    </row>
    <row r="30" spans="1:13" x14ac:dyDescent="0.25">
      <c r="A30" s="5"/>
      <c r="B30" s="14"/>
      <c r="C30" s="14"/>
      <c r="D30" s="22"/>
      <c r="E30" s="12"/>
      <c r="F30" s="12"/>
      <c r="G30" s="11"/>
      <c r="H30" s="27">
        <f t="shared" ref="H30" si="1">+H29+E30-F30</f>
        <v>0</v>
      </c>
      <c r="I30" s="10"/>
      <c r="J30" s="10"/>
      <c r="K30" s="5"/>
    </row>
    <row r="31" spans="1:13" ht="16.5" thickBot="1" x14ac:dyDescent="0.3">
      <c r="A31" s="5"/>
      <c r="B31" s="275" t="s">
        <v>55</v>
      </c>
      <c r="C31" s="275"/>
      <c r="D31" s="275"/>
      <c r="E31" s="147">
        <f>SUM(E11:E30)</f>
        <v>4400</v>
      </c>
      <c r="F31" s="148">
        <f>SUM(F11:F30)-H11</f>
        <v>4400</v>
      </c>
      <c r="G31" s="5"/>
      <c r="H31" s="5"/>
      <c r="I31" s="5"/>
      <c r="J31" s="5"/>
      <c r="K31" s="5"/>
    </row>
    <row r="32" spans="1:13" ht="16.5" thickBot="1" x14ac:dyDescent="0.3">
      <c r="A32" s="5"/>
      <c r="B32" s="5"/>
      <c r="C32" s="5"/>
      <c r="D32" s="5"/>
      <c r="E32" s="5"/>
      <c r="F32" s="26">
        <f>+E31-F31</f>
        <v>0</v>
      </c>
      <c r="G32" s="5"/>
      <c r="H32" s="5"/>
      <c r="I32" s="5"/>
      <c r="J32" s="5"/>
      <c r="K32" s="5"/>
    </row>
    <row r="33" spans="1:11" x14ac:dyDescent="0.25">
      <c r="A33" s="5"/>
      <c r="B33" s="5"/>
      <c r="C33" s="5"/>
      <c r="D33" s="5"/>
      <c r="E33" s="5"/>
      <c r="F33" s="5"/>
      <c r="G33" s="5"/>
      <c r="H33" s="16"/>
      <c r="I33" s="16"/>
      <c r="J33" s="5"/>
      <c r="K33" s="5"/>
    </row>
    <row r="34" spans="1:11" x14ac:dyDescent="0.25">
      <c r="A34" s="5"/>
      <c r="B34" s="5"/>
      <c r="C34" s="5"/>
      <c r="D34" s="5"/>
      <c r="E34" s="5"/>
      <c r="F34" s="5"/>
      <c r="G34" s="5"/>
      <c r="H34" s="16"/>
      <c r="I34" s="5"/>
      <c r="J34" s="5"/>
      <c r="K34" s="5"/>
    </row>
  </sheetData>
  <mergeCells count="4">
    <mergeCell ref="B2:J2"/>
    <mergeCell ref="B3:J3"/>
    <mergeCell ref="B31:D31"/>
    <mergeCell ref="B11:E1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Hoja59"/>
  <dimension ref="A1:M52"/>
  <sheetViews>
    <sheetView topLeftCell="B25" zoomScale="80" zoomScaleNormal="80" workbookViewId="0">
      <selection activeCell="L45" sqref="L45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customWidth="1"/>
    <col min="10" max="10" width="21.42578125" style="1" customWidth="1"/>
    <col min="11" max="11" width="5" style="1" customWidth="1"/>
    <col min="12" max="13" width="12.42578125" style="1" bestFit="1" customWidth="1"/>
    <col min="14" max="16384" width="11.42578125" style="1"/>
  </cols>
  <sheetData>
    <row r="1" spans="1:12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2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2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2" x14ac:dyDescent="0.25">
      <c r="A5" s="5"/>
      <c r="B5" s="7"/>
      <c r="C5" s="8" t="s">
        <v>49</v>
      </c>
      <c r="D5" s="5" t="s">
        <v>133</v>
      </c>
      <c r="E5" s="9"/>
      <c r="F5" s="9"/>
      <c r="G5" s="9"/>
      <c r="H5" s="9"/>
      <c r="I5" s="9"/>
      <c r="J5" s="9"/>
      <c r="K5" s="5"/>
    </row>
    <row r="6" spans="1:12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2" x14ac:dyDescent="0.25">
      <c r="A7" s="5"/>
      <c r="B7" s="7"/>
      <c r="C7" s="8" t="s">
        <v>48</v>
      </c>
      <c r="D7" s="5" t="s">
        <v>134</v>
      </c>
      <c r="E7" s="9"/>
      <c r="F7" s="9"/>
      <c r="G7" s="9"/>
      <c r="H7" s="9"/>
      <c r="I7" s="9"/>
      <c r="J7" s="9"/>
      <c r="K7" s="5"/>
    </row>
    <row r="8" spans="1:12" x14ac:dyDescent="0.25">
      <c r="A8" s="5"/>
      <c r="B8" s="7"/>
      <c r="C8" s="8" t="s">
        <v>47</v>
      </c>
      <c r="D8" s="16" t="s">
        <v>120</v>
      </c>
      <c r="E8" s="9"/>
      <c r="F8" s="9"/>
      <c r="G8" s="9"/>
      <c r="H8" s="9"/>
      <c r="I8" s="9"/>
      <c r="J8" s="9"/>
      <c r="K8" s="5"/>
    </row>
    <row r="9" spans="1:12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2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2" x14ac:dyDescent="0.25">
      <c r="A11" s="5"/>
      <c r="B11" s="297" t="s">
        <v>171</v>
      </c>
      <c r="C11" s="298"/>
      <c r="D11" s="298"/>
      <c r="E11" s="299"/>
      <c r="F11" s="12"/>
      <c r="G11" s="22"/>
      <c r="H11" s="12">
        <v>-49979.199999999997</v>
      </c>
      <c r="I11" s="10"/>
      <c r="J11" s="10"/>
      <c r="K11" s="5"/>
    </row>
    <row r="12" spans="1:12" x14ac:dyDescent="0.25">
      <c r="A12" s="5"/>
      <c r="B12" s="14">
        <v>250404</v>
      </c>
      <c r="C12" s="14">
        <v>1696</v>
      </c>
      <c r="D12" s="22">
        <v>45755</v>
      </c>
      <c r="E12" s="12">
        <v>77500</v>
      </c>
      <c r="F12" s="12">
        <v>5000</v>
      </c>
      <c r="G12" s="96">
        <v>45748</v>
      </c>
      <c r="H12" s="12">
        <f>+H11+E12-F12</f>
        <v>22520.800000000003</v>
      </c>
      <c r="I12" s="10"/>
      <c r="J12" s="10" t="s">
        <v>175</v>
      </c>
      <c r="K12" s="5" t="s">
        <v>136</v>
      </c>
    </row>
    <row r="13" spans="1:12" x14ac:dyDescent="0.25">
      <c r="A13" s="5"/>
      <c r="B13" s="14">
        <v>250405</v>
      </c>
      <c r="C13" s="14">
        <v>1697</v>
      </c>
      <c r="D13" s="22">
        <v>45755</v>
      </c>
      <c r="E13" s="12">
        <v>61650</v>
      </c>
      <c r="F13" s="12">
        <v>15000</v>
      </c>
      <c r="G13" s="11">
        <v>45754</v>
      </c>
      <c r="H13" s="12">
        <f t="shared" ref="H13:H16" si="0">+H12+E13-F13</f>
        <v>69170.8</v>
      </c>
      <c r="I13" s="10"/>
      <c r="J13" s="10" t="s">
        <v>175</v>
      </c>
      <c r="K13" s="5" t="s">
        <v>136</v>
      </c>
    </row>
    <row r="14" spans="1:12" x14ac:dyDescent="0.25">
      <c r="A14" s="5"/>
      <c r="B14" s="14"/>
      <c r="C14" s="14"/>
      <c r="D14" s="22"/>
      <c r="E14" s="12"/>
      <c r="F14" s="12">
        <v>17150</v>
      </c>
      <c r="G14" s="11">
        <v>45755</v>
      </c>
      <c r="H14" s="12">
        <f t="shared" si="0"/>
        <v>52020.800000000003</v>
      </c>
      <c r="I14" s="10"/>
      <c r="J14" s="10" t="s">
        <v>175</v>
      </c>
      <c r="K14" s="5" t="s">
        <v>136</v>
      </c>
      <c r="L14" s="49"/>
    </row>
    <row r="15" spans="1:12" x14ac:dyDescent="0.25">
      <c r="A15" s="5"/>
      <c r="B15" s="14"/>
      <c r="C15" s="14"/>
      <c r="D15" s="22"/>
      <c r="E15" s="12"/>
      <c r="F15" s="12">
        <v>40000</v>
      </c>
      <c r="G15" s="11">
        <v>45756</v>
      </c>
      <c r="H15" s="12">
        <f t="shared" si="0"/>
        <v>12020.800000000003</v>
      </c>
      <c r="I15" s="10"/>
      <c r="J15" s="10" t="s">
        <v>175</v>
      </c>
      <c r="K15" s="5" t="s">
        <v>136</v>
      </c>
    </row>
    <row r="16" spans="1:12" ht="16.5" thickBot="1" x14ac:dyDescent="0.3">
      <c r="A16" s="5"/>
      <c r="B16" s="83"/>
      <c r="C16" s="83"/>
      <c r="D16" s="84"/>
      <c r="E16" s="85"/>
      <c r="F16" s="85">
        <v>12000</v>
      </c>
      <c r="G16" s="86">
        <v>45756</v>
      </c>
      <c r="H16" s="85">
        <f t="shared" si="0"/>
        <v>20.80000000000291</v>
      </c>
      <c r="I16" s="87"/>
      <c r="J16" s="87" t="s">
        <v>175</v>
      </c>
      <c r="K16" s="5" t="s">
        <v>136</v>
      </c>
      <c r="L16" s="49">
        <f>SUM(F12:F16)</f>
        <v>89150</v>
      </c>
    </row>
    <row r="17" spans="1:13" ht="16.5" thickTop="1" x14ac:dyDescent="0.25">
      <c r="A17" s="5"/>
      <c r="B17" s="118"/>
      <c r="C17" s="118"/>
      <c r="D17" s="117"/>
      <c r="E17" s="80"/>
      <c r="F17" s="80">
        <v>10000</v>
      </c>
      <c r="G17" s="81">
        <v>45834</v>
      </c>
      <c r="H17" s="80">
        <f t="shared" ref="H17:H47" si="1">+H16+E17-F17</f>
        <v>-9979.1999999999971</v>
      </c>
      <c r="I17" s="82"/>
      <c r="J17" s="17" t="s">
        <v>175</v>
      </c>
      <c r="K17" s="5" t="s">
        <v>136</v>
      </c>
      <c r="L17" s="49"/>
    </row>
    <row r="18" spans="1:13" x14ac:dyDescent="0.25">
      <c r="A18" s="5"/>
      <c r="B18" s="14"/>
      <c r="C18" s="14"/>
      <c r="D18" s="22"/>
      <c r="E18" s="12"/>
      <c r="F18" s="12">
        <v>10000</v>
      </c>
      <c r="G18" s="11">
        <v>45834</v>
      </c>
      <c r="H18" s="12">
        <f t="shared" si="1"/>
        <v>-19979.199999999997</v>
      </c>
      <c r="I18" s="10"/>
      <c r="J18" s="10" t="s">
        <v>175</v>
      </c>
      <c r="K18" s="5" t="s">
        <v>136</v>
      </c>
      <c r="L18" s="49"/>
    </row>
    <row r="19" spans="1:13" ht="16.5" thickBot="1" x14ac:dyDescent="0.3">
      <c r="A19" s="5"/>
      <c r="B19" s="83"/>
      <c r="C19" s="83"/>
      <c r="D19" s="84"/>
      <c r="E19" s="85"/>
      <c r="F19" s="85">
        <v>6000</v>
      </c>
      <c r="G19" s="86">
        <v>45838</v>
      </c>
      <c r="H19" s="85">
        <f t="shared" si="1"/>
        <v>-25979.199999999997</v>
      </c>
      <c r="I19" s="87"/>
      <c r="J19" s="87" t="s">
        <v>175</v>
      </c>
      <c r="K19" s="5" t="s">
        <v>136</v>
      </c>
      <c r="L19" s="49">
        <f>SUM(F17:F19)</f>
        <v>26000</v>
      </c>
    </row>
    <row r="20" spans="1:13" ht="16.5" thickTop="1" x14ac:dyDescent="0.25">
      <c r="A20" s="5"/>
      <c r="B20" s="118"/>
      <c r="C20" s="118"/>
      <c r="D20" s="117"/>
      <c r="E20" s="80"/>
      <c r="F20" s="80">
        <v>4000</v>
      </c>
      <c r="G20" s="81">
        <v>45839</v>
      </c>
      <c r="H20" s="80">
        <f t="shared" si="1"/>
        <v>-29979.199999999997</v>
      </c>
      <c r="I20" s="82"/>
      <c r="J20" s="82" t="s">
        <v>175</v>
      </c>
      <c r="K20" s="5" t="s">
        <v>136</v>
      </c>
      <c r="L20" s="49"/>
      <c r="M20" s="49"/>
    </row>
    <row r="21" spans="1:13" x14ac:dyDescent="0.25">
      <c r="A21" s="5"/>
      <c r="B21" s="14"/>
      <c r="C21" s="14"/>
      <c r="D21" s="22"/>
      <c r="E21" s="12"/>
      <c r="F21" s="12">
        <v>35060</v>
      </c>
      <c r="G21" s="11">
        <v>45840</v>
      </c>
      <c r="H21" s="12">
        <f t="shared" si="1"/>
        <v>-65039.199999999997</v>
      </c>
      <c r="I21" s="10"/>
      <c r="J21" s="10" t="s">
        <v>175</v>
      </c>
      <c r="K21" s="5" t="s">
        <v>136</v>
      </c>
    </row>
    <row r="22" spans="1:13" x14ac:dyDescent="0.25">
      <c r="A22" s="5"/>
      <c r="B22" s="14">
        <v>250704</v>
      </c>
      <c r="C22" s="14">
        <v>1798</v>
      </c>
      <c r="D22" s="22">
        <v>45840</v>
      </c>
      <c r="E22" s="12">
        <v>71060</v>
      </c>
      <c r="F22" s="12">
        <v>6000</v>
      </c>
      <c r="G22" s="11">
        <v>45840</v>
      </c>
      <c r="H22" s="12">
        <f t="shared" si="1"/>
        <v>20.80000000000291</v>
      </c>
      <c r="I22" s="10"/>
      <c r="J22" s="10" t="s">
        <v>175</v>
      </c>
      <c r="K22" s="5" t="s">
        <v>136</v>
      </c>
    </row>
    <row r="23" spans="1:13" x14ac:dyDescent="0.25">
      <c r="A23" s="5"/>
      <c r="B23" s="23"/>
      <c r="C23" s="23"/>
      <c r="D23" s="24"/>
      <c r="E23" s="19"/>
      <c r="F23" s="12">
        <v>11000</v>
      </c>
      <c r="G23" s="11">
        <v>45841</v>
      </c>
      <c r="H23" s="12">
        <f t="shared" si="1"/>
        <v>-10979.199999999997</v>
      </c>
      <c r="I23" s="10"/>
      <c r="J23" s="10" t="s">
        <v>175</v>
      </c>
      <c r="K23" s="5" t="s">
        <v>136</v>
      </c>
    </row>
    <row r="24" spans="1:13" x14ac:dyDescent="0.25">
      <c r="A24" s="5"/>
      <c r="B24" s="23"/>
      <c r="C24" s="23"/>
      <c r="D24" s="24"/>
      <c r="E24" s="19"/>
      <c r="F24" s="12">
        <v>12000</v>
      </c>
      <c r="G24" s="11">
        <v>45842</v>
      </c>
      <c r="H24" s="12">
        <f t="shared" si="1"/>
        <v>-22979.199999999997</v>
      </c>
      <c r="I24" s="10"/>
      <c r="J24" s="10" t="s">
        <v>175</v>
      </c>
      <c r="K24" s="5" t="s">
        <v>136</v>
      </c>
    </row>
    <row r="25" spans="1:13" x14ac:dyDescent="0.25">
      <c r="A25" s="5"/>
      <c r="B25" s="23"/>
      <c r="C25" s="23"/>
      <c r="D25" s="24"/>
      <c r="E25" s="19"/>
      <c r="F25" s="12">
        <v>10000</v>
      </c>
      <c r="G25" s="11">
        <v>45845</v>
      </c>
      <c r="H25" s="12">
        <f t="shared" si="1"/>
        <v>-32979.199999999997</v>
      </c>
      <c r="I25" s="10"/>
      <c r="J25" s="10" t="s">
        <v>204</v>
      </c>
      <c r="K25" s="5" t="s">
        <v>135</v>
      </c>
    </row>
    <row r="26" spans="1:13" x14ac:dyDescent="0.25">
      <c r="A26" s="5"/>
      <c r="B26" s="23"/>
      <c r="C26" s="23"/>
      <c r="D26" s="24"/>
      <c r="E26" s="19"/>
      <c r="F26" s="12">
        <v>5000</v>
      </c>
      <c r="G26" s="11">
        <v>45846</v>
      </c>
      <c r="H26" s="12">
        <f t="shared" si="1"/>
        <v>-37979.199999999997</v>
      </c>
      <c r="I26" s="10"/>
      <c r="J26" s="10" t="s">
        <v>175</v>
      </c>
      <c r="K26" s="5" t="s">
        <v>136</v>
      </c>
    </row>
    <row r="27" spans="1:13" x14ac:dyDescent="0.25">
      <c r="A27" s="5"/>
      <c r="B27" s="23">
        <v>250718</v>
      </c>
      <c r="C27" s="23">
        <v>1814</v>
      </c>
      <c r="D27" s="24">
        <v>45852</v>
      </c>
      <c r="E27" s="19">
        <v>78375</v>
      </c>
      <c r="F27" s="12">
        <v>2000</v>
      </c>
      <c r="G27" s="11">
        <v>45852</v>
      </c>
      <c r="H27" s="12">
        <f t="shared" si="1"/>
        <v>38395.800000000003</v>
      </c>
      <c r="I27" s="10"/>
      <c r="J27" s="10" t="s">
        <v>175</v>
      </c>
      <c r="K27" s="5" t="s">
        <v>136</v>
      </c>
    </row>
    <row r="28" spans="1:13" ht="16.5" thickBot="1" x14ac:dyDescent="0.3">
      <c r="A28" s="5"/>
      <c r="B28" s="83"/>
      <c r="C28" s="83"/>
      <c r="D28" s="84"/>
      <c r="E28" s="85"/>
      <c r="F28" s="85">
        <v>38375</v>
      </c>
      <c r="G28" s="86">
        <v>45852</v>
      </c>
      <c r="H28" s="85">
        <f t="shared" si="1"/>
        <v>20.80000000000291</v>
      </c>
      <c r="I28" s="87"/>
      <c r="J28" s="87" t="s">
        <v>175</v>
      </c>
      <c r="K28" s="5" t="s">
        <v>136</v>
      </c>
      <c r="L28" s="49">
        <f>SUM(F20:F28)</f>
        <v>123435</v>
      </c>
    </row>
    <row r="29" spans="1:13" ht="16.5" thickTop="1" x14ac:dyDescent="0.25">
      <c r="A29" s="5"/>
      <c r="B29" s="77"/>
      <c r="C29" s="77"/>
      <c r="D29" s="78"/>
      <c r="E29" s="79"/>
      <c r="F29" s="80">
        <v>10000</v>
      </c>
      <c r="G29" s="81">
        <v>45864</v>
      </c>
      <c r="H29" s="80">
        <f t="shared" si="1"/>
        <v>-9979.1999999999971</v>
      </c>
      <c r="I29" s="82"/>
      <c r="J29" s="10" t="s">
        <v>175</v>
      </c>
      <c r="K29" s="5" t="s">
        <v>136</v>
      </c>
      <c r="L29" s="49"/>
    </row>
    <row r="30" spans="1:13" x14ac:dyDescent="0.25">
      <c r="A30" s="5"/>
      <c r="B30" s="23"/>
      <c r="C30" s="23"/>
      <c r="D30" s="24"/>
      <c r="E30" s="19"/>
      <c r="F30" s="12">
        <v>5000</v>
      </c>
      <c r="G30" s="11">
        <v>45866</v>
      </c>
      <c r="H30" s="12">
        <f t="shared" si="1"/>
        <v>-14979.199999999997</v>
      </c>
      <c r="I30" s="10"/>
      <c r="J30" s="10" t="s">
        <v>175</v>
      </c>
      <c r="K30" s="5" t="s">
        <v>136</v>
      </c>
      <c r="L30" s="49"/>
    </row>
    <row r="31" spans="1:13" x14ac:dyDescent="0.25">
      <c r="A31" s="5"/>
      <c r="B31" s="23"/>
      <c r="C31" s="23"/>
      <c r="D31" s="24"/>
      <c r="E31" s="19"/>
      <c r="F31" s="12">
        <v>5000</v>
      </c>
      <c r="G31" s="11">
        <v>45867</v>
      </c>
      <c r="H31" s="12">
        <f t="shared" si="1"/>
        <v>-19979.199999999997</v>
      </c>
      <c r="I31" s="10"/>
      <c r="J31" s="10" t="s">
        <v>175</v>
      </c>
      <c r="K31" s="5" t="s">
        <v>136</v>
      </c>
      <c r="L31" s="49"/>
    </row>
    <row r="32" spans="1:13" x14ac:dyDescent="0.25">
      <c r="A32" s="5"/>
      <c r="B32" s="23"/>
      <c r="C32" s="23"/>
      <c r="D32" s="24"/>
      <c r="E32" s="19"/>
      <c r="F32" s="12">
        <v>5000</v>
      </c>
      <c r="G32" s="11">
        <v>45868</v>
      </c>
      <c r="H32" s="12">
        <f t="shared" si="1"/>
        <v>-24979.199999999997</v>
      </c>
      <c r="I32" s="10"/>
      <c r="J32" s="10" t="s">
        <v>175</v>
      </c>
      <c r="K32" s="5" t="s">
        <v>136</v>
      </c>
      <c r="L32" s="49"/>
    </row>
    <row r="33" spans="1:12" x14ac:dyDescent="0.25">
      <c r="A33" s="5"/>
      <c r="B33" s="23"/>
      <c r="C33" s="23"/>
      <c r="D33" s="24"/>
      <c r="E33" s="19"/>
      <c r="F33" s="12">
        <v>5000</v>
      </c>
      <c r="G33" s="11">
        <v>45870</v>
      </c>
      <c r="H33" s="12">
        <f t="shared" si="1"/>
        <v>-29979.199999999997</v>
      </c>
      <c r="I33" s="10"/>
      <c r="J33" s="10" t="s">
        <v>175</v>
      </c>
      <c r="K33" s="5" t="s">
        <v>136</v>
      </c>
      <c r="L33" s="49"/>
    </row>
    <row r="34" spans="1:12" x14ac:dyDescent="0.25">
      <c r="A34" s="5"/>
      <c r="B34" s="23"/>
      <c r="C34" s="23"/>
      <c r="D34" s="24"/>
      <c r="E34" s="19"/>
      <c r="F34" s="12">
        <v>5000</v>
      </c>
      <c r="G34" s="11">
        <v>45882</v>
      </c>
      <c r="H34" s="12">
        <f t="shared" si="1"/>
        <v>-34979.199999999997</v>
      </c>
      <c r="I34" s="10"/>
      <c r="J34" s="10" t="s">
        <v>175</v>
      </c>
      <c r="K34" s="5" t="s">
        <v>136</v>
      </c>
      <c r="L34" s="49"/>
    </row>
    <row r="35" spans="1:12" x14ac:dyDescent="0.25">
      <c r="A35" s="5"/>
      <c r="B35" s="23"/>
      <c r="C35" s="23"/>
      <c r="D35" s="24"/>
      <c r="E35" s="19"/>
      <c r="F35" s="12">
        <v>6000</v>
      </c>
      <c r="G35" s="11">
        <v>45882</v>
      </c>
      <c r="H35" s="12">
        <f t="shared" si="1"/>
        <v>-40979.199999999997</v>
      </c>
      <c r="I35" s="10"/>
      <c r="J35" s="10" t="s">
        <v>175</v>
      </c>
      <c r="K35" s="5" t="s">
        <v>136</v>
      </c>
      <c r="L35" s="49"/>
    </row>
    <row r="36" spans="1:12" x14ac:dyDescent="0.25">
      <c r="A36" s="5"/>
      <c r="B36" s="23"/>
      <c r="C36" s="23"/>
      <c r="D36" s="24"/>
      <c r="E36" s="19"/>
      <c r="F36" s="12">
        <v>2000</v>
      </c>
      <c r="G36" s="11">
        <v>45883</v>
      </c>
      <c r="H36" s="12">
        <f t="shared" si="1"/>
        <v>-42979.199999999997</v>
      </c>
      <c r="I36" s="10"/>
      <c r="J36" s="10" t="s">
        <v>175</v>
      </c>
      <c r="K36" s="5" t="s">
        <v>136</v>
      </c>
      <c r="L36" s="49"/>
    </row>
    <row r="37" spans="1:12" x14ac:dyDescent="0.25">
      <c r="A37" s="5"/>
      <c r="B37" s="23"/>
      <c r="C37" s="23"/>
      <c r="D37" s="24"/>
      <c r="E37" s="19"/>
      <c r="F37" s="12">
        <v>7000</v>
      </c>
      <c r="G37" s="11">
        <v>45887</v>
      </c>
      <c r="H37" s="12">
        <f t="shared" si="1"/>
        <v>-49979.199999999997</v>
      </c>
      <c r="I37" s="10"/>
      <c r="J37" s="10" t="s">
        <v>204</v>
      </c>
      <c r="K37" s="5" t="s">
        <v>135</v>
      </c>
    </row>
    <row r="38" spans="1:12" x14ac:dyDescent="0.25">
      <c r="A38" s="5"/>
      <c r="B38" s="23">
        <v>250818</v>
      </c>
      <c r="C38" s="23">
        <v>1859</v>
      </c>
      <c r="D38" s="24">
        <v>45888</v>
      </c>
      <c r="E38" s="19">
        <v>85050</v>
      </c>
      <c r="F38" s="12">
        <v>10625</v>
      </c>
      <c r="G38" s="11">
        <v>45888</v>
      </c>
      <c r="H38" s="12">
        <f t="shared" si="1"/>
        <v>24445.800000000003</v>
      </c>
      <c r="I38" s="10"/>
      <c r="J38" s="10" t="s">
        <v>175</v>
      </c>
      <c r="K38" s="5" t="s">
        <v>136</v>
      </c>
    </row>
    <row r="39" spans="1:12" x14ac:dyDescent="0.25">
      <c r="A39" s="5"/>
      <c r="B39" s="23"/>
      <c r="C39" s="23"/>
      <c r="D39" s="24"/>
      <c r="E39" s="19"/>
      <c r="F39" s="12">
        <v>5000</v>
      </c>
      <c r="G39" s="11">
        <v>45890</v>
      </c>
      <c r="H39" s="12">
        <f t="shared" si="1"/>
        <v>19445.800000000003</v>
      </c>
      <c r="I39" s="10"/>
      <c r="J39" s="10" t="s">
        <v>175</v>
      </c>
      <c r="K39" s="5" t="s">
        <v>136</v>
      </c>
    </row>
    <row r="40" spans="1:12" x14ac:dyDescent="0.25">
      <c r="A40" s="5"/>
      <c r="B40" s="23"/>
      <c r="C40" s="23"/>
      <c r="D40" s="24"/>
      <c r="E40" s="19"/>
      <c r="F40" s="12">
        <v>3000</v>
      </c>
      <c r="G40" s="11">
        <v>45894</v>
      </c>
      <c r="H40" s="12">
        <f t="shared" si="1"/>
        <v>16445.800000000003</v>
      </c>
      <c r="I40" s="10"/>
      <c r="J40" s="10" t="s">
        <v>175</v>
      </c>
      <c r="K40" s="5" t="s">
        <v>136</v>
      </c>
    </row>
    <row r="41" spans="1:12" x14ac:dyDescent="0.25">
      <c r="A41" s="5"/>
      <c r="B41" s="23"/>
      <c r="C41" s="23"/>
      <c r="D41" s="24"/>
      <c r="E41" s="19"/>
      <c r="F41" s="12">
        <v>2000</v>
      </c>
      <c r="G41" s="11">
        <v>45896</v>
      </c>
      <c r="H41" s="12">
        <f t="shared" si="1"/>
        <v>14445.800000000003</v>
      </c>
      <c r="I41" s="10"/>
      <c r="J41" s="10" t="s">
        <v>175</v>
      </c>
      <c r="K41" s="5" t="s">
        <v>136</v>
      </c>
    </row>
    <row r="42" spans="1:12" x14ac:dyDescent="0.25">
      <c r="A42" s="5"/>
      <c r="B42" s="23"/>
      <c r="C42" s="23"/>
      <c r="D42" s="24"/>
      <c r="E42" s="19"/>
      <c r="F42" s="12">
        <v>2000</v>
      </c>
      <c r="G42" s="11">
        <v>45897</v>
      </c>
      <c r="H42" s="12">
        <f t="shared" si="1"/>
        <v>12445.800000000003</v>
      </c>
      <c r="I42" s="10"/>
      <c r="J42" s="10" t="s">
        <v>175</v>
      </c>
      <c r="K42" s="5" t="s">
        <v>136</v>
      </c>
    </row>
    <row r="43" spans="1:12" x14ac:dyDescent="0.25">
      <c r="A43" s="5"/>
      <c r="B43" s="23"/>
      <c r="C43" s="23"/>
      <c r="D43" s="24"/>
      <c r="E43" s="19"/>
      <c r="F43" s="12">
        <v>6000</v>
      </c>
      <c r="G43" s="11">
        <v>45898</v>
      </c>
      <c r="H43" s="12">
        <f t="shared" si="1"/>
        <v>6445.8000000000029</v>
      </c>
      <c r="I43" s="10"/>
      <c r="J43" s="10" t="s">
        <v>175</v>
      </c>
      <c r="K43" s="5" t="s">
        <v>136</v>
      </c>
    </row>
    <row r="44" spans="1:12" x14ac:dyDescent="0.25">
      <c r="A44" s="5"/>
      <c r="B44" s="23"/>
      <c r="C44" s="23"/>
      <c r="D44" s="24"/>
      <c r="E44" s="19"/>
      <c r="F44" s="12">
        <v>2000</v>
      </c>
      <c r="G44" s="11">
        <v>45899</v>
      </c>
      <c r="H44" s="12">
        <f t="shared" si="1"/>
        <v>4445.8000000000029</v>
      </c>
      <c r="I44" s="10"/>
      <c r="J44" s="10" t="s">
        <v>175</v>
      </c>
      <c r="K44" s="5" t="s">
        <v>136</v>
      </c>
    </row>
    <row r="45" spans="1:12" x14ac:dyDescent="0.25">
      <c r="A45" s="5"/>
      <c r="B45" s="23"/>
      <c r="C45" s="23"/>
      <c r="D45" s="24"/>
      <c r="E45" s="19"/>
      <c r="F45" s="12">
        <v>4425</v>
      </c>
      <c r="G45" s="11">
        <v>45903</v>
      </c>
      <c r="H45" s="12">
        <f t="shared" si="1"/>
        <v>20.80000000000291</v>
      </c>
      <c r="I45" s="10"/>
      <c r="J45" s="10" t="s">
        <v>175</v>
      </c>
      <c r="K45" s="5" t="s">
        <v>136</v>
      </c>
      <c r="L45" s="49">
        <f>SUM(F29:F45)</f>
        <v>85050</v>
      </c>
    </row>
    <row r="46" spans="1:12" x14ac:dyDescent="0.25">
      <c r="A46" s="5"/>
      <c r="B46" s="23"/>
      <c r="C46" s="23"/>
      <c r="D46" s="24"/>
      <c r="E46" s="19"/>
      <c r="F46" s="12"/>
      <c r="G46" s="11"/>
      <c r="H46" s="12">
        <f t="shared" si="1"/>
        <v>20.80000000000291</v>
      </c>
      <c r="I46" s="10"/>
      <c r="J46" s="10"/>
      <c r="K46" s="5"/>
    </row>
    <row r="47" spans="1:12" x14ac:dyDescent="0.25">
      <c r="A47" s="5"/>
      <c r="B47" s="23"/>
      <c r="C47" s="23"/>
      <c r="D47" s="24"/>
      <c r="E47" s="19"/>
      <c r="F47" s="12"/>
      <c r="G47" s="11"/>
      <c r="H47" s="12">
        <f t="shared" si="1"/>
        <v>20.80000000000291</v>
      </c>
      <c r="I47" s="10"/>
      <c r="J47" s="10"/>
      <c r="K47" s="5"/>
    </row>
    <row r="48" spans="1:12" ht="16.5" thickBot="1" x14ac:dyDescent="0.3">
      <c r="A48" s="5"/>
      <c r="B48" s="23"/>
      <c r="C48" s="23"/>
      <c r="D48" s="24"/>
      <c r="E48" s="19"/>
      <c r="F48" s="12"/>
      <c r="G48" s="11"/>
      <c r="H48" s="27">
        <f>+H47+E48-F48</f>
        <v>20.80000000000291</v>
      </c>
      <c r="I48" s="10"/>
      <c r="J48" s="10"/>
      <c r="K48" s="5"/>
    </row>
    <row r="49" spans="1:11" ht="17.25" thickTop="1" thickBot="1" x14ac:dyDescent="0.3">
      <c r="A49" s="5"/>
      <c r="B49" s="268" t="s">
        <v>55</v>
      </c>
      <c r="C49" s="268"/>
      <c r="D49" s="268"/>
      <c r="E49" s="20">
        <f>SUM(E11:E48)</f>
        <v>373635</v>
      </c>
      <c r="F49" s="25">
        <f>SUM(F11:F48)-H11</f>
        <v>373614.2</v>
      </c>
      <c r="G49" s="5"/>
      <c r="H49" s="5"/>
      <c r="I49" s="5"/>
      <c r="J49" s="5"/>
      <c r="K49" s="5"/>
    </row>
    <row r="50" spans="1:11" ht="16.5" thickBot="1" x14ac:dyDescent="0.3">
      <c r="A50" s="5"/>
      <c r="B50" s="5"/>
      <c r="C50" s="5"/>
      <c r="D50" s="5"/>
      <c r="E50" s="5"/>
      <c r="F50" s="26">
        <f>+E49-F49</f>
        <v>20.799999999988358</v>
      </c>
      <c r="G50" s="5"/>
      <c r="H50" s="5"/>
      <c r="I50" s="5"/>
      <c r="J50" s="5"/>
      <c r="K50" s="5"/>
    </row>
    <row r="51" spans="1:11" x14ac:dyDescent="0.25">
      <c r="A51" s="5"/>
      <c r="B51" s="5"/>
      <c r="C51" s="5"/>
      <c r="D51" s="5"/>
      <c r="E51" s="5"/>
      <c r="F51" s="5"/>
      <c r="G51" s="5"/>
      <c r="H51" s="16"/>
      <c r="I51" s="16"/>
      <c r="J51" s="5"/>
      <c r="K51" s="5"/>
    </row>
    <row r="52" spans="1:11" x14ac:dyDescent="0.25">
      <c r="A52" s="5"/>
      <c r="B52" s="5"/>
      <c r="C52" s="5"/>
      <c r="D52" s="5"/>
      <c r="E52" s="5"/>
      <c r="F52" s="5"/>
      <c r="G52" s="5"/>
      <c r="H52" s="16"/>
      <c r="I52" s="5"/>
      <c r="J52" s="5"/>
      <c r="K52" s="5"/>
    </row>
  </sheetData>
  <mergeCells count="4">
    <mergeCell ref="B2:J2"/>
    <mergeCell ref="B3:J3"/>
    <mergeCell ref="B49:D49"/>
    <mergeCell ref="B11:E1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727C-479C-4963-B3B3-4E5D4D741B19}">
  <sheetPr codeName="Hoja60">
    <pageSetUpPr fitToPage="1"/>
  </sheetPr>
  <dimension ref="A1:AK57"/>
  <sheetViews>
    <sheetView topLeftCell="A4" zoomScale="90" zoomScaleNormal="90" workbookViewId="0">
      <pane xSplit="3" ySplit="4" topLeftCell="AG17" activePane="bottomRight" state="frozen"/>
      <selection activeCell="E66" sqref="E66"/>
      <selection pane="topRight" activeCell="E66" sqref="E66"/>
      <selection pane="bottomLeft" activeCell="E66" sqref="E66"/>
      <selection pane="bottomRight" activeCell="AI29" sqref="AI29"/>
    </sheetView>
  </sheetViews>
  <sheetFormatPr baseColWidth="10" defaultColWidth="11.42578125" defaultRowHeight="15.75" x14ac:dyDescent="0.25"/>
  <cols>
    <col min="1" max="1" width="3.5703125" style="2" customWidth="1"/>
    <col min="2" max="2" width="24.42578125" style="1" customWidth="1"/>
    <col min="3" max="3" width="13.140625" style="1" customWidth="1"/>
    <col min="4" max="29" width="15.140625" style="1" hidden="1" customWidth="1"/>
    <col min="30" max="32" width="15.28515625" style="1" hidden="1" customWidth="1"/>
    <col min="33" max="33" width="15.28515625" style="1" customWidth="1"/>
    <col min="34" max="34" width="15.140625" style="1" customWidth="1"/>
    <col min="35" max="35" width="18.140625" style="1" customWidth="1"/>
    <col min="36" max="36" width="11.42578125" style="1"/>
    <col min="37" max="37" width="12.42578125" style="1" bestFit="1" customWidth="1"/>
    <col min="38" max="16384" width="11.42578125" style="1"/>
  </cols>
  <sheetData>
    <row r="1" spans="1:35" ht="15" customHeight="1" x14ac:dyDescent="0.25">
      <c r="B1" s="30"/>
      <c r="C1" s="31"/>
    </row>
    <row r="2" spans="1:35" ht="15" customHeight="1" x14ac:dyDescent="0.25">
      <c r="B2" s="30"/>
      <c r="C2" s="31"/>
    </row>
    <row r="3" spans="1:35" ht="18" x14ac:dyDescent="0.25">
      <c r="A3" s="90" t="s">
        <v>68</v>
      </c>
      <c r="B3" s="90"/>
      <c r="C3" s="90"/>
    </row>
    <row r="4" spans="1:35" ht="18" x14ac:dyDescent="0.25">
      <c r="A4" s="90" t="s">
        <v>50</v>
      </c>
      <c r="B4" s="90"/>
      <c r="C4" s="90"/>
    </row>
    <row r="5" spans="1:35" ht="20.25" customHeight="1" x14ac:dyDescent="0.25">
      <c r="A5" s="111" t="s">
        <v>289</v>
      </c>
      <c r="B5" s="31"/>
      <c r="C5" s="31"/>
    </row>
    <row r="6" spans="1:35" ht="20.25" customHeight="1" x14ac:dyDescent="0.25">
      <c r="A6" s="270" t="s">
        <v>64</v>
      </c>
      <c r="B6" s="270" t="s">
        <v>1</v>
      </c>
      <c r="C6" s="270" t="s">
        <v>2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9"/>
      <c r="AD6" s="88"/>
      <c r="AE6" s="88"/>
      <c r="AF6" s="88"/>
      <c r="AG6" s="88"/>
      <c r="AH6" s="89"/>
      <c r="AI6" s="270" t="s">
        <v>80</v>
      </c>
    </row>
    <row r="7" spans="1:35" s="32" customFormat="1" ht="17.25" customHeight="1" x14ac:dyDescent="0.25">
      <c r="A7" s="270"/>
      <c r="B7" s="270"/>
      <c r="C7" s="270"/>
      <c r="D7" s="62">
        <v>1</v>
      </c>
      <c r="E7" s="62">
        <v>2</v>
      </c>
      <c r="F7" s="62">
        <v>3</v>
      </c>
      <c r="G7" s="62">
        <v>4</v>
      </c>
      <c r="H7" s="99" t="s">
        <v>81</v>
      </c>
      <c r="I7" s="62">
        <v>6</v>
      </c>
      <c r="J7" s="62">
        <v>7</v>
      </c>
      <c r="K7" s="62">
        <v>8</v>
      </c>
      <c r="L7" s="62">
        <v>9</v>
      </c>
      <c r="M7" s="62">
        <v>10</v>
      </c>
      <c r="N7" s="62">
        <v>11</v>
      </c>
      <c r="O7" s="99" t="s">
        <v>82</v>
      </c>
      <c r="P7" s="62">
        <v>13</v>
      </c>
      <c r="Q7" s="62">
        <v>14</v>
      </c>
      <c r="R7" s="62">
        <v>15</v>
      </c>
      <c r="S7" s="62">
        <v>16</v>
      </c>
      <c r="T7" s="62">
        <v>17</v>
      </c>
      <c r="U7" s="62">
        <v>18</v>
      </c>
      <c r="V7" s="99" t="s">
        <v>83</v>
      </c>
      <c r="W7" s="62">
        <v>20</v>
      </c>
      <c r="X7" s="62">
        <v>21</v>
      </c>
      <c r="Y7" s="62">
        <v>22</v>
      </c>
      <c r="Z7" s="62">
        <v>23</v>
      </c>
      <c r="AA7" s="62">
        <v>24</v>
      </c>
      <c r="AB7" s="62">
        <v>25</v>
      </c>
      <c r="AC7" s="99" t="s">
        <v>84</v>
      </c>
      <c r="AD7" s="62">
        <v>27</v>
      </c>
      <c r="AE7" s="62">
        <v>28</v>
      </c>
      <c r="AF7" s="62">
        <v>29</v>
      </c>
      <c r="AG7" s="62">
        <v>31</v>
      </c>
      <c r="AH7" s="99" t="s">
        <v>84</v>
      </c>
      <c r="AI7" s="270"/>
    </row>
    <row r="8" spans="1:35" s="32" customFormat="1" ht="16.5" customHeight="1" x14ac:dyDescent="0.25">
      <c r="A8" s="56">
        <v>1</v>
      </c>
      <c r="B8" s="57" t="s">
        <v>25</v>
      </c>
      <c r="C8" s="54" t="s">
        <v>13</v>
      </c>
      <c r="D8" s="63"/>
      <c r="E8" s="63"/>
      <c r="F8" s="63"/>
      <c r="G8" s="63"/>
      <c r="H8" s="66">
        <f t="shared" ref="H8:H50" si="0">SUM(D8:G8)</f>
        <v>0</v>
      </c>
      <c r="I8" s="63"/>
      <c r="J8" s="63"/>
      <c r="K8" s="63"/>
      <c r="L8" s="63"/>
      <c r="M8" s="63"/>
      <c r="N8" s="63"/>
      <c r="O8" s="66">
        <f>SUM(I8:N8)</f>
        <v>0</v>
      </c>
      <c r="P8" s="63"/>
      <c r="Q8" s="63"/>
      <c r="R8" s="63"/>
      <c r="S8" s="63"/>
      <c r="T8" s="63"/>
      <c r="U8" s="63"/>
      <c r="V8" s="66">
        <f>SUM(P8:U8)</f>
        <v>0</v>
      </c>
      <c r="W8" s="63"/>
      <c r="X8" s="63"/>
      <c r="Y8" s="63"/>
      <c r="Z8" s="63"/>
      <c r="AA8" s="63"/>
      <c r="AB8" s="63"/>
      <c r="AC8" s="66">
        <f t="shared" ref="AC8:AC50" si="1">SUM(W8:AB8)</f>
        <v>0</v>
      </c>
      <c r="AD8" s="63"/>
      <c r="AE8" s="63"/>
      <c r="AF8" s="63"/>
      <c r="AG8" s="63"/>
      <c r="AH8" s="66">
        <f t="shared" ref="AH8:AH48" si="2">SUM(AD8:AG8)</f>
        <v>0</v>
      </c>
      <c r="AI8" s="68">
        <f t="shared" ref="AI8:AI21" si="3">+H8+O8+V8+AH8</f>
        <v>0</v>
      </c>
    </row>
    <row r="9" spans="1:35" ht="16.5" customHeight="1" x14ac:dyDescent="0.25">
      <c r="A9" s="56">
        <f>1+A8</f>
        <v>2</v>
      </c>
      <c r="B9" s="57" t="s">
        <v>11</v>
      </c>
      <c r="C9" s="54" t="s">
        <v>6</v>
      </c>
      <c r="D9" s="64"/>
      <c r="E9" s="64"/>
      <c r="F9" s="64"/>
      <c r="G9" s="64"/>
      <c r="H9" s="66">
        <f t="shared" si="0"/>
        <v>0</v>
      </c>
      <c r="I9" s="64"/>
      <c r="J9" s="64"/>
      <c r="K9" s="64"/>
      <c r="L9" s="64"/>
      <c r="M9" s="64"/>
      <c r="N9" s="64"/>
      <c r="O9" s="66">
        <f t="shared" ref="O9:O50" si="4">SUM(I9:N9)</f>
        <v>0</v>
      </c>
      <c r="P9" s="64"/>
      <c r="Q9" s="64"/>
      <c r="R9" s="64"/>
      <c r="S9" s="64"/>
      <c r="T9" s="64"/>
      <c r="U9" s="64"/>
      <c r="V9" s="66">
        <f>SUM(P9:U9)</f>
        <v>0</v>
      </c>
      <c r="W9" s="64"/>
      <c r="X9" s="64"/>
      <c r="Y9" s="64"/>
      <c r="Z9" s="64"/>
      <c r="AA9" s="64"/>
      <c r="AB9" s="64"/>
      <c r="AC9" s="66">
        <f t="shared" si="1"/>
        <v>0</v>
      </c>
      <c r="AD9" s="64"/>
      <c r="AE9" s="64"/>
      <c r="AF9" s="64"/>
      <c r="AG9" s="64"/>
      <c r="AH9" s="66">
        <f t="shared" si="2"/>
        <v>0</v>
      </c>
      <c r="AI9" s="68">
        <f t="shared" si="3"/>
        <v>0</v>
      </c>
    </row>
    <row r="10" spans="1:35" ht="16.5" customHeight="1" x14ac:dyDescent="0.25">
      <c r="A10" s="56">
        <f t="shared" ref="A10:A21" si="5">1+A9</f>
        <v>3</v>
      </c>
      <c r="B10" s="57" t="s">
        <v>70</v>
      </c>
      <c r="C10" s="54" t="s">
        <v>13</v>
      </c>
      <c r="D10" s="67"/>
      <c r="E10" s="67"/>
      <c r="F10" s="67"/>
      <c r="G10" s="67"/>
      <c r="H10" s="66">
        <f t="shared" si="0"/>
        <v>0</v>
      </c>
      <c r="I10" s="67"/>
      <c r="J10" s="67"/>
      <c r="K10" s="67"/>
      <c r="L10" s="67"/>
      <c r="M10" s="67"/>
      <c r="N10" s="67"/>
      <c r="O10" s="66">
        <f t="shared" si="4"/>
        <v>0</v>
      </c>
      <c r="P10" s="67"/>
      <c r="Q10" s="67"/>
      <c r="R10" s="67"/>
      <c r="S10" s="67"/>
      <c r="T10" s="67"/>
      <c r="U10" s="67"/>
      <c r="V10" s="66">
        <f t="shared" ref="V10:V48" si="6">SUM(P10:U10)</f>
        <v>0</v>
      </c>
      <c r="W10" s="67"/>
      <c r="X10" s="67"/>
      <c r="Y10" s="67"/>
      <c r="Z10" s="67"/>
      <c r="AA10" s="67"/>
      <c r="AB10" s="67"/>
      <c r="AC10" s="66">
        <f t="shared" si="1"/>
        <v>0</v>
      </c>
      <c r="AD10" s="67"/>
      <c r="AE10" s="67"/>
      <c r="AF10" s="67"/>
      <c r="AG10" s="67"/>
      <c r="AH10" s="66">
        <f t="shared" si="2"/>
        <v>0</v>
      </c>
      <c r="AI10" s="68">
        <f t="shared" si="3"/>
        <v>0</v>
      </c>
    </row>
    <row r="11" spans="1:35" ht="16.5" customHeight="1" x14ac:dyDescent="0.25">
      <c r="A11" s="56">
        <f t="shared" si="5"/>
        <v>4</v>
      </c>
      <c r="B11" s="57" t="s">
        <v>23</v>
      </c>
      <c r="C11" s="54" t="s">
        <v>9</v>
      </c>
      <c r="D11" s="67"/>
      <c r="E11" s="67"/>
      <c r="F11" s="67"/>
      <c r="G11" s="67"/>
      <c r="H11" s="66">
        <f t="shared" si="0"/>
        <v>0</v>
      </c>
      <c r="I11" s="67"/>
      <c r="J11" s="67"/>
      <c r="K11" s="67"/>
      <c r="L11" s="67"/>
      <c r="M11" s="67"/>
      <c r="N11" s="67"/>
      <c r="O11" s="66">
        <f t="shared" si="4"/>
        <v>0</v>
      </c>
      <c r="P11" s="67"/>
      <c r="Q11" s="67"/>
      <c r="R11" s="67"/>
      <c r="S11" s="67"/>
      <c r="T11" s="67"/>
      <c r="U11" s="67"/>
      <c r="V11" s="66">
        <f t="shared" si="6"/>
        <v>0</v>
      </c>
      <c r="W11" s="67"/>
      <c r="X11" s="67"/>
      <c r="Y11" s="67"/>
      <c r="Z11" s="67"/>
      <c r="AA11" s="67"/>
      <c r="AB11" s="67"/>
      <c r="AC11" s="66">
        <f t="shared" si="1"/>
        <v>0</v>
      </c>
      <c r="AD11" s="67"/>
      <c r="AE11" s="67"/>
      <c r="AF11" s="67"/>
      <c r="AG11" s="67"/>
      <c r="AH11" s="66">
        <f t="shared" si="2"/>
        <v>0</v>
      </c>
      <c r="AI11" s="68">
        <f t="shared" si="3"/>
        <v>0</v>
      </c>
    </row>
    <row r="12" spans="1:35" ht="16.5" customHeight="1" x14ac:dyDescent="0.25">
      <c r="A12" s="56">
        <f t="shared" si="5"/>
        <v>5</v>
      </c>
      <c r="B12" s="57" t="s">
        <v>24</v>
      </c>
      <c r="C12" s="54" t="s">
        <v>9</v>
      </c>
      <c r="D12" s="67"/>
      <c r="E12" s="67"/>
      <c r="F12" s="67"/>
      <c r="G12" s="67"/>
      <c r="H12" s="66">
        <f t="shared" si="0"/>
        <v>0</v>
      </c>
      <c r="I12" s="67"/>
      <c r="J12" s="67"/>
      <c r="K12" s="67"/>
      <c r="L12" s="67"/>
      <c r="M12" s="67"/>
      <c r="N12" s="67"/>
      <c r="O12" s="66">
        <f t="shared" si="4"/>
        <v>0</v>
      </c>
      <c r="P12" s="67"/>
      <c r="Q12" s="67"/>
      <c r="R12" s="67"/>
      <c r="S12" s="67"/>
      <c r="T12" s="67"/>
      <c r="U12" s="67"/>
      <c r="V12" s="66">
        <f t="shared" si="6"/>
        <v>0</v>
      </c>
      <c r="W12" s="67"/>
      <c r="X12" s="67"/>
      <c r="Y12" s="67"/>
      <c r="Z12" s="67"/>
      <c r="AA12" s="67"/>
      <c r="AB12" s="67"/>
      <c r="AC12" s="66">
        <f t="shared" si="1"/>
        <v>0</v>
      </c>
      <c r="AD12" s="67"/>
      <c r="AE12" s="67"/>
      <c r="AF12" s="67"/>
      <c r="AG12" s="67"/>
      <c r="AH12" s="66">
        <f t="shared" si="2"/>
        <v>0</v>
      </c>
      <c r="AI12" s="68">
        <f t="shared" si="3"/>
        <v>0</v>
      </c>
    </row>
    <row r="13" spans="1:35" ht="16.5" customHeight="1" x14ac:dyDescent="0.25">
      <c r="A13" s="56">
        <f t="shared" si="5"/>
        <v>6</v>
      </c>
      <c r="B13" s="57" t="s">
        <v>12</v>
      </c>
      <c r="C13" s="54" t="s">
        <v>13</v>
      </c>
      <c r="D13" s="67"/>
      <c r="E13" s="67"/>
      <c r="F13" s="67"/>
      <c r="G13" s="67"/>
      <c r="H13" s="66">
        <f t="shared" si="0"/>
        <v>0</v>
      </c>
      <c r="I13" s="67"/>
      <c r="J13" s="67"/>
      <c r="K13" s="67"/>
      <c r="L13" s="67"/>
      <c r="M13" s="67"/>
      <c r="N13" s="67"/>
      <c r="O13" s="66">
        <f t="shared" si="4"/>
        <v>0</v>
      </c>
      <c r="P13" s="67"/>
      <c r="Q13" s="67"/>
      <c r="R13" s="67"/>
      <c r="S13" s="67"/>
      <c r="T13" s="67"/>
      <c r="U13" s="67"/>
      <c r="V13" s="66">
        <f t="shared" si="6"/>
        <v>0</v>
      </c>
      <c r="W13" s="67"/>
      <c r="X13" s="67"/>
      <c r="Y13" s="67"/>
      <c r="Z13" s="67"/>
      <c r="AA13" s="67"/>
      <c r="AB13" s="67"/>
      <c r="AC13" s="66">
        <f t="shared" si="1"/>
        <v>0</v>
      </c>
      <c r="AD13" s="67"/>
      <c r="AE13" s="67"/>
      <c r="AF13" s="67"/>
      <c r="AG13" s="67"/>
      <c r="AH13" s="66">
        <f t="shared" si="2"/>
        <v>0</v>
      </c>
      <c r="AI13" s="68">
        <f t="shared" si="3"/>
        <v>0</v>
      </c>
    </row>
    <row r="14" spans="1:35" ht="16.5" customHeight="1" x14ac:dyDescent="0.25">
      <c r="A14" s="56">
        <f t="shared" si="5"/>
        <v>7</v>
      </c>
      <c r="B14" s="55" t="s">
        <v>5</v>
      </c>
      <c r="C14" s="54" t="s">
        <v>6</v>
      </c>
      <c r="D14" s="67"/>
      <c r="E14" s="67"/>
      <c r="F14" s="67"/>
      <c r="G14" s="67"/>
      <c r="H14" s="66">
        <f t="shared" si="0"/>
        <v>0</v>
      </c>
      <c r="I14" s="67"/>
      <c r="J14" s="67"/>
      <c r="K14" s="67"/>
      <c r="L14" s="67"/>
      <c r="M14" s="67"/>
      <c r="N14" s="67"/>
      <c r="O14" s="66">
        <f t="shared" si="4"/>
        <v>0</v>
      </c>
      <c r="P14" s="67"/>
      <c r="Q14" s="67"/>
      <c r="R14" s="67"/>
      <c r="S14" s="67"/>
      <c r="T14" s="67"/>
      <c r="U14" s="67"/>
      <c r="V14" s="66">
        <f t="shared" si="6"/>
        <v>0</v>
      </c>
      <c r="W14" s="67"/>
      <c r="X14" s="67"/>
      <c r="Y14" s="67"/>
      <c r="Z14" s="67"/>
      <c r="AA14" s="67"/>
      <c r="AB14" s="67"/>
      <c r="AC14" s="66">
        <f t="shared" si="1"/>
        <v>0</v>
      </c>
      <c r="AD14" s="67"/>
      <c r="AE14" s="67"/>
      <c r="AF14" s="67"/>
      <c r="AG14" s="67"/>
      <c r="AH14" s="66">
        <f t="shared" si="2"/>
        <v>0</v>
      </c>
      <c r="AI14" s="68">
        <f t="shared" si="3"/>
        <v>0</v>
      </c>
    </row>
    <row r="15" spans="1:35" ht="16.5" customHeight="1" x14ac:dyDescent="0.25">
      <c r="A15" s="56">
        <f t="shared" si="5"/>
        <v>8</v>
      </c>
      <c r="B15" s="57" t="s">
        <v>21</v>
      </c>
      <c r="C15" s="54" t="s">
        <v>16</v>
      </c>
      <c r="D15" s="67"/>
      <c r="E15" s="67"/>
      <c r="F15" s="67"/>
      <c r="G15" s="67"/>
      <c r="H15" s="66">
        <f t="shared" si="0"/>
        <v>0</v>
      </c>
      <c r="I15" s="67"/>
      <c r="J15" s="67"/>
      <c r="K15" s="67"/>
      <c r="L15" s="67"/>
      <c r="M15" s="67"/>
      <c r="N15" s="67"/>
      <c r="O15" s="66">
        <f t="shared" si="4"/>
        <v>0</v>
      </c>
      <c r="P15" s="67"/>
      <c r="Q15" s="67"/>
      <c r="R15" s="67"/>
      <c r="S15" s="67"/>
      <c r="T15" s="67"/>
      <c r="U15" s="67"/>
      <c r="V15" s="66">
        <f t="shared" si="6"/>
        <v>0</v>
      </c>
      <c r="W15" s="67"/>
      <c r="X15" s="67"/>
      <c r="Y15" s="67"/>
      <c r="Z15" s="67"/>
      <c r="AA15" s="67"/>
      <c r="AB15" s="67"/>
      <c r="AC15" s="66">
        <f t="shared" si="1"/>
        <v>0</v>
      </c>
      <c r="AD15" s="67"/>
      <c r="AE15" s="67"/>
      <c r="AF15" s="67"/>
      <c r="AG15" s="67"/>
      <c r="AH15" s="66">
        <f t="shared" si="2"/>
        <v>0</v>
      </c>
      <c r="AI15" s="68">
        <f t="shared" si="3"/>
        <v>0</v>
      </c>
    </row>
    <row r="16" spans="1:35" ht="16.5" customHeight="1" x14ac:dyDescent="0.25">
      <c r="A16" s="56">
        <f t="shared" si="5"/>
        <v>9</v>
      </c>
      <c r="B16" s="57" t="s">
        <v>15</v>
      </c>
      <c r="C16" s="54" t="s">
        <v>16</v>
      </c>
      <c r="D16" s="67"/>
      <c r="E16" s="67"/>
      <c r="F16" s="67"/>
      <c r="G16" s="67"/>
      <c r="H16" s="66">
        <f t="shared" si="0"/>
        <v>0</v>
      </c>
      <c r="I16" s="67"/>
      <c r="J16" s="67"/>
      <c r="K16" s="67"/>
      <c r="L16" s="67"/>
      <c r="M16" s="67"/>
      <c r="N16" s="67"/>
      <c r="O16" s="66">
        <f t="shared" si="4"/>
        <v>0</v>
      </c>
      <c r="P16" s="67"/>
      <c r="Q16" s="67"/>
      <c r="R16" s="67"/>
      <c r="S16" s="67"/>
      <c r="T16" s="67"/>
      <c r="U16" s="67"/>
      <c r="V16" s="66">
        <f t="shared" si="6"/>
        <v>0</v>
      </c>
      <c r="W16" s="67"/>
      <c r="X16" s="67"/>
      <c r="Y16" s="67"/>
      <c r="Z16" s="67"/>
      <c r="AA16" s="67"/>
      <c r="AB16" s="67"/>
      <c r="AC16" s="66">
        <f t="shared" si="1"/>
        <v>0</v>
      </c>
      <c r="AD16" s="67"/>
      <c r="AE16" s="67"/>
      <c r="AF16" s="67"/>
      <c r="AG16" s="67"/>
      <c r="AH16" s="66">
        <f t="shared" si="2"/>
        <v>0</v>
      </c>
      <c r="AI16" s="68">
        <f t="shared" si="3"/>
        <v>0</v>
      </c>
    </row>
    <row r="17" spans="1:37" ht="16.5" customHeight="1" x14ac:dyDescent="0.25">
      <c r="A17" s="56">
        <f t="shared" si="5"/>
        <v>10</v>
      </c>
      <c r="B17" s="57" t="s">
        <v>27</v>
      </c>
      <c r="C17" s="54" t="s">
        <v>26</v>
      </c>
      <c r="D17" s="67"/>
      <c r="E17" s="67"/>
      <c r="F17" s="67"/>
      <c r="G17" s="67"/>
      <c r="H17" s="66">
        <f t="shared" si="0"/>
        <v>0</v>
      </c>
      <c r="I17" s="67"/>
      <c r="J17" s="67"/>
      <c r="K17" s="67"/>
      <c r="L17" s="67"/>
      <c r="M17" s="67"/>
      <c r="N17" s="67"/>
      <c r="O17" s="66">
        <f t="shared" si="4"/>
        <v>0</v>
      </c>
      <c r="P17" s="67"/>
      <c r="Q17" s="67"/>
      <c r="R17" s="67"/>
      <c r="S17" s="67"/>
      <c r="T17" s="67"/>
      <c r="U17" s="67"/>
      <c r="V17" s="66">
        <f t="shared" si="6"/>
        <v>0</v>
      </c>
      <c r="W17" s="67"/>
      <c r="X17" s="67"/>
      <c r="Y17" s="67"/>
      <c r="Z17" s="67"/>
      <c r="AA17" s="67"/>
      <c r="AB17" s="67"/>
      <c r="AC17" s="66">
        <f t="shared" si="1"/>
        <v>0</v>
      </c>
      <c r="AD17" s="67"/>
      <c r="AE17" s="67"/>
      <c r="AF17" s="67"/>
      <c r="AG17" s="67"/>
      <c r="AH17" s="66">
        <f t="shared" si="2"/>
        <v>0</v>
      </c>
      <c r="AI17" s="68">
        <f t="shared" si="3"/>
        <v>0</v>
      </c>
    </row>
    <row r="18" spans="1:37" ht="16.5" customHeight="1" x14ac:dyDescent="0.25">
      <c r="A18" s="56">
        <f t="shared" si="5"/>
        <v>11</v>
      </c>
      <c r="B18" s="57" t="s">
        <v>8</v>
      </c>
      <c r="C18" s="54" t="s">
        <v>9</v>
      </c>
      <c r="D18" s="67"/>
      <c r="E18" s="67"/>
      <c r="F18" s="67"/>
      <c r="G18" s="67"/>
      <c r="H18" s="66">
        <f t="shared" si="0"/>
        <v>0</v>
      </c>
      <c r="I18" s="67"/>
      <c r="J18" s="67"/>
      <c r="K18" s="67"/>
      <c r="L18" s="67"/>
      <c r="M18" s="67"/>
      <c r="N18" s="67"/>
      <c r="O18" s="66">
        <f t="shared" si="4"/>
        <v>0</v>
      </c>
      <c r="P18" s="67"/>
      <c r="Q18" s="67"/>
      <c r="R18" s="67"/>
      <c r="S18" s="67"/>
      <c r="T18" s="67"/>
      <c r="U18" s="67"/>
      <c r="V18" s="66">
        <f t="shared" si="6"/>
        <v>0</v>
      </c>
      <c r="W18" s="67"/>
      <c r="X18" s="67"/>
      <c r="Y18" s="67"/>
      <c r="Z18" s="67"/>
      <c r="AA18" s="67"/>
      <c r="AB18" s="67"/>
      <c r="AC18" s="66">
        <f t="shared" si="1"/>
        <v>0</v>
      </c>
      <c r="AD18" s="67"/>
      <c r="AE18" s="67"/>
      <c r="AF18" s="67"/>
      <c r="AG18" s="67"/>
      <c r="AH18" s="66">
        <f t="shared" si="2"/>
        <v>0</v>
      </c>
      <c r="AI18" s="68">
        <f t="shared" si="3"/>
        <v>0</v>
      </c>
    </row>
    <row r="19" spans="1:37" ht="16.5" customHeight="1" x14ac:dyDescent="0.25">
      <c r="A19" s="56">
        <f t="shared" si="5"/>
        <v>12</v>
      </c>
      <c r="B19" s="57" t="s">
        <v>28</v>
      </c>
      <c r="C19" s="54" t="s">
        <v>29</v>
      </c>
      <c r="D19" s="67"/>
      <c r="E19" s="67"/>
      <c r="F19" s="67"/>
      <c r="G19" s="67"/>
      <c r="H19" s="66">
        <f t="shared" si="0"/>
        <v>0</v>
      </c>
      <c r="I19" s="67"/>
      <c r="J19" s="67"/>
      <c r="K19" s="67"/>
      <c r="L19" s="67"/>
      <c r="M19" s="67"/>
      <c r="N19" s="67"/>
      <c r="O19" s="66">
        <f t="shared" si="4"/>
        <v>0</v>
      </c>
      <c r="P19" s="67"/>
      <c r="Q19" s="67"/>
      <c r="R19" s="67"/>
      <c r="S19" s="67"/>
      <c r="T19" s="67"/>
      <c r="U19" s="67"/>
      <c r="V19" s="66">
        <f t="shared" si="6"/>
        <v>0</v>
      </c>
      <c r="W19" s="67"/>
      <c r="X19" s="67"/>
      <c r="Y19" s="67"/>
      <c r="Z19" s="67"/>
      <c r="AA19" s="67"/>
      <c r="AB19" s="67"/>
      <c r="AC19" s="66">
        <f t="shared" si="1"/>
        <v>0</v>
      </c>
      <c r="AD19" s="67"/>
      <c r="AE19" s="67"/>
      <c r="AF19" s="67"/>
      <c r="AG19" s="67"/>
      <c r="AH19" s="66">
        <f t="shared" si="2"/>
        <v>0</v>
      </c>
      <c r="AI19" s="68">
        <f t="shared" si="3"/>
        <v>0</v>
      </c>
    </row>
    <row r="20" spans="1:37" ht="16.5" customHeight="1" x14ac:dyDescent="0.25">
      <c r="A20" s="56">
        <f t="shared" si="5"/>
        <v>13</v>
      </c>
      <c r="B20" s="57" t="s">
        <v>10</v>
      </c>
      <c r="C20" s="65" t="s">
        <v>76</v>
      </c>
      <c r="D20" s="67"/>
      <c r="E20" s="67"/>
      <c r="F20" s="67"/>
      <c r="G20" s="67"/>
      <c r="H20" s="66">
        <f t="shared" si="0"/>
        <v>0</v>
      </c>
      <c r="I20" s="67"/>
      <c r="J20" s="67"/>
      <c r="K20" s="67"/>
      <c r="L20" s="67"/>
      <c r="M20" s="67"/>
      <c r="N20" s="67"/>
      <c r="O20" s="66">
        <f t="shared" si="4"/>
        <v>0</v>
      </c>
      <c r="P20" s="67"/>
      <c r="Q20" s="67"/>
      <c r="R20" s="67"/>
      <c r="S20" s="67"/>
      <c r="T20" s="67"/>
      <c r="U20" s="67"/>
      <c r="V20" s="66">
        <f t="shared" si="6"/>
        <v>0</v>
      </c>
      <c r="W20" s="67"/>
      <c r="X20" s="67"/>
      <c r="Y20" s="67"/>
      <c r="Z20" s="67"/>
      <c r="AA20" s="67"/>
      <c r="AB20" s="67"/>
      <c r="AC20" s="66">
        <f t="shared" si="1"/>
        <v>0</v>
      </c>
      <c r="AD20" s="67"/>
      <c r="AE20" s="67"/>
      <c r="AF20" s="67"/>
      <c r="AG20" s="67"/>
      <c r="AH20" s="66">
        <f t="shared" si="2"/>
        <v>0</v>
      </c>
      <c r="AI20" s="68">
        <f t="shared" si="3"/>
        <v>0</v>
      </c>
    </row>
    <row r="21" spans="1:37" ht="16.5" customHeight="1" x14ac:dyDescent="0.25">
      <c r="A21" s="56">
        <f t="shared" si="5"/>
        <v>14</v>
      </c>
      <c r="B21" s="57" t="s">
        <v>7</v>
      </c>
      <c r="C21" s="65" t="s">
        <v>76</v>
      </c>
      <c r="D21" s="67"/>
      <c r="E21" s="67"/>
      <c r="F21" s="67"/>
      <c r="G21" s="67"/>
      <c r="H21" s="66">
        <f t="shared" si="0"/>
        <v>0</v>
      </c>
      <c r="I21" s="67"/>
      <c r="J21" s="67"/>
      <c r="K21" s="67"/>
      <c r="L21" s="67"/>
      <c r="M21" s="67"/>
      <c r="N21" s="67"/>
      <c r="O21" s="66">
        <f t="shared" si="4"/>
        <v>0</v>
      </c>
      <c r="P21" s="67"/>
      <c r="Q21" s="67"/>
      <c r="R21" s="67"/>
      <c r="S21" s="67"/>
      <c r="T21" s="67"/>
      <c r="U21" s="67"/>
      <c r="V21" s="66">
        <f t="shared" si="6"/>
        <v>0</v>
      </c>
      <c r="W21" s="67"/>
      <c r="X21" s="67"/>
      <c r="Y21" s="67"/>
      <c r="Z21" s="67"/>
      <c r="AA21" s="67"/>
      <c r="AB21" s="67"/>
      <c r="AC21" s="66">
        <f t="shared" si="1"/>
        <v>0</v>
      </c>
      <c r="AD21" s="67"/>
      <c r="AE21" s="67"/>
      <c r="AF21" s="67"/>
      <c r="AG21" s="67"/>
      <c r="AH21" s="66">
        <f t="shared" si="2"/>
        <v>0</v>
      </c>
      <c r="AI21" s="68">
        <f t="shared" si="3"/>
        <v>0</v>
      </c>
    </row>
    <row r="22" spans="1:37" ht="27" customHeight="1" x14ac:dyDescent="0.25">
      <c r="A22" s="56" t="e">
        <f>1+#REF!</f>
        <v>#REF!</v>
      </c>
      <c r="B22" s="105" t="s">
        <v>39</v>
      </c>
      <c r="C22" s="54" t="s">
        <v>40</v>
      </c>
      <c r="D22" s="67"/>
      <c r="E22" s="67"/>
      <c r="F22" s="67"/>
      <c r="G22" s="67"/>
      <c r="H22" s="66">
        <f t="shared" si="0"/>
        <v>0</v>
      </c>
      <c r="I22" s="67"/>
      <c r="J22" s="67"/>
      <c r="K22" s="67"/>
      <c r="L22" s="75"/>
      <c r="M22" s="76"/>
      <c r="N22" s="67"/>
      <c r="O22" s="66">
        <f>SUM(I22:N22)</f>
        <v>0</v>
      </c>
      <c r="P22" s="67"/>
      <c r="Q22" s="67"/>
      <c r="R22" s="67"/>
      <c r="S22" s="67"/>
      <c r="T22" s="67"/>
      <c r="U22" s="67"/>
      <c r="V22" s="66">
        <f>SUM(P22:U22)</f>
        <v>0</v>
      </c>
      <c r="W22" s="67"/>
      <c r="X22" s="67"/>
      <c r="Y22" s="67"/>
      <c r="Z22" s="67"/>
      <c r="AA22" s="67"/>
      <c r="AB22" s="67"/>
      <c r="AC22" s="66">
        <f t="shared" si="1"/>
        <v>0</v>
      </c>
      <c r="AD22" s="67"/>
      <c r="AE22" s="67"/>
      <c r="AF22" s="67"/>
      <c r="AG22" s="67"/>
      <c r="AH22" s="66">
        <f t="shared" si="2"/>
        <v>0</v>
      </c>
      <c r="AI22" s="68">
        <f>H22+O22+V22+AH22</f>
        <v>0</v>
      </c>
    </row>
    <row r="23" spans="1:37" ht="17.25" customHeight="1" x14ac:dyDescent="0.25">
      <c r="A23" s="271" t="s">
        <v>77</v>
      </c>
      <c r="B23" s="272"/>
      <c r="C23" s="273"/>
      <c r="D23" s="93"/>
      <c r="E23" s="93"/>
      <c r="F23" s="93"/>
      <c r="G23" s="93">
        <f t="shared" ref="G23" si="7">SUM(G8:G22)</f>
        <v>0</v>
      </c>
      <c r="H23" s="66">
        <f t="shared" si="0"/>
        <v>0</v>
      </c>
      <c r="I23" s="93">
        <f>SUM(I8:I22)</f>
        <v>0</v>
      </c>
      <c r="J23" s="93">
        <f t="shared" ref="J23:N23" si="8">SUM(J8:J22)</f>
        <v>0</v>
      </c>
      <c r="K23" s="93">
        <f t="shared" si="8"/>
        <v>0</v>
      </c>
      <c r="L23" s="93">
        <f t="shared" si="8"/>
        <v>0</v>
      </c>
      <c r="M23" s="93">
        <f t="shared" si="8"/>
        <v>0</v>
      </c>
      <c r="N23" s="93">
        <f t="shared" si="8"/>
        <v>0</v>
      </c>
      <c r="O23" s="91">
        <f t="shared" si="4"/>
        <v>0</v>
      </c>
      <c r="P23" s="93">
        <f>SUM(P8:P22)</f>
        <v>0</v>
      </c>
      <c r="Q23" s="93">
        <f t="shared" ref="Q23:U23" si="9">SUM(Q8:Q22)</f>
        <v>0</v>
      </c>
      <c r="R23" s="93">
        <f t="shared" si="9"/>
        <v>0</v>
      </c>
      <c r="S23" s="93">
        <f t="shared" si="9"/>
        <v>0</v>
      </c>
      <c r="T23" s="93">
        <f t="shared" si="9"/>
        <v>0</v>
      </c>
      <c r="U23" s="93">
        <f t="shared" si="9"/>
        <v>0</v>
      </c>
      <c r="V23" s="91">
        <f t="shared" si="6"/>
        <v>0</v>
      </c>
      <c r="W23" s="93">
        <f>SUM(W8:W22)</f>
        <v>0</v>
      </c>
      <c r="X23" s="93">
        <f>SUM(X8:X22)</f>
        <v>0</v>
      </c>
      <c r="Y23" s="93">
        <f t="shared" ref="Y23:AB23" si="10">SUM(Y8:Y22)</f>
        <v>0</v>
      </c>
      <c r="Z23" s="93">
        <f t="shared" si="10"/>
        <v>0</v>
      </c>
      <c r="AA23" s="93">
        <f t="shared" si="10"/>
        <v>0</v>
      </c>
      <c r="AB23" s="93">
        <f t="shared" si="10"/>
        <v>0</v>
      </c>
      <c r="AC23" s="91">
        <f t="shared" si="1"/>
        <v>0</v>
      </c>
      <c r="AD23" s="93">
        <f>SUM(AD8:AD22)</f>
        <v>0</v>
      </c>
      <c r="AE23" s="93"/>
      <c r="AF23" s="93"/>
      <c r="AG23" s="93">
        <f>SUM(AG8:AG22)</f>
        <v>0</v>
      </c>
      <c r="AH23" s="66">
        <f t="shared" si="2"/>
        <v>0</v>
      </c>
      <c r="AI23" s="69">
        <f>SUM(AI8:AI22)</f>
        <v>0</v>
      </c>
    </row>
    <row r="24" spans="1:37" ht="17.25" customHeight="1" x14ac:dyDescent="0.25">
      <c r="A24" s="40">
        <v>1</v>
      </c>
      <c r="B24" s="41" t="s">
        <v>19</v>
      </c>
      <c r="C24" s="38" t="s">
        <v>18</v>
      </c>
      <c r="D24" s="67"/>
      <c r="E24" s="67"/>
      <c r="F24" s="67"/>
      <c r="G24" s="67"/>
      <c r="H24" s="66">
        <f t="shared" si="0"/>
        <v>0</v>
      </c>
      <c r="I24" s="67"/>
      <c r="J24" s="67"/>
      <c r="K24" s="67"/>
      <c r="L24" s="67"/>
      <c r="M24" s="67"/>
      <c r="N24" s="67"/>
      <c r="O24" s="66">
        <f t="shared" ref="O24:O48" si="11">SUM(I24:N24)</f>
        <v>0</v>
      </c>
      <c r="P24" s="67"/>
      <c r="Q24" s="67"/>
      <c r="R24" s="67"/>
      <c r="S24" s="67"/>
      <c r="T24" s="67"/>
      <c r="U24" s="67"/>
      <c r="V24" s="66">
        <f t="shared" si="6"/>
        <v>0</v>
      </c>
      <c r="W24" s="67"/>
      <c r="X24" s="67"/>
      <c r="Y24" s="67"/>
      <c r="Z24" s="67"/>
      <c r="AA24" s="67"/>
      <c r="AB24" s="67"/>
      <c r="AC24" s="66">
        <f t="shared" si="1"/>
        <v>0</v>
      </c>
      <c r="AD24" s="67"/>
      <c r="AE24" s="67"/>
      <c r="AF24" s="67"/>
      <c r="AG24" s="67"/>
      <c r="AH24" s="66">
        <f t="shared" si="2"/>
        <v>0</v>
      </c>
      <c r="AI24" s="68">
        <f>H24+O24+V24+AC24+AH24</f>
        <v>0</v>
      </c>
    </row>
    <row r="25" spans="1:37" ht="17.25" customHeight="1" x14ac:dyDescent="0.25">
      <c r="A25" s="40">
        <f t="shared" ref="A25:A48" si="12">1+A24</f>
        <v>2</v>
      </c>
      <c r="B25" s="41" t="s">
        <v>31</v>
      </c>
      <c r="C25" s="38" t="s">
        <v>32</v>
      </c>
      <c r="D25" s="67"/>
      <c r="E25" s="67"/>
      <c r="F25" s="67"/>
      <c r="G25" s="67"/>
      <c r="H25" s="66">
        <f t="shared" si="0"/>
        <v>0</v>
      </c>
      <c r="I25" s="67"/>
      <c r="J25" s="12"/>
      <c r="K25" s="67"/>
      <c r="L25" s="12"/>
      <c r="M25" s="67"/>
      <c r="N25" s="67"/>
      <c r="O25" s="66">
        <f t="shared" si="11"/>
        <v>0</v>
      </c>
      <c r="P25" s="67"/>
      <c r="Q25" s="67"/>
      <c r="R25" s="67"/>
      <c r="S25" s="67"/>
      <c r="T25" s="67"/>
      <c r="U25" s="67"/>
      <c r="V25" s="66">
        <f t="shared" si="6"/>
        <v>0</v>
      </c>
      <c r="W25" s="67"/>
      <c r="X25" s="67"/>
      <c r="Y25" s="67"/>
      <c r="Z25" s="67"/>
      <c r="AA25" s="67"/>
      <c r="AB25" s="67"/>
      <c r="AC25" s="66">
        <f t="shared" si="1"/>
        <v>0</v>
      </c>
      <c r="AD25" s="67"/>
      <c r="AE25" s="67"/>
      <c r="AF25" s="67"/>
      <c r="AG25" s="67">
        <v>336200</v>
      </c>
      <c r="AH25" s="66">
        <f t="shared" si="2"/>
        <v>336200</v>
      </c>
      <c r="AI25" s="68">
        <f>H25+O25+V25+AC25+AH25</f>
        <v>336200</v>
      </c>
    </row>
    <row r="26" spans="1:37" ht="17.25" customHeight="1" x14ac:dyDescent="0.25">
      <c r="A26" s="40">
        <f t="shared" si="12"/>
        <v>3</v>
      </c>
      <c r="B26" s="58" t="s">
        <v>75</v>
      </c>
      <c r="C26" s="59" t="s">
        <v>13</v>
      </c>
      <c r="D26" s="67"/>
      <c r="E26" s="67"/>
      <c r="F26" s="67"/>
      <c r="G26" s="67"/>
      <c r="H26" s="66">
        <f t="shared" si="0"/>
        <v>0</v>
      </c>
      <c r="I26" s="67"/>
      <c r="J26" s="67"/>
      <c r="K26" s="67"/>
      <c r="L26" s="67"/>
      <c r="M26" s="67"/>
      <c r="N26" s="67"/>
      <c r="O26" s="66">
        <f t="shared" si="11"/>
        <v>0</v>
      </c>
      <c r="P26" s="67"/>
      <c r="Q26" s="67"/>
      <c r="R26" s="67"/>
      <c r="S26" s="67"/>
      <c r="T26" s="67"/>
      <c r="U26" s="67"/>
      <c r="V26" s="66">
        <f t="shared" si="6"/>
        <v>0</v>
      </c>
      <c r="W26" s="67"/>
      <c r="X26" s="67"/>
      <c r="Y26" s="67"/>
      <c r="Z26" s="67"/>
      <c r="AA26" s="67"/>
      <c r="AB26" s="67"/>
      <c r="AC26" s="66">
        <f t="shared" si="1"/>
        <v>0</v>
      </c>
      <c r="AD26" s="67"/>
      <c r="AE26" s="67"/>
      <c r="AF26" s="67"/>
      <c r="AG26" s="67"/>
      <c r="AH26" s="66">
        <f t="shared" si="2"/>
        <v>0</v>
      </c>
      <c r="AI26" s="68">
        <f t="shared" ref="AI26:AI48" si="13">H26+O26+V26+AC26+AH26</f>
        <v>0</v>
      </c>
    </row>
    <row r="27" spans="1:37" ht="17.25" customHeight="1" x14ac:dyDescent="0.25">
      <c r="A27" s="40">
        <f t="shared" si="12"/>
        <v>4</v>
      </c>
      <c r="B27" s="58" t="s">
        <v>112</v>
      </c>
      <c r="C27" s="59" t="s">
        <v>32</v>
      </c>
      <c r="D27" s="67"/>
      <c r="E27" s="67"/>
      <c r="F27" s="67"/>
      <c r="G27" s="67"/>
      <c r="H27" s="66">
        <f t="shared" si="0"/>
        <v>0</v>
      </c>
      <c r="I27" s="67"/>
      <c r="J27" s="67"/>
      <c r="K27" s="67"/>
      <c r="L27" s="12"/>
      <c r="M27" s="11"/>
      <c r="N27" s="67"/>
      <c r="O27" s="66">
        <f t="shared" si="11"/>
        <v>0</v>
      </c>
      <c r="P27" s="12"/>
      <c r="Q27" s="19"/>
      <c r="R27" s="67"/>
      <c r="S27" s="67"/>
      <c r="T27" s="67"/>
      <c r="U27" s="67"/>
      <c r="V27" s="66">
        <f t="shared" si="6"/>
        <v>0</v>
      </c>
      <c r="W27" s="67"/>
      <c r="X27" s="67"/>
      <c r="Y27" s="67"/>
      <c r="Z27" s="67"/>
      <c r="AA27" s="67"/>
      <c r="AB27" s="67"/>
      <c r="AC27" s="66">
        <f t="shared" si="1"/>
        <v>0</v>
      </c>
      <c r="AD27" s="67"/>
      <c r="AE27" s="67"/>
      <c r="AF27" s="67"/>
      <c r="AG27" s="67"/>
      <c r="AH27" s="66">
        <f t="shared" si="2"/>
        <v>0</v>
      </c>
      <c r="AI27" s="68">
        <f t="shared" si="13"/>
        <v>0</v>
      </c>
    </row>
    <row r="28" spans="1:37" ht="17.25" customHeight="1" x14ac:dyDescent="0.25">
      <c r="A28" s="40">
        <f t="shared" si="12"/>
        <v>5</v>
      </c>
      <c r="B28" s="58" t="s">
        <v>113</v>
      </c>
      <c r="C28" s="59" t="s">
        <v>32</v>
      </c>
      <c r="D28" s="67"/>
      <c r="E28" s="67"/>
      <c r="F28" s="67"/>
      <c r="G28" s="67"/>
      <c r="H28" s="66">
        <f t="shared" si="0"/>
        <v>0</v>
      </c>
      <c r="I28" s="67"/>
      <c r="J28" s="67"/>
      <c r="K28" s="67"/>
      <c r="L28" s="12"/>
      <c r="M28" s="11"/>
      <c r="N28" s="67"/>
      <c r="O28" s="66">
        <f t="shared" si="11"/>
        <v>0</v>
      </c>
      <c r="P28" s="12"/>
      <c r="Q28" s="19"/>
      <c r="R28" s="67"/>
      <c r="S28" s="67"/>
      <c r="T28" s="67"/>
      <c r="U28" s="67"/>
      <c r="V28" s="66">
        <f t="shared" si="6"/>
        <v>0</v>
      </c>
      <c r="W28" s="67"/>
      <c r="X28" s="67"/>
      <c r="Y28" s="67"/>
      <c r="Z28" s="67"/>
      <c r="AA28" s="67"/>
      <c r="AB28" s="67"/>
      <c r="AC28" s="66">
        <f t="shared" si="1"/>
        <v>0</v>
      </c>
      <c r="AD28" s="67"/>
      <c r="AE28" s="67"/>
      <c r="AF28" s="67"/>
      <c r="AG28" s="67"/>
      <c r="AH28" s="66">
        <f t="shared" si="2"/>
        <v>0</v>
      </c>
      <c r="AI28" s="68">
        <f t="shared" si="13"/>
        <v>0</v>
      </c>
    </row>
    <row r="29" spans="1:37" ht="17.25" customHeight="1" x14ac:dyDescent="0.25">
      <c r="A29" s="40">
        <f t="shared" si="12"/>
        <v>6</v>
      </c>
      <c r="B29" s="58" t="s">
        <v>94</v>
      </c>
      <c r="C29" s="59" t="s">
        <v>26</v>
      </c>
      <c r="D29" s="67"/>
      <c r="E29" s="67"/>
      <c r="F29" s="67"/>
      <c r="G29" s="67"/>
      <c r="H29" s="66">
        <f t="shared" si="0"/>
        <v>0</v>
      </c>
      <c r="I29" s="12"/>
      <c r="J29" s="12"/>
      <c r="K29" s="12"/>
      <c r="L29" s="12"/>
      <c r="M29" s="11"/>
      <c r="N29" s="67"/>
      <c r="O29" s="66">
        <f t="shared" si="11"/>
        <v>0</v>
      </c>
      <c r="P29" s="67"/>
      <c r="Q29" s="19"/>
      <c r="R29" s="67"/>
      <c r="S29" s="67"/>
      <c r="T29" s="67"/>
      <c r="U29" s="67"/>
      <c r="V29" s="66">
        <f t="shared" si="6"/>
        <v>0</v>
      </c>
      <c r="W29" s="67"/>
      <c r="X29" s="67"/>
      <c r="Y29" s="67"/>
      <c r="Z29" s="12"/>
      <c r="AA29" s="67"/>
      <c r="AB29" s="67"/>
      <c r="AC29" s="66">
        <f t="shared" si="1"/>
        <v>0</v>
      </c>
      <c r="AD29" s="12"/>
      <c r="AE29" s="12"/>
      <c r="AF29" s="12"/>
      <c r="AG29" s="12">
        <v>207188</v>
      </c>
      <c r="AH29" s="66">
        <f t="shared" si="2"/>
        <v>207188</v>
      </c>
      <c r="AI29" s="68">
        <f t="shared" si="13"/>
        <v>207188</v>
      </c>
    </row>
    <row r="30" spans="1:37" ht="17.25" customHeight="1" x14ac:dyDescent="0.25">
      <c r="A30" s="40">
        <f t="shared" si="12"/>
        <v>7</v>
      </c>
      <c r="B30" s="58" t="s">
        <v>103</v>
      </c>
      <c r="C30" s="59" t="s">
        <v>104</v>
      </c>
      <c r="D30" s="67"/>
      <c r="E30" s="67"/>
      <c r="F30" s="67"/>
      <c r="G30" s="67"/>
      <c r="H30" s="66">
        <f t="shared" si="0"/>
        <v>0</v>
      </c>
      <c r="I30" s="12"/>
      <c r="J30" s="12"/>
      <c r="K30" s="12"/>
      <c r="L30" s="67"/>
      <c r="M30" s="67"/>
      <c r="N30" s="67"/>
      <c r="O30" s="66">
        <f t="shared" si="11"/>
        <v>0</v>
      </c>
      <c r="P30" s="67"/>
      <c r="Q30" s="19"/>
      <c r="R30" s="67"/>
      <c r="S30" s="67"/>
      <c r="T30" s="67"/>
      <c r="U30" s="67"/>
      <c r="V30" s="66">
        <f t="shared" si="6"/>
        <v>0</v>
      </c>
      <c r="W30" s="67"/>
      <c r="X30" s="67"/>
      <c r="Y30" s="67"/>
      <c r="Z30" s="67"/>
      <c r="AA30" s="67"/>
      <c r="AB30" s="67"/>
      <c r="AC30" s="66">
        <f t="shared" si="1"/>
        <v>0</v>
      </c>
      <c r="AD30" s="67"/>
      <c r="AE30" s="67"/>
      <c r="AF30" s="67"/>
      <c r="AG30" s="67"/>
      <c r="AH30" s="66">
        <f t="shared" si="2"/>
        <v>0</v>
      </c>
      <c r="AI30" s="68">
        <f t="shared" si="13"/>
        <v>0</v>
      </c>
    </row>
    <row r="31" spans="1:37" ht="17.25" customHeight="1" x14ac:dyDescent="0.25">
      <c r="A31" s="40">
        <f t="shared" si="12"/>
        <v>8</v>
      </c>
      <c r="B31" s="58" t="s">
        <v>98</v>
      </c>
      <c r="C31" s="59" t="s">
        <v>88</v>
      </c>
      <c r="D31" s="67"/>
      <c r="E31" s="67"/>
      <c r="F31" s="67"/>
      <c r="G31" s="67"/>
      <c r="H31" s="66">
        <f t="shared" si="0"/>
        <v>0</v>
      </c>
      <c r="I31" s="12"/>
      <c r="J31" s="12"/>
      <c r="K31" s="12"/>
      <c r="L31" s="67"/>
      <c r="M31" s="67"/>
      <c r="N31" s="67"/>
      <c r="O31" s="66">
        <f t="shared" si="11"/>
        <v>0</v>
      </c>
      <c r="P31" s="67"/>
      <c r="Q31" s="19"/>
      <c r="R31" s="67"/>
      <c r="S31" s="67"/>
      <c r="T31" s="67"/>
      <c r="U31" s="67"/>
      <c r="V31" s="66">
        <f t="shared" si="6"/>
        <v>0</v>
      </c>
      <c r="W31" s="67"/>
      <c r="X31" s="67"/>
      <c r="Y31" s="67"/>
      <c r="Z31" s="67"/>
      <c r="AA31" s="67"/>
      <c r="AB31" s="67"/>
      <c r="AC31" s="66">
        <f t="shared" si="1"/>
        <v>0</v>
      </c>
      <c r="AD31" s="67"/>
      <c r="AE31" s="67"/>
      <c r="AF31" s="67"/>
      <c r="AG31" s="181">
        <v>221200</v>
      </c>
      <c r="AH31" s="66">
        <f t="shared" si="2"/>
        <v>221200</v>
      </c>
      <c r="AI31" s="68">
        <f t="shared" si="13"/>
        <v>221200</v>
      </c>
    </row>
    <row r="32" spans="1:37" ht="17.25" customHeight="1" x14ac:dyDescent="0.25">
      <c r="A32" s="40">
        <f t="shared" si="12"/>
        <v>9</v>
      </c>
      <c r="B32" s="58" t="s">
        <v>114</v>
      </c>
      <c r="C32" s="59" t="s">
        <v>88</v>
      </c>
      <c r="D32" s="67"/>
      <c r="E32" s="67"/>
      <c r="F32" s="67"/>
      <c r="G32" s="67"/>
      <c r="H32" s="66">
        <f t="shared" si="0"/>
        <v>0</v>
      </c>
      <c r="I32" s="12"/>
      <c r="J32" s="12"/>
      <c r="K32" s="12"/>
      <c r="L32" s="67"/>
      <c r="M32" s="67"/>
      <c r="N32" s="67"/>
      <c r="O32" s="66">
        <f t="shared" si="11"/>
        <v>0</v>
      </c>
      <c r="P32" s="67"/>
      <c r="Q32" s="19"/>
      <c r="R32" s="67"/>
      <c r="S32" s="67"/>
      <c r="T32" s="67"/>
      <c r="U32" s="67"/>
      <c r="V32" s="66">
        <f t="shared" si="6"/>
        <v>0</v>
      </c>
      <c r="W32" s="67"/>
      <c r="X32" s="67"/>
      <c r="Y32" s="67"/>
      <c r="Z32" s="67"/>
      <c r="AA32" s="67"/>
      <c r="AB32" s="67"/>
      <c r="AC32" s="66">
        <f t="shared" si="1"/>
        <v>0</v>
      </c>
      <c r="AD32" s="67"/>
      <c r="AE32" s="67"/>
      <c r="AF32" s="67"/>
      <c r="AG32" s="67"/>
      <c r="AH32" s="66">
        <f t="shared" si="2"/>
        <v>0</v>
      </c>
      <c r="AI32" s="68">
        <f t="shared" si="13"/>
        <v>0</v>
      </c>
      <c r="AK32" s="49"/>
    </row>
    <row r="33" spans="1:35" ht="17.25" customHeight="1" x14ac:dyDescent="0.25">
      <c r="A33" s="40">
        <f t="shared" si="12"/>
        <v>10</v>
      </c>
      <c r="B33" s="58" t="s">
        <v>121</v>
      </c>
      <c r="C33" s="59" t="s">
        <v>86</v>
      </c>
      <c r="D33" s="67"/>
      <c r="E33" s="67"/>
      <c r="F33" s="67"/>
      <c r="G33" s="67"/>
      <c r="H33" s="66">
        <f t="shared" si="0"/>
        <v>0</v>
      </c>
      <c r="I33" s="12"/>
      <c r="J33" s="12"/>
      <c r="K33" s="12"/>
      <c r="L33" s="67"/>
      <c r="M33" s="67"/>
      <c r="N33" s="67"/>
      <c r="O33" s="66">
        <f t="shared" si="11"/>
        <v>0</v>
      </c>
      <c r="P33" s="67"/>
      <c r="Q33" s="19"/>
      <c r="R33" s="67"/>
      <c r="S33" s="67"/>
      <c r="T33" s="67"/>
      <c r="U33" s="67"/>
      <c r="V33" s="66">
        <f t="shared" si="6"/>
        <v>0</v>
      </c>
      <c r="W33" s="67"/>
      <c r="X33" s="67"/>
      <c r="Y33" s="67"/>
      <c r="Z33" s="67"/>
      <c r="AA33" s="67"/>
      <c r="AB33" s="67"/>
      <c r="AC33" s="66">
        <f t="shared" si="1"/>
        <v>0</v>
      </c>
      <c r="AD33" s="67"/>
      <c r="AE33" s="67"/>
      <c r="AF33" s="67"/>
      <c r="AG33" s="67">
        <v>114090</v>
      </c>
      <c r="AH33" s="66">
        <f t="shared" si="2"/>
        <v>114090</v>
      </c>
      <c r="AI33" s="68">
        <f t="shared" si="13"/>
        <v>114090</v>
      </c>
    </row>
    <row r="34" spans="1:35" ht="17.25" customHeight="1" x14ac:dyDescent="0.25">
      <c r="A34" s="40">
        <f t="shared" si="12"/>
        <v>11</v>
      </c>
      <c r="B34" s="58" t="s">
        <v>118</v>
      </c>
      <c r="C34" s="59" t="s">
        <v>122</v>
      </c>
      <c r="D34" s="67"/>
      <c r="E34" s="67"/>
      <c r="F34" s="67"/>
      <c r="G34" s="67"/>
      <c r="H34" s="66">
        <f t="shared" si="0"/>
        <v>0</v>
      </c>
      <c r="I34" s="12"/>
      <c r="J34" s="12"/>
      <c r="K34" s="12"/>
      <c r="L34" s="67"/>
      <c r="M34" s="67"/>
      <c r="N34" s="67"/>
      <c r="O34" s="66">
        <f t="shared" si="11"/>
        <v>0</v>
      </c>
      <c r="P34" s="67"/>
      <c r="Q34" s="19"/>
      <c r="R34" s="67"/>
      <c r="S34" s="67"/>
      <c r="T34" s="67"/>
      <c r="U34" s="67"/>
      <c r="V34" s="66">
        <f t="shared" si="6"/>
        <v>0</v>
      </c>
      <c r="W34" s="67"/>
      <c r="X34" s="67"/>
      <c r="Y34" s="67"/>
      <c r="Z34" s="67"/>
      <c r="AA34" s="67"/>
      <c r="AB34" s="67"/>
      <c r="AC34" s="66">
        <f t="shared" si="1"/>
        <v>0</v>
      </c>
      <c r="AD34" s="67"/>
      <c r="AE34" s="67"/>
      <c r="AF34" s="67"/>
      <c r="AG34" s="67"/>
      <c r="AH34" s="66">
        <f t="shared" si="2"/>
        <v>0</v>
      </c>
      <c r="AI34" s="68">
        <f t="shared" si="13"/>
        <v>0</v>
      </c>
    </row>
    <row r="35" spans="1:35" ht="17.25" customHeight="1" x14ac:dyDescent="0.25">
      <c r="A35" s="40">
        <f t="shared" si="12"/>
        <v>12</v>
      </c>
      <c r="B35" s="58" t="s">
        <v>115</v>
      </c>
      <c r="C35" s="59" t="s">
        <v>116</v>
      </c>
      <c r="D35" s="67"/>
      <c r="E35" s="67"/>
      <c r="F35" s="67"/>
      <c r="G35" s="67"/>
      <c r="H35" s="66">
        <f t="shared" si="0"/>
        <v>0</v>
      </c>
      <c r="I35" s="12"/>
      <c r="J35" s="12"/>
      <c r="K35" s="12"/>
      <c r="L35" s="12"/>
      <c r="M35" s="12"/>
      <c r="N35" s="12"/>
      <c r="O35" s="66">
        <f t="shared" si="11"/>
        <v>0</v>
      </c>
      <c r="P35" s="67"/>
      <c r="Q35" s="19"/>
      <c r="R35" s="67"/>
      <c r="S35" s="67"/>
      <c r="T35" s="12"/>
      <c r="U35" s="12"/>
      <c r="V35" s="66">
        <f t="shared" si="6"/>
        <v>0</v>
      </c>
      <c r="W35" s="67"/>
      <c r="X35" s="12"/>
      <c r="Y35" s="12"/>
      <c r="Z35" s="67"/>
      <c r="AA35" s="67"/>
      <c r="AB35" s="67"/>
      <c r="AC35" s="66">
        <f t="shared" si="1"/>
        <v>0</v>
      </c>
      <c r="AD35" s="67"/>
      <c r="AE35" s="67"/>
      <c r="AF35" s="67"/>
      <c r="AG35" s="67"/>
      <c r="AH35" s="66">
        <f t="shared" si="2"/>
        <v>0</v>
      </c>
      <c r="AI35" s="68">
        <f t="shared" si="13"/>
        <v>0</v>
      </c>
    </row>
    <row r="36" spans="1:35" ht="17.25" customHeight="1" x14ac:dyDescent="0.25">
      <c r="A36" s="40">
        <f t="shared" si="12"/>
        <v>13</v>
      </c>
      <c r="B36" s="58" t="s">
        <v>123</v>
      </c>
      <c r="C36" s="59" t="s">
        <v>125</v>
      </c>
      <c r="D36" s="67"/>
      <c r="E36" s="67"/>
      <c r="F36" s="67"/>
      <c r="G36" s="67"/>
      <c r="H36" s="66">
        <f t="shared" si="0"/>
        <v>0</v>
      </c>
      <c r="I36" s="12"/>
      <c r="J36" s="12"/>
      <c r="K36" s="12"/>
      <c r="L36" s="12"/>
      <c r="M36" s="12"/>
      <c r="N36" s="12"/>
      <c r="O36" s="66">
        <f t="shared" si="11"/>
        <v>0</v>
      </c>
      <c r="P36" s="67"/>
      <c r="Q36" s="67"/>
      <c r="R36" s="67"/>
      <c r="S36" s="67"/>
      <c r="T36" s="12"/>
      <c r="U36" s="12"/>
      <c r="V36" s="66">
        <f t="shared" si="6"/>
        <v>0</v>
      </c>
      <c r="W36" s="67"/>
      <c r="X36" s="12"/>
      <c r="Y36" s="12"/>
      <c r="Z36" s="67"/>
      <c r="AA36" s="67"/>
      <c r="AB36" s="67"/>
      <c r="AC36" s="66">
        <f t="shared" si="1"/>
        <v>0</v>
      </c>
      <c r="AD36" s="67"/>
      <c r="AE36" s="67"/>
      <c r="AF36" s="67"/>
      <c r="AG36" s="67"/>
      <c r="AH36" s="66">
        <f t="shared" si="2"/>
        <v>0</v>
      </c>
      <c r="AI36" s="68">
        <f t="shared" si="13"/>
        <v>0</v>
      </c>
    </row>
    <row r="37" spans="1:35" ht="17.25" customHeight="1" x14ac:dyDescent="0.25">
      <c r="A37" s="40">
        <f t="shared" si="12"/>
        <v>14</v>
      </c>
      <c r="B37" s="58" t="s">
        <v>126</v>
      </c>
      <c r="C37" s="59" t="s">
        <v>29</v>
      </c>
      <c r="D37" s="67"/>
      <c r="E37" s="67"/>
      <c r="F37" s="67"/>
      <c r="G37" s="67"/>
      <c r="H37" s="66">
        <f t="shared" si="0"/>
        <v>0</v>
      </c>
      <c r="I37" s="12"/>
      <c r="J37" s="12"/>
      <c r="K37" s="12"/>
      <c r="L37" s="12"/>
      <c r="M37" s="12"/>
      <c r="N37" s="12"/>
      <c r="O37" s="66">
        <f t="shared" si="11"/>
        <v>0</v>
      </c>
      <c r="P37" s="67"/>
      <c r="Q37" s="67"/>
      <c r="R37" s="67"/>
      <c r="S37" s="67"/>
      <c r="T37" s="12"/>
      <c r="U37" s="12"/>
      <c r="V37" s="66">
        <f t="shared" si="6"/>
        <v>0</v>
      </c>
      <c r="W37" s="12"/>
      <c r="X37" s="11"/>
      <c r="Y37" s="12"/>
      <c r="Z37" s="67"/>
      <c r="AA37" s="67"/>
      <c r="AB37" s="67"/>
      <c r="AC37" s="66">
        <f t="shared" si="1"/>
        <v>0</v>
      </c>
      <c r="AD37" s="67"/>
      <c r="AE37" s="67"/>
      <c r="AF37" s="67"/>
      <c r="AG37" s="67"/>
      <c r="AH37" s="66">
        <f t="shared" si="2"/>
        <v>0</v>
      </c>
      <c r="AI37" s="68">
        <f t="shared" si="13"/>
        <v>0</v>
      </c>
    </row>
    <row r="38" spans="1:35" ht="19.5" customHeight="1" x14ac:dyDescent="0.25">
      <c r="A38" s="40">
        <f t="shared" si="12"/>
        <v>15</v>
      </c>
      <c r="B38" s="64" t="s">
        <v>144</v>
      </c>
      <c r="C38" s="59" t="s">
        <v>145</v>
      </c>
      <c r="D38" s="67"/>
      <c r="E38" s="67"/>
      <c r="F38" s="67"/>
      <c r="G38" s="67"/>
      <c r="H38" s="66"/>
      <c r="I38" s="12"/>
      <c r="J38" s="12"/>
      <c r="K38" s="12"/>
      <c r="L38" s="12"/>
      <c r="M38" s="12"/>
      <c r="N38" s="12"/>
      <c r="O38" s="66"/>
      <c r="P38" s="67"/>
      <c r="Q38" s="67"/>
      <c r="R38" s="67"/>
      <c r="S38" s="67"/>
      <c r="T38" s="12"/>
      <c r="U38" s="12"/>
      <c r="V38" s="66"/>
      <c r="W38" s="12"/>
      <c r="X38" s="11"/>
      <c r="Y38" s="12"/>
      <c r="Z38" s="67"/>
      <c r="AA38" s="67"/>
      <c r="AB38" s="67"/>
      <c r="AC38" s="66"/>
      <c r="AD38" s="67"/>
      <c r="AE38" s="67"/>
      <c r="AF38" s="67"/>
      <c r="AG38" s="67"/>
      <c r="AH38" s="66">
        <f t="shared" si="2"/>
        <v>0</v>
      </c>
      <c r="AI38" s="68">
        <f t="shared" si="13"/>
        <v>0</v>
      </c>
    </row>
    <row r="39" spans="1:35" ht="17.25" customHeight="1" x14ac:dyDescent="0.25">
      <c r="A39" s="40">
        <f t="shared" si="12"/>
        <v>16</v>
      </c>
      <c r="B39" s="58" t="s">
        <v>166</v>
      </c>
      <c r="C39" s="59" t="s">
        <v>16</v>
      </c>
      <c r="D39" s="67"/>
      <c r="E39" s="67"/>
      <c r="F39" s="67"/>
      <c r="G39" s="67"/>
      <c r="H39" s="66"/>
      <c r="I39" s="12"/>
      <c r="J39" s="12"/>
      <c r="K39" s="12"/>
      <c r="L39" s="12"/>
      <c r="M39" s="12"/>
      <c r="N39" s="12"/>
      <c r="O39" s="66"/>
      <c r="P39" s="67"/>
      <c r="Q39" s="67"/>
      <c r="R39" s="67"/>
      <c r="S39" s="67"/>
      <c r="T39" s="12"/>
      <c r="U39" s="12"/>
      <c r="V39" s="66"/>
      <c r="W39" s="12"/>
      <c r="X39" s="11"/>
      <c r="Y39" s="12"/>
      <c r="Z39" s="67"/>
      <c r="AA39" s="67"/>
      <c r="AB39" s="67"/>
      <c r="AC39" s="66"/>
      <c r="AD39" s="67"/>
      <c r="AE39" s="67"/>
      <c r="AF39" s="67"/>
      <c r="AG39" s="67">
        <v>233230</v>
      </c>
      <c r="AH39" s="66">
        <f>SUM(AD39:AG39)</f>
        <v>233230</v>
      </c>
      <c r="AI39" s="68">
        <f t="shared" si="13"/>
        <v>233230</v>
      </c>
    </row>
    <row r="40" spans="1:35" ht="17.25" customHeight="1" x14ac:dyDescent="0.25">
      <c r="A40" s="40">
        <f t="shared" si="12"/>
        <v>17</v>
      </c>
      <c r="B40" s="58" t="s">
        <v>226</v>
      </c>
      <c r="C40" s="59" t="s">
        <v>18</v>
      </c>
      <c r="D40" s="67"/>
      <c r="E40" s="67"/>
      <c r="F40" s="67"/>
      <c r="G40" s="67"/>
      <c r="H40" s="66"/>
      <c r="I40" s="12"/>
      <c r="J40" s="12"/>
      <c r="K40" s="12"/>
      <c r="L40" s="12"/>
      <c r="M40" s="12"/>
      <c r="N40" s="12"/>
      <c r="O40" s="66"/>
      <c r="P40" s="67"/>
      <c r="Q40" s="67"/>
      <c r="R40" s="67"/>
      <c r="S40" s="67"/>
      <c r="T40" s="12"/>
      <c r="U40" s="12"/>
      <c r="V40" s="66"/>
      <c r="W40" s="12"/>
      <c r="X40" s="11"/>
      <c r="Y40" s="12"/>
      <c r="Z40" s="67"/>
      <c r="AA40" s="67"/>
      <c r="AB40" s="67"/>
      <c r="AC40" s="66"/>
      <c r="AD40" s="67"/>
      <c r="AE40" s="67"/>
      <c r="AF40" s="67"/>
      <c r="AG40" s="67"/>
      <c r="AH40" s="66">
        <f t="shared" ref="AH40:AH47" si="14">SUM(AD40:AG40)</f>
        <v>0</v>
      </c>
      <c r="AI40" s="68">
        <f t="shared" si="13"/>
        <v>0</v>
      </c>
    </row>
    <row r="41" spans="1:35" ht="17.25" customHeight="1" x14ac:dyDescent="0.25">
      <c r="A41" s="40">
        <f t="shared" si="12"/>
        <v>18</v>
      </c>
      <c r="B41" s="58" t="s">
        <v>227</v>
      </c>
      <c r="C41" s="59" t="s">
        <v>9</v>
      </c>
      <c r="D41" s="67"/>
      <c r="E41" s="67"/>
      <c r="F41" s="67"/>
      <c r="G41" s="67"/>
      <c r="H41" s="66"/>
      <c r="I41" s="12"/>
      <c r="J41" s="12"/>
      <c r="K41" s="12"/>
      <c r="L41" s="12"/>
      <c r="M41" s="12"/>
      <c r="N41" s="12"/>
      <c r="O41" s="66"/>
      <c r="P41" s="67"/>
      <c r="Q41" s="67"/>
      <c r="R41" s="67"/>
      <c r="S41" s="67"/>
      <c r="T41" s="12"/>
      <c r="U41" s="12"/>
      <c r="V41" s="66"/>
      <c r="W41" s="12"/>
      <c r="X41" s="11"/>
      <c r="Y41" s="12"/>
      <c r="Z41" s="67"/>
      <c r="AA41" s="67"/>
      <c r="AB41" s="67"/>
      <c r="AC41" s="66"/>
      <c r="AD41" s="67"/>
      <c r="AE41" s="67"/>
      <c r="AF41" s="67"/>
      <c r="AG41" s="67">
        <v>279274</v>
      </c>
      <c r="AH41" s="66">
        <f t="shared" si="14"/>
        <v>279274</v>
      </c>
      <c r="AI41" s="68">
        <f t="shared" si="13"/>
        <v>279274</v>
      </c>
    </row>
    <row r="42" spans="1:35" ht="17.25" customHeight="1" x14ac:dyDescent="0.25">
      <c r="A42" s="40">
        <f t="shared" si="12"/>
        <v>19</v>
      </c>
      <c r="B42" s="58" t="s">
        <v>168</v>
      </c>
      <c r="C42" s="59" t="s">
        <v>13</v>
      </c>
      <c r="D42" s="67"/>
      <c r="E42" s="67"/>
      <c r="F42" s="67"/>
      <c r="G42" s="67"/>
      <c r="H42" s="66"/>
      <c r="I42" s="12"/>
      <c r="J42" s="12"/>
      <c r="K42" s="12"/>
      <c r="L42" s="12"/>
      <c r="M42" s="12"/>
      <c r="N42" s="12"/>
      <c r="O42" s="66"/>
      <c r="P42" s="67"/>
      <c r="Q42" s="67"/>
      <c r="R42" s="67"/>
      <c r="S42" s="67"/>
      <c r="T42" s="12"/>
      <c r="U42" s="12"/>
      <c r="V42" s="66"/>
      <c r="W42" s="12"/>
      <c r="X42" s="11"/>
      <c r="Y42" s="12"/>
      <c r="Z42" s="67"/>
      <c r="AA42" s="67"/>
      <c r="AB42" s="67"/>
      <c r="AC42" s="66"/>
      <c r="AD42" s="67"/>
      <c r="AE42" s="67"/>
      <c r="AF42" s="67"/>
      <c r="AG42" s="67"/>
      <c r="AH42" s="66">
        <f t="shared" si="14"/>
        <v>0</v>
      </c>
      <c r="AI42" s="68">
        <f t="shared" si="13"/>
        <v>0</v>
      </c>
    </row>
    <row r="43" spans="1:35" ht="17.25" customHeight="1" x14ac:dyDescent="0.25">
      <c r="A43" s="40">
        <f t="shared" si="12"/>
        <v>20</v>
      </c>
      <c r="B43" s="58" t="s">
        <v>188</v>
      </c>
      <c r="C43" s="59" t="s">
        <v>88</v>
      </c>
      <c r="D43" s="67"/>
      <c r="E43" s="67"/>
      <c r="F43" s="67"/>
      <c r="G43" s="67"/>
      <c r="H43" s="66"/>
      <c r="I43" s="12"/>
      <c r="J43" s="12"/>
      <c r="K43" s="12"/>
      <c r="L43" s="12"/>
      <c r="M43" s="12"/>
      <c r="N43" s="12"/>
      <c r="O43" s="66"/>
      <c r="P43" s="67"/>
      <c r="Q43" s="67"/>
      <c r="R43" s="67"/>
      <c r="S43" s="67"/>
      <c r="T43" s="12"/>
      <c r="U43" s="12"/>
      <c r="V43" s="66"/>
      <c r="W43" s="67"/>
      <c r="X43" s="12"/>
      <c r="Y43" s="11"/>
      <c r="Z43" s="67"/>
      <c r="AA43" s="67"/>
      <c r="AB43" s="67"/>
      <c r="AC43" s="66"/>
      <c r="AD43" s="67"/>
      <c r="AE43" s="67"/>
      <c r="AF43" s="67"/>
      <c r="AG43" s="67"/>
      <c r="AH43" s="66">
        <f t="shared" si="14"/>
        <v>0</v>
      </c>
      <c r="AI43" s="68">
        <f t="shared" si="13"/>
        <v>0</v>
      </c>
    </row>
    <row r="44" spans="1:35" ht="30.75" customHeight="1" x14ac:dyDescent="0.25">
      <c r="A44" s="40">
        <f t="shared" si="12"/>
        <v>21</v>
      </c>
      <c r="B44" s="58" t="s">
        <v>231</v>
      </c>
      <c r="C44" s="59" t="s">
        <v>270</v>
      </c>
      <c r="D44" s="67"/>
      <c r="E44" s="67"/>
      <c r="F44" s="67"/>
      <c r="G44" s="67"/>
      <c r="H44" s="66"/>
      <c r="I44" s="12"/>
      <c r="J44" s="12"/>
      <c r="K44" s="12"/>
      <c r="L44" s="12"/>
      <c r="M44" s="12"/>
      <c r="N44" s="12"/>
      <c r="O44" s="66"/>
      <c r="P44" s="67"/>
      <c r="Q44" s="67"/>
      <c r="R44" s="67"/>
      <c r="S44" s="67"/>
      <c r="T44" s="12"/>
      <c r="U44" s="12"/>
      <c r="V44" s="66"/>
      <c r="W44" s="67"/>
      <c r="X44" s="12"/>
      <c r="Y44" s="11"/>
      <c r="Z44" s="67"/>
      <c r="AA44" s="67"/>
      <c r="AB44" s="67"/>
      <c r="AC44" s="66"/>
      <c r="AD44" s="67"/>
      <c r="AE44" s="67"/>
      <c r="AF44" s="67"/>
      <c r="AG44" s="67">
        <v>64920</v>
      </c>
      <c r="AH44" s="66">
        <f t="shared" si="14"/>
        <v>64920</v>
      </c>
      <c r="AI44" s="68">
        <f t="shared" si="13"/>
        <v>64920</v>
      </c>
    </row>
    <row r="45" spans="1:35" ht="17.25" customHeight="1" x14ac:dyDescent="0.25">
      <c r="A45" s="40">
        <f t="shared" si="12"/>
        <v>22</v>
      </c>
      <c r="B45" s="58" t="s">
        <v>268</v>
      </c>
      <c r="C45" s="59" t="s">
        <v>267</v>
      </c>
      <c r="D45" s="67"/>
      <c r="E45" s="67"/>
      <c r="F45" s="67"/>
      <c r="G45" s="67"/>
      <c r="H45" s="66"/>
      <c r="I45" s="12"/>
      <c r="J45" s="12"/>
      <c r="K45" s="12"/>
      <c r="L45" s="12"/>
      <c r="M45" s="12"/>
      <c r="N45" s="12"/>
      <c r="O45" s="66"/>
      <c r="P45" s="67"/>
      <c r="Q45" s="67"/>
      <c r="R45" s="67"/>
      <c r="S45" s="67"/>
      <c r="T45" s="12"/>
      <c r="U45" s="12"/>
      <c r="V45" s="66"/>
      <c r="W45" s="67"/>
      <c r="X45" s="12"/>
      <c r="Y45" s="11"/>
      <c r="Z45" s="67"/>
      <c r="AA45" s="67"/>
      <c r="AB45" s="67"/>
      <c r="AC45" s="66"/>
      <c r="AD45" s="67"/>
      <c r="AE45" s="67"/>
      <c r="AF45" s="67"/>
      <c r="AG45" s="67"/>
      <c r="AH45" s="66">
        <f t="shared" si="14"/>
        <v>0</v>
      </c>
      <c r="AI45" s="68">
        <f t="shared" si="13"/>
        <v>0</v>
      </c>
    </row>
    <row r="46" spans="1:35" ht="17.25" customHeight="1" x14ac:dyDescent="0.25">
      <c r="A46" s="40">
        <f t="shared" si="12"/>
        <v>23</v>
      </c>
      <c r="B46" s="58" t="s">
        <v>265</v>
      </c>
      <c r="C46" s="59" t="s">
        <v>266</v>
      </c>
      <c r="D46" s="67"/>
      <c r="E46" s="67"/>
      <c r="F46" s="67"/>
      <c r="G46" s="67"/>
      <c r="H46" s="66"/>
      <c r="I46" s="12"/>
      <c r="J46" s="12"/>
      <c r="K46" s="12"/>
      <c r="L46" s="12"/>
      <c r="M46" s="12"/>
      <c r="N46" s="12"/>
      <c r="O46" s="66"/>
      <c r="P46" s="67"/>
      <c r="Q46" s="67"/>
      <c r="R46" s="67"/>
      <c r="S46" s="67"/>
      <c r="T46" s="12"/>
      <c r="U46" s="12"/>
      <c r="V46" s="66"/>
      <c r="W46" s="67"/>
      <c r="X46" s="12"/>
      <c r="Y46" s="11"/>
      <c r="Z46" s="67"/>
      <c r="AA46" s="67"/>
      <c r="AB46" s="67"/>
      <c r="AC46" s="66"/>
      <c r="AD46" s="67"/>
      <c r="AE46" s="67"/>
      <c r="AF46" s="67"/>
      <c r="AG46" s="67"/>
      <c r="AH46" s="66">
        <f t="shared" si="14"/>
        <v>0</v>
      </c>
      <c r="AI46" s="68">
        <f t="shared" si="13"/>
        <v>0</v>
      </c>
    </row>
    <row r="47" spans="1:35" ht="17.25" customHeight="1" x14ac:dyDescent="0.25">
      <c r="A47" s="40">
        <f t="shared" si="12"/>
        <v>24</v>
      </c>
      <c r="B47" s="58" t="s">
        <v>199</v>
      </c>
      <c r="C47" s="59" t="s">
        <v>32</v>
      </c>
      <c r="D47" s="67"/>
      <c r="E47" s="67"/>
      <c r="F47" s="67"/>
      <c r="G47" s="67"/>
      <c r="H47" s="66">
        <f t="shared" si="0"/>
        <v>0</v>
      </c>
      <c r="I47" s="12"/>
      <c r="J47" s="12"/>
      <c r="K47" s="12"/>
      <c r="L47" s="12"/>
      <c r="M47" s="12"/>
      <c r="N47" s="12"/>
      <c r="O47" s="66">
        <f t="shared" si="11"/>
        <v>0</v>
      </c>
      <c r="P47" s="67"/>
      <c r="Q47" s="67"/>
      <c r="R47" s="67"/>
      <c r="S47" s="67"/>
      <c r="T47" s="12"/>
      <c r="U47" s="12"/>
      <c r="V47" s="66">
        <f t="shared" si="6"/>
        <v>0</v>
      </c>
      <c r="W47" s="67"/>
      <c r="X47" s="12"/>
      <c r="Y47" s="11"/>
      <c r="Z47" s="67"/>
      <c r="AA47" s="67"/>
      <c r="AB47" s="67"/>
      <c r="AC47" s="66">
        <f t="shared" si="1"/>
        <v>0</v>
      </c>
      <c r="AD47" s="67"/>
      <c r="AE47" s="67"/>
      <c r="AF47" s="67"/>
      <c r="AG47" s="67"/>
      <c r="AH47" s="66">
        <f t="shared" si="14"/>
        <v>0</v>
      </c>
      <c r="AI47" s="68">
        <f t="shared" si="13"/>
        <v>0</v>
      </c>
    </row>
    <row r="48" spans="1:35" ht="17.25" customHeight="1" x14ac:dyDescent="0.25">
      <c r="A48" s="40">
        <f t="shared" si="12"/>
        <v>25</v>
      </c>
      <c r="B48" s="58" t="s">
        <v>184</v>
      </c>
      <c r="C48" s="59" t="s">
        <v>32</v>
      </c>
      <c r="D48" s="67"/>
      <c r="E48" s="67"/>
      <c r="F48" s="67"/>
      <c r="G48" s="67"/>
      <c r="H48" s="66">
        <f t="shared" si="0"/>
        <v>0</v>
      </c>
      <c r="I48" s="12"/>
      <c r="J48" s="12"/>
      <c r="K48" s="12"/>
      <c r="L48" s="12"/>
      <c r="M48" s="12"/>
      <c r="N48" s="12"/>
      <c r="O48" s="66">
        <f t="shared" si="11"/>
        <v>0</v>
      </c>
      <c r="P48" s="67"/>
      <c r="Q48" s="67"/>
      <c r="R48" s="67"/>
      <c r="S48" s="67"/>
      <c r="T48" s="67"/>
      <c r="U48" s="67"/>
      <c r="V48" s="66">
        <f t="shared" si="6"/>
        <v>0</v>
      </c>
      <c r="W48" s="67"/>
      <c r="X48" s="67"/>
      <c r="Y48" s="67"/>
      <c r="Z48" s="67"/>
      <c r="AA48" s="67"/>
      <c r="AB48" s="67"/>
      <c r="AC48" s="66">
        <f t="shared" si="1"/>
        <v>0</v>
      </c>
      <c r="AD48" s="67"/>
      <c r="AE48" s="67"/>
      <c r="AF48" s="67"/>
      <c r="AG48" s="67"/>
      <c r="AH48" s="66">
        <f t="shared" si="2"/>
        <v>0</v>
      </c>
      <c r="AI48" s="68">
        <f t="shared" si="13"/>
        <v>0</v>
      </c>
    </row>
    <row r="49" spans="1:37" ht="16.5" thickBot="1" x14ac:dyDescent="0.3">
      <c r="A49" s="274" t="s">
        <v>79</v>
      </c>
      <c r="B49" s="274"/>
      <c r="C49" s="274"/>
      <c r="D49" s="92"/>
      <c r="E49" s="92"/>
      <c r="F49" s="92"/>
      <c r="G49" s="92">
        <f>SUM(G24:G48)</f>
        <v>0</v>
      </c>
      <c r="H49" s="91">
        <f t="shared" si="0"/>
        <v>0</v>
      </c>
      <c r="I49" s="92">
        <f t="shared" ref="I49:N49" si="15">SUM(I24:I48)</f>
        <v>0</v>
      </c>
      <c r="J49" s="92">
        <f t="shared" si="15"/>
        <v>0</v>
      </c>
      <c r="K49" s="92">
        <f t="shared" si="15"/>
        <v>0</v>
      </c>
      <c r="L49" s="92">
        <f t="shared" si="15"/>
        <v>0</v>
      </c>
      <c r="M49" s="92">
        <f t="shared" si="15"/>
        <v>0</v>
      </c>
      <c r="N49" s="92">
        <f t="shared" si="15"/>
        <v>0</v>
      </c>
      <c r="O49" s="91">
        <f>SUM(I49:N49)</f>
        <v>0</v>
      </c>
      <c r="P49" s="92">
        <f t="shared" ref="P49:U49" si="16">SUM(P24:P48)</f>
        <v>0</v>
      </c>
      <c r="Q49" s="92">
        <f t="shared" si="16"/>
        <v>0</v>
      </c>
      <c r="R49" s="92">
        <f t="shared" si="16"/>
        <v>0</v>
      </c>
      <c r="S49" s="92">
        <f t="shared" si="16"/>
        <v>0</v>
      </c>
      <c r="T49" s="92">
        <f t="shared" si="16"/>
        <v>0</v>
      </c>
      <c r="U49" s="92">
        <f t="shared" si="16"/>
        <v>0</v>
      </c>
      <c r="V49" s="91">
        <f>SUM(P49:U49)</f>
        <v>0</v>
      </c>
      <c r="W49" s="92">
        <f t="shared" ref="W49:AB49" si="17">SUM(W24:W48)</f>
        <v>0</v>
      </c>
      <c r="X49" s="92">
        <f t="shared" si="17"/>
        <v>0</v>
      </c>
      <c r="Y49" s="92">
        <f t="shared" si="17"/>
        <v>0</v>
      </c>
      <c r="Z49" s="92">
        <f t="shared" si="17"/>
        <v>0</v>
      </c>
      <c r="AA49" s="92">
        <f t="shared" si="17"/>
        <v>0</v>
      </c>
      <c r="AB49" s="92">
        <f t="shared" si="17"/>
        <v>0</v>
      </c>
      <c r="AC49" s="91">
        <f t="shared" si="1"/>
        <v>0</v>
      </c>
      <c r="AD49" s="92">
        <f>SUM(AD24:AD48)</f>
        <v>0</v>
      </c>
      <c r="AE49" s="92">
        <f>SUM(AE24:AE48)</f>
        <v>0</v>
      </c>
      <c r="AF49" s="92">
        <f>SUM(AF24:AF48)</f>
        <v>0</v>
      </c>
      <c r="AG49" s="92">
        <f>SUM(AG24:AG48)</f>
        <v>1456102</v>
      </c>
      <c r="AH49" s="66">
        <f>SUM(AD49:AG49)</f>
        <v>1456102</v>
      </c>
      <c r="AI49" s="70">
        <f>SUM(AI24:AI48)</f>
        <v>1456102</v>
      </c>
    </row>
    <row r="50" spans="1:37" ht="29.25" customHeight="1" thickTop="1" x14ac:dyDescent="0.25">
      <c r="A50" s="269" t="s">
        <v>78</v>
      </c>
      <c r="B50" s="269"/>
      <c r="C50" s="269"/>
      <c r="D50" s="71">
        <f>+D23+D49</f>
        <v>0</v>
      </c>
      <c r="E50" s="71">
        <f>+E23+E49</f>
        <v>0</v>
      </c>
      <c r="F50" s="71">
        <f>+F23+F49</f>
        <v>0</v>
      </c>
      <c r="G50" s="71">
        <f>+G23+G49</f>
        <v>0</v>
      </c>
      <c r="H50" s="66">
        <f t="shared" si="0"/>
        <v>0</v>
      </c>
      <c r="I50" s="71">
        <f t="shared" ref="I50:N50" si="18">+I23+I49</f>
        <v>0</v>
      </c>
      <c r="J50" s="71">
        <f t="shared" si="18"/>
        <v>0</v>
      </c>
      <c r="K50" s="71">
        <f t="shared" si="18"/>
        <v>0</v>
      </c>
      <c r="L50" s="71">
        <f t="shared" si="18"/>
        <v>0</v>
      </c>
      <c r="M50" s="71">
        <f t="shared" si="18"/>
        <v>0</v>
      </c>
      <c r="N50" s="71">
        <f t="shared" si="18"/>
        <v>0</v>
      </c>
      <c r="O50" s="66">
        <f t="shared" si="4"/>
        <v>0</v>
      </c>
      <c r="P50" s="71">
        <f t="shared" ref="P50:U50" si="19">+P23+P49</f>
        <v>0</v>
      </c>
      <c r="Q50" s="71">
        <f t="shared" si="19"/>
        <v>0</v>
      </c>
      <c r="R50" s="71">
        <f t="shared" si="19"/>
        <v>0</v>
      </c>
      <c r="S50" s="71">
        <f t="shared" si="19"/>
        <v>0</v>
      </c>
      <c r="T50" s="71">
        <f t="shared" si="19"/>
        <v>0</v>
      </c>
      <c r="U50" s="71">
        <f t="shared" si="19"/>
        <v>0</v>
      </c>
      <c r="V50" s="66">
        <f>SUM(P50:U50)</f>
        <v>0</v>
      </c>
      <c r="W50" s="71">
        <f t="shared" ref="W50:AB50" si="20">+W23+W49</f>
        <v>0</v>
      </c>
      <c r="X50" s="71">
        <f t="shared" si="20"/>
        <v>0</v>
      </c>
      <c r="Y50" s="71">
        <f t="shared" si="20"/>
        <v>0</v>
      </c>
      <c r="Z50" s="71">
        <f t="shared" si="20"/>
        <v>0</v>
      </c>
      <c r="AA50" s="71">
        <f t="shared" si="20"/>
        <v>0</v>
      </c>
      <c r="AB50" s="71">
        <f t="shared" si="20"/>
        <v>0</v>
      </c>
      <c r="AC50" s="66">
        <f t="shared" si="1"/>
        <v>0</v>
      </c>
      <c r="AD50" s="71">
        <f>+AD23+AD49</f>
        <v>0</v>
      </c>
      <c r="AE50" s="71"/>
      <c r="AF50" s="71"/>
      <c r="AG50" s="71"/>
      <c r="AH50" s="66">
        <f>SUM(AD50:AG50)</f>
        <v>0</v>
      </c>
      <c r="AI50" s="71">
        <f>SUM(AI49,AI23)</f>
        <v>1456102</v>
      </c>
    </row>
    <row r="51" spans="1:37" x14ac:dyDescent="0.25">
      <c r="A51" s="37"/>
      <c r="B51" s="33"/>
      <c r="C51" s="33"/>
      <c r="AK51" s="49"/>
    </row>
    <row r="52" spans="1:37" x14ac:dyDescent="0.25">
      <c r="A52" s="37"/>
      <c r="B52" s="34"/>
      <c r="C52" s="34"/>
      <c r="AI52" s="49"/>
    </row>
    <row r="53" spans="1:37" x14ac:dyDescent="0.25">
      <c r="A53" s="37"/>
      <c r="B53" s="34"/>
      <c r="C53" s="34"/>
      <c r="M53" s="49"/>
      <c r="N53" s="100"/>
    </row>
    <row r="54" spans="1:37" x14ac:dyDescent="0.25">
      <c r="M54" s="49"/>
      <c r="N54" s="100"/>
      <c r="AI54" s="49"/>
      <c r="AK54" s="49"/>
    </row>
    <row r="55" spans="1:37" x14ac:dyDescent="0.25">
      <c r="M55" s="49"/>
      <c r="N55" s="101"/>
    </row>
    <row r="56" spans="1:37" x14ac:dyDescent="0.25">
      <c r="M56" s="49"/>
      <c r="N56" s="101"/>
    </row>
    <row r="57" spans="1:37" x14ac:dyDescent="0.25">
      <c r="M57" s="49"/>
      <c r="N57" s="101"/>
    </row>
  </sheetData>
  <mergeCells count="7">
    <mergeCell ref="A50:C50"/>
    <mergeCell ref="A6:A7"/>
    <mergeCell ref="B6:B7"/>
    <mergeCell ref="C6:C7"/>
    <mergeCell ref="AI6:AI7"/>
    <mergeCell ref="A23:C23"/>
    <mergeCell ref="A49:C49"/>
  </mergeCells>
  <pageMargins left="0.7" right="0.7" top="0.75" bottom="0.75" header="0.3" footer="0.3"/>
  <pageSetup paperSize="9" scale="24" orientation="landscape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5635-B963-4E97-84A5-DF7F88E334E4}">
  <sheetPr codeName="Hoja62"/>
  <dimension ref="A1:M30"/>
  <sheetViews>
    <sheetView topLeftCell="B1" workbookViewId="0">
      <selection activeCell="E18" sqref="E18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customWidth="1"/>
    <col min="10" max="10" width="27.85546875" style="1" customWidth="1"/>
    <col min="11" max="11" width="5" style="1" customWidth="1"/>
    <col min="12" max="12" width="12.42578125" style="1" bestFit="1" customWidth="1"/>
    <col min="13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3" x14ac:dyDescent="0.25">
      <c r="A5" s="5"/>
      <c r="B5" s="7"/>
      <c r="C5" s="8" t="s">
        <v>49</v>
      </c>
      <c r="D5" s="5" t="s">
        <v>160</v>
      </c>
      <c r="E5" s="9"/>
      <c r="F5" s="9"/>
      <c r="G5" s="9"/>
      <c r="H5" s="9"/>
      <c r="I5" s="9"/>
      <c r="J5" s="9"/>
      <c r="K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3" x14ac:dyDescent="0.25">
      <c r="A7" s="5"/>
      <c r="B7" s="7"/>
      <c r="C7" s="8" t="s">
        <v>48</v>
      </c>
      <c r="D7" s="5" t="s">
        <v>16</v>
      </c>
      <c r="E7" s="9"/>
      <c r="F7" s="9"/>
      <c r="G7" s="9"/>
      <c r="H7" s="9"/>
      <c r="I7" s="9"/>
      <c r="J7" s="9"/>
      <c r="K7" s="5"/>
    </row>
    <row r="8" spans="1:13" x14ac:dyDescent="0.25">
      <c r="A8" s="5"/>
      <c r="B8" s="7"/>
      <c r="C8" s="8" t="s">
        <v>47</v>
      </c>
      <c r="D8" s="16" t="s">
        <v>120</v>
      </c>
      <c r="E8" s="9"/>
      <c r="F8" s="9"/>
      <c r="G8" s="9"/>
      <c r="H8" s="9"/>
      <c r="I8" s="9"/>
      <c r="J8" s="9"/>
      <c r="K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3" ht="18" customHeight="1" x14ac:dyDescent="0.25">
      <c r="A11" s="5"/>
      <c r="B11" s="14"/>
      <c r="C11" s="14"/>
      <c r="D11" s="22"/>
      <c r="E11" s="12"/>
      <c r="F11" s="12"/>
      <c r="G11" s="22"/>
      <c r="H11" s="12">
        <f>+E11-F11</f>
        <v>0</v>
      </c>
      <c r="I11" s="10"/>
      <c r="J11" s="150"/>
      <c r="K11" s="5"/>
    </row>
    <row r="12" spans="1:13" ht="18" customHeight="1" x14ac:dyDescent="0.25">
      <c r="A12" s="5"/>
      <c r="B12" s="14"/>
      <c r="C12" s="14"/>
      <c r="D12" s="22"/>
      <c r="E12" s="12"/>
      <c r="F12" s="12"/>
      <c r="G12" s="22"/>
      <c r="H12" s="12">
        <f t="shared" ref="H12:H26" si="0">+H11+E12-F12</f>
        <v>0</v>
      </c>
      <c r="I12" s="10"/>
      <c r="J12" s="150"/>
      <c r="K12" s="5"/>
    </row>
    <row r="13" spans="1:13" ht="18" customHeight="1" x14ac:dyDescent="0.25">
      <c r="A13" s="5"/>
      <c r="B13" s="14"/>
      <c r="C13" s="14"/>
      <c r="D13" s="22"/>
      <c r="E13" s="12"/>
      <c r="F13" s="12"/>
      <c r="G13" s="22"/>
      <c r="H13" s="12">
        <f t="shared" si="0"/>
        <v>0</v>
      </c>
      <c r="I13" s="10"/>
      <c r="J13" s="150"/>
      <c r="K13" s="5"/>
      <c r="L13" s="49"/>
      <c r="M13" s="49"/>
    </row>
    <row r="14" spans="1:13" x14ac:dyDescent="0.25">
      <c r="A14" s="5"/>
      <c r="B14" s="14"/>
      <c r="C14" s="14"/>
      <c r="D14" s="22"/>
      <c r="E14" s="12"/>
      <c r="F14" s="12"/>
      <c r="G14" s="22"/>
      <c r="H14" s="12">
        <f t="shared" si="0"/>
        <v>0</v>
      </c>
      <c r="I14" s="10"/>
      <c r="J14" s="150"/>
      <c r="K14" s="5"/>
      <c r="L14" s="49"/>
    </row>
    <row r="15" spans="1:13" x14ac:dyDescent="0.25">
      <c r="A15" s="5"/>
      <c r="B15" s="14"/>
      <c r="C15" s="14"/>
      <c r="D15" s="22"/>
      <c r="E15" s="12"/>
      <c r="F15" s="12"/>
      <c r="G15" s="11"/>
      <c r="H15" s="12">
        <f t="shared" si="0"/>
        <v>0</v>
      </c>
      <c r="I15" s="10"/>
      <c r="J15" s="150"/>
      <c r="K15" s="5"/>
      <c r="L15" s="49"/>
    </row>
    <row r="16" spans="1:13" x14ac:dyDescent="0.25">
      <c r="A16" s="5"/>
      <c r="B16" s="14"/>
      <c r="C16" s="14"/>
      <c r="D16" s="22"/>
      <c r="E16" s="12"/>
      <c r="F16" s="12"/>
      <c r="G16" s="11"/>
      <c r="H16" s="12">
        <f t="shared" si="0"/>
        <v>0</v>
      </c>
      <c r="I16" s="10"/>
      <c r="J16" s="150"/>
      <c r="K16" s="5"/>
    </row>
    <row r="17" spans="1:12" x14ac:dyDescent="0.25">
      <c r="A17" s="5"/>
      <c r="B17" s="14"/>
      <c r="C17" s="14"/>
      <c r="D17" s="22"/>
      <c r="E17" s="12"/>
      <c r="F17" s="12"/>
      <c r="G17" s="11"/>
      <c r="H17" s="12">
        <f t="shared" si="0"/>
        <v>0</v>
      </c>
      <c r="I17" s="10"/>
      <c r="J17" s="150"/>
      <c r="K17" s="5"/>
    </row>
    <row r="18" spans="1:12" x14ac:dyDescent="0.25">
      <c r="A18" s="5"/>
      <c r="B18" s="14"/>
      <c r="C18" s="14"/>
      <c r="D18" s="22"/>
      <c r="E18" s="12"/>
      <c r="F18" s="12"/>
      <c r="G18" s="11"/>
      <c r="H18" s="12">
        <f t="shared" si="0"/>
        <v>0</v>
      </c>
      <c r="I18" s="10"/>
      <c r="J18" s="150"/>
      <c r="K18" s="5"/>
    </row>
    <row r="19" spans="1:12" x14ac:dyDescent="0.25">
      <c r="A19" s="5"/>
      <c r="B19" s="14"/>
      <c r="C19" s="14"/>
      <c r="D19" s="22"/>
      <c r="E19" s="12"/>
      <c r="F19" s="12"/>
      <c r="G19" s="11"/>
      <c r="H19" s="12">
        <f t="shared" si="0"/>
        <v>0</v>
      </c>
      <c r="I19" s="10"/>
      <c r="J19" s="150"/>
      <c r="K19" s="5"/>
    </row>
    <row r="20" spans="1:12" x14ac:dyDescent="0.25">
      <c r="A20" s="5"/>
      <c r="B20" s="14"/>
      <c r="C20" s="14"/>
      <c r="D20" s="22"/>
      <c r="E20" s="12"/>
      <c r="F20" s="12"/>
      <c r="G20" s="11"/>
      <c r="H20" s="12">
        <f t="shared" si="0"/>
        <v>0</v>
      </c>
      <c r="I20" s="10"/>
      <c r="J20" s="150"/>
      <c r="K20" s="5"/>
    </row>
    <row r="21" spans="1:12" x14ac:dyDescent="0.25">
      <c r="A21" s="5"/>
      <c r="B21" s="14"/>
      <c r="C21" s="14"/>
      <c r="D21" s="22"/>
      <c r="E21" s="12"/>
      <c r="F21" s="12"/>
      <c r="G21" s="11"/>
      <c r="H21" s="12">
        <f t="shared" si="0"/>
        <v>0</v>
      </c>
      <c r="I21" s="10"/>
      <c r="J21" s="150"/>
      <c r="K21" s="5"/>
    </row>
    <row r="22" spans="1:12" x14ac:dyDescent="0.25">
      <c r="A22" s="5"/>
      <c r="B22" s="14"/>
      <c r="C22" s="14"/>
      <c r="D22" s="22"/>
      <c r="E22" s="12"/>
      <c r="F22" s="12"/>
      <c r="G22" s="11"/>
      <c r="H22" s="12">
        <f t="shared" si="0"/>
        <v>0</v>
      </c>
      <c r="I22" s="10"/>
      <c r="J22" s="150"/>
      <c r="K22" s="5"/>
    </row>
    <row r="23" spans="1:12" x14ac:dyDescent="0.25">
      <c r="A23" s="5"/>
      <c r="B23" s="14"/>
      <c r="C23" s="14"/>
      <c r="D23" s="22"/>
      <c r="E23" s="12"/>
      <c r="F23" s="12"/>
      <c r="G23" s="11"/>
      <c r="H23" s="12">
        <f t="shared" si="0"/>
        <v>0</v>
      </c>
      <c r="I23" s="10"/>
      <c r="J23" s="150"/>
      <c r="K23" s="5"/>
      <c r="L23" s="49"/>
    </row>
    <row r="24" spans="1:12" x14ac:dyDescent="0.25">
      <c r="A24" s="5"/>
      <c r="B24" s="14"/>
      <c r="C24" s="14"/>
      <c r="D24" s="22"/>
      <c r="E24" s="12"/>
      <c r="F24" s="12"/>
      <c r="G24" s="11"/>
      <c r="H24" s="12">
        <f t="shared" si="0"/>
        <v>0</v>
      </c>
      <c r="I24" s="10"/>
      <c r="J24" s="150"/>
      <c r="K24" s="5"/>
    </row>
    <row r="25" spans="1:12" x14ac:dyDescent="0.25">
      <c r="A25" s="5"/>
      <c r="B25" s="14"/>
      <c r="C25" s="14"/>
      <c r="D25" s="22"/>
      <c r="E25" s="12"/>
      <c r="F25" s="12"/>
      <c r="G25" s="11"/>
      <c r="H25" s="12">
        <f t="shared" si="0"/>
        <v>0</v>
      </c>
      <c r="I25" s="10"/>
      <c r="J25" s="10"/>
      <c r="K25" s="5"/>
    </row>
    <row r="26" spans="1:12" x14ac:dyDescent="0.25">
      <c r="A26" s="5"/>
      <c r="B26" s="14"/>
      <c r="C26" s="14"/>
      <c r="D26" s="22"/>
      <c r="E26" s="12"/>
      <c r="F26" s="12"/>
      <c r="G26" s="11"/>
      <c r="H26" s="27">
        <f t="shared" si="0"/>
        <v>0</v>
      </c>
      <c r="I26" s="10"/>
      <c r="J26" s="10"/>
      <c r="K26" s="5"/>
    </row>
    <row r="27" spans="1:12" ht="16.5" thickBot="1" x14ac:dyDescent="0.3">
      <c r="A27" s="5"/>
      <c r="B27" s="275" t="s">
        <v>55</v>
      </c>
      <c r="C27" s="275"/>
      <c r="D27" s="275"/>
      <c r="E27" s="147">
        <f>SUM(E11:E26)</f>
        <v>0</v>
      </c>
      <c r="F27" s="148">
        <f>SUM(F11:F26)</f>
        <v>0</v>
      </c>
      <c r="G27" s="5"/>
      <c r="H27" s="5"/>
      <c r="I27" s="5"/>
      <c r="J27" s="5"/>
      <c r="K27" s="5"/>
    </row>
    <row r="28" spans="1:12" ht="16.5" thickBot="1" x14ac:dyDescent="0.3">
      <c r="A28" s="5"/>
      <c r="B28" s="5"/>
      <c r="C28" s="5"/>
      <c r="D28" s="5"/>
      <c r="E28" s="5"/>
      <c r="F28" s="26">
        <f>+E27-F27</f>
        <v>0</v>
      </c>
      <c r="G28" s="5"/>
      <c r="H28" s="5"/>
      <c r="I28" s="5"/>
      <c r="J28" s="5"/>
      <c r="K28" s="5"/>
    </row>
    <row r="29" spans="1:12" x14ac:dyDescent="0.25">
      <c r="A29" s="5"/>
      <c r="B29" s="5"/>
      <c r="C29" s="5"/>
      <c r="D29" s="5"/>
      <c r="E29" s="5"/>
      <c r="F29" s="5"/>
      <c r="G29" s="5"/>
      <c r="H29" s="16"/>
      <c r="I29" s="16"/>
      <c r="J29" s="5"/>
      <c r="K29" s="5"/>
    </row>
    <row r="30" spans="1:12" x14ac:dyDescent="0.25">
      <c r="A30" s="5"/>
      <c r="B30" s="5"/>
      <c r="C30" s="5"/>
      <c r="D30" s="5"/>
      <c r="E30" s="5"/>
      <c r="F30" s="5"/>
      <c r="G30" s="5"/>
      <c r="H30" s="16"/>
      <c r="I30" s="5"/>
      <c r="J30" s="5"/>
      <c r="K30" s="5"/>
    </row>
  </sheetData>
  <mergeCells count="3">
    <mergeCell ref="B2:J2"/>
    <mergeCell ref="B3:J3"/>
    <mergeCell ref="B27:D2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0F19-5070-4087-9F5A-BAF6583932D5}">
  <sheetPr codeName="Hoja63"/>
  <dimension ref="A1:M30"/>
  <sheetViews>
    <sheetView workbookViewId="0">
      <selection activeCell="B4" sqref="B4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customWidth="1"/>
    <col min="10" max="10" width="27.85546875" style="1" customWidth="1"/>
    <col min="11" max="11" width="5" style="1" customWidth="1"/>
    <col min="12" max="12" width="12.42578125" style="1" bestFit="1" customWidth="1"/>
    <col min="13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3" x14ac:dyDescent="0.25">
      <c r="A5" s="5"/>
      <c r="B5" s="7"/>
      <c r="C5" s="8" t="s">
        <v>49</v>
      </c>
      <c r="D5" s="5" t="s">
        <v>159</v>
      </c>
      <c r="E5" s="9"/>
      <c r="F5" s="9"/>
      <c r="G5" s="9"/>
      <c r="H5" s="9"/>
      <c r="I5" s="9"/>
      <c r="J5" s="9"/>
      <c r="K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3" x14ac:dyDescent="0.25">
      <c r="A7" s="5"/>
      <c r="B7" s="7"/>
      <c r="C7" s="8" t="s">
        <v>48</v>
      </c>
      <c r="D7" s="5" t="s">
        <v>158</v>
      </c>
      <c r="E7" s="9"/>
      <c r="F7" s="9"/>
      <c r="G7" s="9"/>
      <c r="H7" s="9"/>
      <c r="I7" s="9"/>
      <c r="J7" s="9"/>
      <c r="K7" s="5"/>
    </row>
    <row r="8" spans="1:13" x14ac:dyDescent="0.25">
      <c r="A8" s="5"/>
      <c r="B8" s="7"/>
      <c r="C8" s="8" t="s">
        <v>47</v>
      </c>
      <c r="D8" s="16" t="s">
        <v>120</v>
      </c>
      <c r="E8" s="9"/>
      <c r="F8" s="9"/>
      <c r="G8" s="9"/>
      <c r="H8" s="9"/>
      <c r="I8" s="9"/>
      <c r="J8" s="9"/>
      <c r="K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3" ht="18" customHeight="1" x14ac:dyDescent="0.25">
      <c r="A11" s="5"/>
      <c r="B11" s="14"/>
      <c r="C11" s="14"/>
      <c r="D11" s="22"/>
      <c r="E11" s="12"/>
      <c r="F11" s="12"/>
      <c r="G11" s="22"/>
      <c r="H11" s="12">
        <f>+E11-F11</f>
        <v>0</v>
      </c>
      <c r="I11" s="10"/>
      <c r="J11" s="150"/>
      <c r="K11" s="5"/>
    </row>
    <row r="12" spans="1:13" ht="18" customHeight="1" x14ac:dyDescent="0.25">
      <c r="A12" s="5"/>
      <c r="B12" s="14"/>
      <c r="C12" s="14"/>
      <c r="D12" s="22"/>
      <c r="E12" s="12"/>
      <c r="F12" s="12"/>
      <c r="G12" s="11"/>
      <c r="H12" s="12">
        <f t="shared" ref="H12:H26" si="0">+H11+E12-F12</f>
        <v>0</v>
      </c>
      <c r="I12" s="10"/>
      <c r="J12" s="150"/>
      <c r="K12" s="5"/>
    </row>
    <row r="13" spans="1:13" ht="18" customHeight="1" x14ac:dyDescent="0.25">
      <c r="A13" s="5"/>
      <c r="B13" s="14"/>
      <c r="C13" s="14"/>
      <c r="D13" s="22"/>
      <c r="E13" s="12"/>
      <c r="F13" s="12"/>
      <c r="G13" s="11"/>
      <c r="H13" s="12">
        <f t="shared" si="0"/>
        <v>0</v>
      </c>
      <c r="I13" s="10"/>
      <c r="J13" s="150"/>
      <c r="K13" s="5"/>
      <c r="L13" s="49"/>
      <c r="M13" s="49"/>
    </row>
    <row r="14" spans="1:13" x14ac:dyDescent="0.25">
      <c r="A14" s="5"/>
      <c r="B14" s="14"/>
      <c r="C14" s="14"/>
      <c r="D14" s="22"/>
      <c r="E14" s="12"/>
      <c r="F14" s="12"/>
      <c r="G14" s="11"/>
      <c r="H14" s="12">
        <f t="shared" si="0"/>
        <v>0</v>
      </c>
      <c r="I14" s="10"/>
      <c r="J14" s="150"/>
      <c r="K14" s="5"/>
      <c r="L14" s="49"/>
    </row>
    <row r="15" spans="1:13" x14ac:dyDescent="0.25">
      <c r="A15" s="5"/>
      <c r="B15" s="14"/>
      <c r="C15" s="14"/>
      <c r="D15" s="22"/>
      <c r="E15" s="12"/>
      <c r="F15" s="12"/>
      <c r="G15" s="11"/>
      <c r="H15" s="12">
        <f t="shared" si="0"/>
        <v>0</v>
      </c>
      <c r="I15" s="10"/>
      <c r="J15" s="150"/>
      <c r="K15" s="5"/>
      <c r="L15" s="49"/>
    </row>
    <row r="16" spans="1:13" x14ac:dyDescent="0.25">
      <c r="A16" s="5"/>
      <c r="B16" s="14"/>
      <c r="C16" s="14"/>
      <c r="D16" s="22"/>
      <c r="E16" s="12"/>
      <c r="F16" s="12"/>
      <c r="G16" s="11"/>
      <c r="H16" s="12">
        <f t="shared" si="0"/>
        <v>0</v>
      </c>
      <c r="I16" s="10"/>
      <c r="J16" s="150"/>
      <c r="K16" s="5"/>
    </row>
    <row r="17" spans="1:12" x14ac:dyDescent="0.25">
      <c r="A17" s="5"/>
      <c r="B17" s="14"/>
      <c r="C17" s="14"/>
      <c r="D17" s="22"/>
      <c r="E17" s="12"/>
      <c r="F17" s="12"/>
      <c r="G17" s="11"/>
      <c r="H17" s="12">
        <f t="shared" si="0"/>
        <v>0</v>
      </c>
      <c r="I17" s="10"/>
      <c r="J17" s="150"/>
      <c r="K17" s="5"/>
      <c r="L17" s="49"/>
    </row>
    <row r="18" spans="1:12" x14ac:dyDescent="0.25">
      <c r="A18" s="5"/>
      <c r="B18" s="14"/>
      <c r="C18" s="14"/>
      <c r="D18" s="22"/>
      <c r="E18" s="12"/>
      <c r="F18" s="12"/>
      <c r="G18" s="11"/>
      <c r="H18" s="12">
        <f t="shared" si="0"/>
        <v>0</v>
      </c>
      <c r="I18" s="10"/>
      <c r="J18" s="150"/>
      <c r="K18" s="5"/>
    </row>
    <row r="19" spans="1:12" x14ac:dyDescent="0.25">
      <c r="A19" s="5"/>
      <c r="B19" s="14"/>
      <c r="C19" s="14"/>
      <c r="D19" s="22"/>
      <c r="E19" s="12"/>
      <c r="F19" s="12"/>
      <c r="G19" s="11"/>
      <c r="H19" s="12">
        <f t="shared" si="0"/>
        <v>0</v>
      </c>
      <c r="I19" s="10"/>
      <c r="J19" s="150"/>
      <c r="K19" s="5"/>
    </row>
    <row r="20" spans="1:12" x14ac:dyDescent="0.25">
      <c r="A20" s="5"/>
      <c r="B20" s="14"/>
      <c r="C20" s="14"/>
      <c r="D20" s="22"/>
      <c r="E20" s="12"/>
      <c r="F20" s="12"/>
      <c r="G20" s="11"/>
      <c r="H20" s="12">
        <f t="shared" si="0"/>
        <v>0</v>
      </c>
      <c r="I20" s="10"/>
      <c r="J20" s="150"/>
      <c r="K20" s="5"/>
    </row>
    <row r="21" spans="1:12" x14ac:dyDescent="0.25">
      <c r="A21" s="5"/>
      <c r="B21" s="14"/>
      <c r="C21" s="14"/>
      <c r="D21" s="22"/>
      <c r="E21" s="12"/>
      <c r="F21" s="12"/>
      <c r="G21" s="11"/>
      <c r="H21" s="12">
        <f t="shared" si="0"/>
        <v>0</v>
      </c>
      <c r="I21" s="10"/>
      <c r="J21" s="150"/>
      <c r="K21" s="5"/>
    </row>
    <row r="22" spans="1:12" x14ac:dyDescent="0.25">
      <c r="A22" s="5"/>
      <c r="B22" s="14"/>
      <c r="C22" s="14"/>
      <c r="D22" s="22"/>
      <c r="E22" s="12"/>
      <c r="F22" s="12"/>
      <c r="G22" s="11"/>
      <c r="H22" s="12">
        <f t="shared" si="0"/>
        <v>0</v>
      </c>
      <c r="I22" s="10"/>
      <c r="J22" s="150"/>
      <c r="K22" s="5"/>
    </row>
    <row r="23" spans="1:12" x14ac:dyDescent="0.25">
      <c r="A23" s="5"/>
      <c r="B23" s="14"/>
      <c r="C23" s="14"/>
      <c r="D23" s="22"/>
      <c r="E23" s="12"/>
      <c r="F23" s="12"/>
      <c r="G23" s="11"/>
      <c r="H23" s="12">
        <f t="shared" si="0"/>
        <v>0</v>
      </c>
      <c r="I23" s="10"/>
      <c r="J23" s="150"/>
      <c r="K23" s="5"/>
      <c r="L23" s="49"/>
    </row>
    <row r="24" spans="1:12" x14ac:dyDescent="0.25">
      <c r="A24" s="5"/>
      <c r="B24" s="14"/>
      <c r="C24" s="14"/>
      <c r="D24" s="22"/>
      <c r="E24" s="12"/>
      <c r="F24" s="12"/>
      <c r="G24" s="11"/>
      <c r="H24" s="12">
        <f t="shared" si="0"/>
        <v>0</v>
      </c>
      <c r="I24" s="10"/>
      <c r="J24" s="150"/>
      <c r="K24" s="5"/>
    </row>
    <row r="25" spans="1:12" x14ac:dyDescent="0.25">
      <c r="A25" s="5"/>
      <c r="B25" s="14"/>
      <c r="C25" s="14"/>
      <c r="D25" s="22"/>
      <c r="E25" s="12"/>
      <c r="F25" s="12"/>
      <c r="G25" s="11"/>
      <c r="H25" s="12">
        <f t="shared" si="0"/>
        <v>0</v>
      </c>
      <c r="I25" s="10"/>
      <c r="J25" s="10"/>
      <c r="K25" s="5"/>
    </row>
    <row r="26" spans="1:12" x14ac:dyDescent="0.25">
      <c r="A26" s="5"/>
      <c r="B26" s="14"/>
      <c r="C26" s="14"/>
      <c r="D26" s="22"/>
      <c r="E26" s="12"/>
      <c r="F26" s="12"/>
      <c r="G26" s="11"/>
      <c r="H26" s="27">
        <f t="shared" si="0"/>
        <v>0</v>
      </c>
      <c r="I26" s="10"/>
      <c r="J26" s="10"/>
      <c r="K26" s="5"/>
    </row>
    <row r="27" spans="1:12" ht="16.5" thickBot="1" x14ac:dyDescent="0.3">
      <c r="A27" s="5"/>
      <c r="B27" s="275" t="s">
        <v>55</v>
      </c>
      <c r="C27" s="275"/>
      <c r="D27" s="275"/>
      <c r="E27" s="147">
        <f>SUM(E11:E26)</f>
        <v>0</v>
      </c>
      <c r="F27" s="148">
        <f>SUM(F11:F26)</f>
        <v>0</v>
      </c>
      <c r="G27" s="5"/>
      <c r="H27" s="5"/>
      <c r="I27" s="5"/>
      <c r="J27" s="5"/>
      <c r="K27" s="5"/>
    </row>
    <row r="28" spans="1:12" ht="16.5" thickBot="1" x14ac:dyDescent="0.3">
      <c r="A28" s="5"/>
      <c r="B28" s="5"/>
      <c r="C28" s="5"/>
      <c r="D28" s="5"/>
      <c r="E28" s="5"/>
      <c r="F28" s="26">
        <f>+E27-F27</f>
        <v>0</v>
      </c>
      <c r="G28" s="5"/>
      <c r="H28" s="5"/>
      <c r="I28" s="5"/>
      <c r="J28" s="5"/>
      <c r="K28" s="5"/>
    </row>
    <row r="29" spans="1:12" x14ac:dyDescent="0.25">
      <c r="A29" s="5"/>
      <c r="B29" s="5"/>
      <c r="C29" s="5"/>
      <c r="D29" s="5"/>
      <c r="E29" s="5"/>
      <c r="F29" s="5"/>
      <c r="G29" s="5"/>
      <c r="H29" s="16"/>
      <c r="I29" s="16"/>
      <c r="J29" s="5"/>
      <c r="K29" s="5"/>
    </row>
    <row r="30" spans="1:12" x14ac:dyDescent="0.25">
      <c r="A30" s="5"/>
      <c r="B30" s="5"/>
      <c r="C30" s="5"/>
      <c r="D30" s="5"/>
      <c r="E30" s="5"/>
      <c r="F30" s="5"/>
      <c r="G30" s="5"/>
      <c r="H30" s="16"/>
      <c r="I30" s="5"/>
      <c r="J30" s="5"/>
      <c r="K30" s="5"/>
    </row>
  </sheetData>
  <mergeCells count="3">
    <mergeCell ref="B2:J2"/>
    <mergeCell ref="B3:J3"/>
    <mergeCell ref="B27:D2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D252-13C3-4128-AE7D-C25C24A8055E}">
  <sheetPr codeName="Hoja64"/>
  <dimension ref="A1:M30"/>
  <sheetViews>
    <sheetView topLeftCell="A2" zoomScale="90" zoomScaleNormal="90" workbookViewId="0">
      <selection activeCell="B4" sqref="B4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customWidth="1"/>
    <col min="10" max="10" width="27.85546875" style="1" customWidth="1"/>
    <col min="11" max="11" width="5" style="1" customWidth="1"/>
    <col min="12" max="12" width="12.42578125" style="1" bestFit="1" customWidth="1"/>
    <col min="13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3" x14ac:dyDescent="0.25">
      <c r="A5" s="5"/>
      <c r="B5" s="7"/>
      <c r="C5" s="8" t="s">
        <v>49</v>
      </c>
      <c r="D5" s="5" t="s">
        <v>162</v>
      </c>
      <c r="E5" s="9"/>
      <c r="F5" s="9"/>
      <c r="G5" s="9"/>
      <c r="H5" s="9"/>
      <c r="I5" s="9"/>
      <c r="J5" s="9"/>
      <c r="K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3" x14ac:dyDescent="0.25">
      <c r="A7" s="5"/>
      <c r="B7" s="7"/>
      <c r="C7" s="8" t="s">
        <v>48</v>
      </c>
      <c r="D7" s="5" t="s">
        <v>161</v>
      </c>
      <c r="E7" s="9"/>
      <c r="F7" s="9"/>
      <c r="G7" s="9"/>
      <c r="H7" s="9"/>
      <c r="I7" s="9"/>
      <c r="J7" s="9"/>
      <c r="K7" s="5"/>
    </row>
    <row r="8" spans="1:13" x14ac:dyDescent="0.25">
      <c r="A8" s="5"/>
      <c r="B8" s="7"/>
      <c r="C8" s="8" t="s">
        <v>47</v>
      </c>
      <c r="D8" s="16" t="s">
        <v>120</v>
      </c>
      <c r="E8" s="9"/>
      <c r="F8" s="9"/>
      <c r="G8" s="9"/>
      <c r="H8" s="9"/>
      <c r="I8" s="9"/>
      <c r="J8" s="9"/>
      <c r="K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3" ht="18" customHeight="1" x14ac:dyDescent="0.25">
      <c r="A11" s="5"/>
      <c r="B11" s="14"/>
      <c r="C11" s="14"/>
      <c r="D11" s="22"/>
      <c r="E11" s="12"/>
      <c r="F11" s="12"/>
      <c r="G11" s="22"/>
      <c r="H11" s="12">
        <f>+E11-F11</f>
        <v>0</v>
      </c>
      <c r="I11" s="10"/>
      <c r="J11" s="150"/>
      <c r="K11" s="5"/>
    </row>
    <row r="12" spans="1:13" ht="18" customHeight="1" x14ac:dyDescent="0.25">
      <c r="A12" s="5"/>
      <c r="B12" s="14"/>
      <c r="C12" s="14"/>
      <c r="D12" s="22"/>
      <c r="E12" s="12"/>
      <c r="F12" s="12"/>
      <c r="G12" s="22"/>
      <c r="H12" s="12">
        <f>+H11+E12-F12</f>
        <v>0</v>
      </c>
      <c r="I12" s="10"/>
      <c r="J12" s="150"/>
      <c r="K12" s="5"/>
    </row>
    <row r="13" spans="1:13" ht="18" customHeight="1" x14ac:dyDescent="0.25">
      <c r="A13" s="5"/>
      <c r="B13" s="14"/>
      <c r="C13" s="14"/>
      <c r="D13" s="22"/>
      <c r="E13" s="12"/>
      <c r="F13" s="12"/>
      <c r="G13" s="22"/>
      <c r="H13" s="12">
        <f t="shared" ref="H13:H26" si="0">+H12+E13-F13</f>
        <v>0</v>
      </c>
      <c r="I13" s="10"/>
      <c r="J13" s="150"/>
      <c r="K13" s="5"/>
      <c r="L13" s="49"/>
      <c r="M13" s="49"/>
    </row>
    <row r="14" spans="1:13" x14ac:dyDescent="0.25">
      <c r="A14" s="5"/>
      <c r="B14" s="14"/>
      <c r="C14" s="14"/>
      <c r="D14" s="22"/>
      <c r="E14" s="12"/>
      <c r="F14" s="12"/>
      <c r="G14" s="22"/>
      <c r="H14" s="12">
        <f t="shared" si="0"/>
        <v>0</v>
      </c>
      <c r="I14" s="10"/>
      <c r="J14" s="150"/>
      <c r="K14" s="5"/>
      <c r="L14" s="49"/>
    </row>
    <row r="15" spans="1:13" x14ac:dyDescent="0.25">
      <c r="A15" s="5"/>
      <c r="B15" s="14"/>
      <c r="C15" s="14"/>
      <c r="D15" s="22"/>
      <c r="E15" s="12"/>
      <c r="F15" s="12"/>
      <c r="G15" s="11"/>
      <c r="H15" s="12">
        <f t="shared" si="0"/>
        <v>0</v>
      </c>
      <c r="I15" s="10"/>
      <c r="J15" s="150"/>
      <c r="K15" s="5"/>
      <c r="L15" s="49"/>
    </row>
    <row r="16" spans="1:13" x14ac:dyDescent="0.25">
      <c r="A16" s="5"/>
      <c r="B16" s="14"/>
      <c r="C16" s="14"/>
      <c r="D16" s="22"/>
      <c r="E16" s="12"/>
      <c r="F16" s="12"/>
      <c r="G16" s="11"/>
      <c r="H16" s="12">
        <f t="shared" si="0"/>
        <v>0</v>
      </c>
      <c r="I16" s="10"/>
      <c r="J16" s="150"/>
      <c r="K16" s="5"/>
    </row>
    <row r="17" spans="1:12" x14ac:dyDescent="0.25">
      <c r="A17" s="5"/>
      <c r="B17" s="14"/>
      <c r="C17" s="14"/>
      <c r="D17" s="22"/>
      <c r="E17" s="12"/>
      <c r="F17" s="12"/>
      <c r="G17" s="11"/>
      <c r="H17" s="12">
        <f t="shared" si="0"/>
        <v>0</v>
      </c>
      <c r="I17" s="10"/>
      <c r="J17" s="150"/>
      <c r="K17" s="5"/>
    </row>
    <row r="18" spans="1:12" x14ac:dyDescent="0.25">
      <c r="A18" s="5"/>
      <c r="B18" s="14"/>
      <c r="C18" s="14"/>
      <c r="D18" s="22"/>
      <c r="E18" s="12"/>
      <c r="F18" s="12"/>
      <c r="G18" s="11"/>
      <c r="H18" s="12">
        <f t="shared" si="0"/>
        <v>0</v>
      </c>
      <c r="I18" s="10"/>
      <c r="J18" s="150"/>
      <c r="K18" s="5"/>
    </row>
    <row r="19" spans="1:12" x14ac:dyDescent="0.25">
      <c r="A19" s="5"/>
      <c r="B19" s="14"/>
      <c r="C19" s="14"/>
      <c r="D19" s="22"/>
      <c r="E19" s="12"/>
      <c r="F19" s="12"/>
      <c r="G19" s="11"/>
      <c r="H19" s="12">
        <f t="shared" si="0"/>
        <v>0</v>
      </c>
      <c r="I19" s="10"/>
      <c r="J19" s="150"/>
      <c r="K19" s="5"/>
    </row>
    <row r="20" spans="1:12" x14ac:dyDescent="0.25">
      <c r="A20" s="5"/>
      <c r="B20" s="14"/>
      <c r="C20" s="14"/>
      <c r="D20" s="22"/>
      <c r="E20" s="12"/>
      <c r="F20" s="12"/>
      <c r="G20" s="11"/>
      <c r="H20" s="12">
        <f t="shared" si="0"/>
        <v>0</v>
      </c>
      <c r="I20" s="10"/>
      <c r="J20" s="150"/>
      <c r="K20" s="5"/>
    </row>
    <row r="21" spans="1:12" x14ac:dyDescent="0.25">
      <c r="A21" s="5"/>
      <c r="B21" s="14"/>
      <c r="C21" s="14"/>
      <c r="D21" s="22"/>
      <c r="E21" s="12"/>
      <c r="F21" s="12"/>
      <c r="G21" s="11"/>
      <c r="H21" s="12">
        <f t="shared" si="0"/>
        <v>0</v>
      </c>
      <c r="I21" s="10"/>
      <c r="J21" s="150"/>
      <c r="K21" s="5"/>
    </row>
    <row r="22" spans="1:12" x14ac:dyDescent="0.25">
      <c r="A22" s="5"/>
      <c r="B22" s="14"/>
      <c r="C22" s="14"/>
      <c r="D22" s="22"/>
      <c r="E22" s="12"/>
      <c r="F22" s="12"/>
      <c r="G22" s="11"/>
      <c r="H22" s="12">
        <f t="shared" si="0"/>
        <v>0</v>
      </c>
      <c r="I22" s="10"/>
      <c r="J22" s="150"/>
      <c r="K22" s="5"/>
    </row>
    <row r="23" spans="1:12" x14ac:dyDescent="0.25">
      <c r="A23" s="5"/>
      <c r="B23" s="14"/>
      <c r="C23" s="14"/>
      <c r="D23" s="22"/>
      <c r="E23" s="12"/>
      <c r="F23" s="12"/>
      <c r="G23" s="11"/>
      <c r="H23" s="12">
        <f t="shared" si="0"/>
        <v>0</v>
      </c>
      <c r="I23" s="10"/>
      <c r="J23" s="150"/>
      <c r="K23" s="5"/>
      <c r="L23" s="49"/>
    </row>
    <row r="24" spans="1:12" x14ac:dyDescent="0.25">
      <c r="A24" s="5"/>
      <c r="B24" s="14"/>
      <c r="C24" s="14"/>
      <c r="D24" s="22"/>
      <c r="E24" s="12"/>
      <c r="F24" s="12"/>
      <c r="G24" s="11"/>
      <c r="H24" s="12">
        <f t="shared" si="0"/>
        <v>0</v>
      </c>
      <c r="I24" s="10"/>
      <c r="J24" s="150"/>
      <c r="K24" s="5"/>
    </row>
    <row r="25" spans="1:12" x14ac:dyDescent="0.25">
      <c r="A25" s="5"/>
      <c r="B25" s="14"/>
      <c r="C25" s="14"/>
      <c r="D25" s="22"/>
      <c r="E25" s="12"/>
      <c r="F25" s="12"/>
      <c r="G25" s="11"/>
      <c r="H25" s="12">
        <f t="shared" si="0"/>
        <v>0</v>
      </c>
      <c r="I25" s="10"/>
      <c r="J25" s="10"/>
      <c r="K25" s="5"/>
    </row>
    <row r="26" spans="1:12" x14ac:dyDescent="0.25">
      <c r="A26" s="5"/>
      <c r="B26" s="14"/>
      <c r="C26" s="14"/>
      <c r="D26" s="22"/>
      <c r="E26" s="12"/>
      <c r="F26" s="12"/>
      <c r="G26" s="11"/>
      <c r="H26" s="27">
        <f t="shared" si="0"/>
        <v>0</v>
      </c>
      <c r="I26" s="10"/>
      <c r="J26" s="10"/>
      <c r="K26" s="5"/>
    </row>
    <row r="27" spans="1:12" ht="16.5" thickBot="1" x14ac:dyDescent="0.3">
      <c r="A27" s="5"/>
      <c r="B27" s="275" t="s">
        <v>55</v>
      </c>
      <c r="C27" s="275"/>
      <c r="D27" s="275"/>
      <c r="E27" s="147">
        <f>SUM(E11:E26)</f>
        <v>0</v>
      </c>
      <c r="F27" s="148">
        <f>SUM(F11:F26)</f>
        <v>0</v>
      </c>
      <c r="G27" s="5"/>
      <c r="H27" s="5"/>
      <c r="I27" s="5"/>
      <c r="J27" s="5"/>
      <c r="K27" s="5"/>
    </row>
    <row r="28" spans="1:12" ht="16.5" thickBot="1" x14ac:dyDescent="0.3">
      <c r="A28" s="5"/>
      <c r="B28" s="5"/>
      <c r="C28" s="5"/>
      <c r="D28" s="5"/>
      <c r="E28" s="5"/>
      <c r="F28" s="26">
        <f>+E27-F27</f>
        <v>0</v>
      </c>
      <c r="G28" s="5"/>
      <c r="H28" s="5"/>
      <c r="I28" s="5"/>
      <c r="J28" s="5"/>
      <c r="K28" s="5"/>
    </row>
    <row r="29" spans="1:12" x14ac:dyDescent="0.25">
      <c r="A29" s="5"/>
      <c r="B29" s="5"/>
      <c r="C29" s="5"/>
      <c r="D29" s="5"/>
      <c r="E29" s="5"/>
      <c r="F29" s="5"/>
      <c r="G29" s="5"/>
      <c r="H29" s="16"/>
      <c r="I29" s="16"/>
      <c r="J29" s="5"/>
      <c r="K29" s="5"/>
    </row>
    <row r="30" spans="1:12" x14ac:dyDescent="0.25">
      <c r="A30" s="5"/>
      <c r="B30" s="5"/>
      <c r="C30" s="5"/>
      <c r="D30" s="5"/>
      <c r="E30" s="5"/>
      <c r="F30" s="5"/>
      <c r="G30" s="5"/>
      <c r="H30" s="16"/>
      <c r="I30" s="5"/>
      <c r="J30" s="5"/>
      <c r="K30" s="5"/>
    </row>
  </sheetData>
  <mergeCells count="3">
    <mergeCell ref="B2:J2"/>
    <mergeCell ref="B3:J3"/>
    <mergeCell ref="B27:D2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80D0-CD17-4783-88B1-12DD2B8DDE70}">
  <sheetPr codeName="Hoja65"/>
  <dimension ref="A1:M30"/>
  <sheetViews>
    <sheetView topLeftCell="A7" zoomScale="90" zoomScaleNormal="90" workbookViewId="0">
      <selection activeCell="J21" sqref="J2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hidden="1" customWidth="1"/>
    <col min="10" max="10" width="27.85546875" style="1" customWidth="1"/>
    <col min="11" max="11" width="5" style="1" customWidth="1"/>
    <col min="12" max="12" width="12.42578125" style="1" bestFit="1" customWidth="1"/>
    <col min="13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3" x14ac:dyDescent="0.25">
      <c r="A5" s="5"/>
      <c r="B5" s="7"/>
      <c r="C5" s="8" t="s">
        <v>49</v>
      </c>
      <c r="D5" s="5" t="s">
        <v>302</v>
      </c>
      <c r="E5" s="9"/>
      <c r="F5" s="9"/>
      <c r="G5" s="9"/>
      <c r="H5" s="9"/>
      <c r="I5" s="9"/>
      <c r="J5" s="9"/>
      <c r="K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3" x14ac:dyDescent="0.25">
      <c r="A7" s="5"/>
      <c r="B7" s="7"/>
      <c r="C7" s="8" t="s">
        <v>48</v>
      </c>
      <c r="D7" s="5" t="s">
        <v>303</v>
      </c>
      <c r="E7" s="9"/>
      <c r="F7" s="9"/>
      <c r="G7" s="9"/>
      <c r="H7" s="9"/>
      <c r="I7" s="9"/>
      <c r="J7" s="9"/>
      <c r="K7" s="5"/>
    </row>
    <row r="8" spans="1:13" x14ac:dyDescent="0.25">
      <c r="A8" s="5"/>
      <c r="B8" s="7"/>
      <c r="C8" s="8" t="s">
        <v>47</v>
      </c>
      <c r="D8" s="16" t="s">
        <v>120</v>
      </c>
      <c r="E8" s="9"/>
      <c r="F8" s="9"/>
      <c r="G8" s="9"/>
      <c r="H8" s="9"/>
      <c r="I8" s="9"/>
      <c r="J8" s="9"/>
      <c r="K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3" ht="18" customHeight="1" x14ac:dyDescent="0.25">
      <c r="A11" s="5"/>
      <c r="B11" s="14">
        <v>251110</v>
      </c>
      <c r="C11" s="14">
        <v>2020</v>
      </c>
      <c r="D11" s="22">
        <v>45976</v>
      </c>
      <c r="E11" s="12">
        <v>74750</v>
      </c>
      <c r="F11" s="12">
        <v>40000</v>
      </c>
      <c r="G11" s="22">
        <v>45976</v>
      </c>
      <c r="H11" s="12">
        <f>+E11-F11</f>
        <v>34750</v>
      </c>
      <c r="I11" s="10"/>
      <c r="J11" s="150" t="s">
        <v>304</v>
      </c>
      <c r="K11" s="5" t="s">
        <v>136</v>
      </c>
    </row>
    <row r="12" spans="1:13" ht="18" customHeight="1" thickBot="1" x14ac:dyDescent="0.3">
      <c r="A12" s="5"/>
      <c r="B12" s="83"/>
      <c r="C12" s="83"/>
      <c r="D12" s="84"/>
      <c r="E12" s="85"/>
      <c r="F12" s="85">
        <v>34750</v>
      </c>
      <c r="G12" s="84">
        <v>45976</v>
      </c>
      <c r="H12" s="85">
        <f>+H11+E12-F12</f>
        <v>0</v>
      </c>
      <c r="I12" s="87"/>
      <c r="J12" s="175" t="s">
        <v>304</v>
      </c>
      <c r="K12" s="5" t="s">
        <v>136</v>
      </c>
      <c r="L12" s="49">
        <f>SUM(F11:F12)</f>
        <v>74750</v>
      </c>
    </row>
    <row r="13" spans="1:13" ht="18" customHeight="1" thickTop="1" x14ac:dyDescent="0.25">
      <c r="A13" s="5"/>
      <c r="B13" s="118"/>
      <c r="C13" s="118"/>
      <c r="D13" s="117"/>
      <c r="E13" s="80"/>
      <c r="F13" s="80"/>
      <c r="G13" s="117"/>
      <c r="H13" s="80">
        <f t="shared" ref="H13:H26" si="0">+H12+E13-F13</f>
        <v>0</v>
      </c>
      <c r="I13" s="82"/>
      <c r="J13" s="172"/>
      <c r="K13" s="5"/>
      <c r="L13" s="49"/>
      <c r="M13" s="49"/>
    </row>
    <row r="14" spans="1:13" x14ac:dyDescent="0.25">
      <c r="A14" s="5"/>
      <c r="B14" s="14"/>
      <c r="C14" s="14"/>
      <c r="D14" s="22"/>
      <c r="E14" s="12"/>
      <c r="F14" s="12"/>
      <c r="G14" s="22"/>
      <c r="H14" s="12">
        <f t="shared" si="0"/>
        <v>0</v>
      </c>
      <c r="I14" s="10"/>
      <c r="J14" s="150"/>
      <c r="K14" s="5"/>
      <c r="L14" s="49"/>
    </row>
    <row r="15" spans="1:13" x14ac:dyDescent="0.25">
      <c r="A15" s="5"/>
      <c r="B15" s="14"/>
      <c r="C15" s="14"/>
      <c r="D15" s="22"/>
      <c r="E15" s="12"/>
      <c r="F15" s="12"/>
      <c r="G15" s="11"/>
      <c r="H15" s="12">
        <f t="shared" si="0"/>
        <v>0</v>
      </c>
      <c r="I15" s="10"/>
      <c r="J15" s="150"/>
      <c r="K15" s="5"/>
      <c r="L15" s="49"/>
    </row>
    <row r="16" spans="1:13" x14ac:dyDescent="0.25">
      <c r="A16" s="5"/>
      <c r="B16" s="14"/>
      <c r="C16" s="14"/>
      <c r="D16" s="22"/>
      <c r="E16" s="12"/>
      <c r="F16" s="12"/>
      <c r="G16" s="11"/>
      <c r="H16" s="12">
        <f t="shared" si="0"/>
        <v>0</v>
      </c>
      <c r="I16" s="10"/>
      <c r="J16" s="150"/>
      <c r="K16" s="5"/>
      <c r="L16" s="49"/>
    </row>
    <row r="17" spans="1:12" x14ac:dyDescent="0.25">
      <c r="A17" s="5"/>
      <c r="B17" s="14"/>
      <c r="C17" s="14"/>
      <c r="D17" s="22"/>
      <c r="E17" s="12"/>
      <c r="F17" s="12"/>
      <c r="G17" s="11"/>
      <c r="H17" s="12">
        <f t="shared" si="0"/>
        <v>0</v>
      </c>
      <c r="I17" s="10"/>
      <c r="J17" s="150"/>
      <c r="K17" s="5"/>
    </row>
    <row r="18" spans="1:12" x14ac:dyDescent="0.25">
      <c r="A18" s="5"/>
      <c r="B18" s="14"/>
      <c r="C18" s="14"/>
      <c r="D18" s="22"/>
      <c r="E18" s="12"/>
      <c r="F18" s="12"/>
      <c r="G18" s="11"/>
      <c r="H18" s="12">
        <f t="shared" si="0"/>
        <v>0</v>
      </c>
      <c r="I18" s="10"/>
      <c r="J18" s="150"/>
      <c r="K18" s="5"/>
    </row>
    <row r="19" spans="1:12" x14ac:dyDescent="0.25">
      <c r="A19" s="5"/>
      <c r="B19" s="14"/>
      <c r="C19" s="14"/>
      <c r="D19" s="22"/>
      <c r="E19" s="12"/>
      <c r="F19" s="12"/>
      <c r="G19" s="11"/>
      <c r="H19" s="12">
        <f t="shared" si="0"/>
        <v>0</v>
      </c>
      <c r="I19" s="10"/>
      <c r="J19" s="150"/>
      <c r="K19" s="5"/>
    </row>
    <row r="20" spans="1:12" x14ac:dyDescent="0.25">
      <c r="A20" s="5"/>
      <c r="B20" s="14"/>
      <c r="C20" s="14"/>
      <c r="D20" s="22"/>
      <c r="E20" s="12"/>
      <c r="F20" s="12"/>
      <c r="G20" s="11"/>
      <c r="H20" s="12">
        <f t="shared" si="0"/>
        <v>0</v>
      </c>
      <c r="I20" s="10"/>
      <c r="J20" s="150"/>
      <c r="K20" s="5"/>
    </row>
    <row r="21" spans="1:12" x14ac:dyDescent="0.25">
      <c r="A21" s="5"/>
      <c r="B21" s="14"/>
      <c r="C21" s="14"/>
      <c r="D21" s="22"/>
      <c r="E21" s="12"/>
      <c r="F21" s="12"/>
      <c r="G21" s="11"/>
      <c r="H21" s="12">
        <f t="shared" si="0"/>
        <v>0</v>
      </c>
      <c r="I21" s="10"/>
      <c r="J21" s="150"/>
      <c r="K21" s="5"/>
    </row>
    <row r="22" spans="1:12" x14ac:dyDescent="0.25">
      <c r="A22" s="5"/>
      <c r="B22" s="14"/>
      <c r="C22" s="14"/>
      <c r="D22" s="22"/>
      <c r="E22" s="12"/>
      <c r="F22" s="12"/>
      <c r="G22" s="11"/>
      <c r="H22" s="12">
        <f t="shared" si="0"/>
        <v>0</v>
      </c>
      <c r="I22" s="10"/>
      <c r="J22" s="150"/>
      <c r="K22" s="5"/>
    </row>
    <row r="23" spans="1:12" x14ac:dyDescent="0.25">
      <c r="A23" s="5"/>
      <c r="B23" s="14"/>
      <c r="C23" s="14"/>
      <c r="D23" s="22"/>
      <c r="E23" s="12"/>
      <c r="F23" s="12"/>
      <c r="G23" s="11"/>
      <c r="H23" s="12">
        <f t="shared" si="0"/>
        <v>0</v>
      </c>
      <c r="I23" s="10"/>
      <c r="J23" s="150"/>
      <c r="K23" s="5"/>
      <c r="L23" s="49"/>
    </row>
    <row r="24" spans="1:12" x14ac:dyDescent="0.25">
      <c r="A24" s="5"/>
      <c r="B24" s="14"/>
      <c r="C24" s="14"/>
      <c r="D24" s="22"/>
      <c r="E24" s="12"/>
      <c r="F24" s="12"/>
      <c r="G24" s="11"/>
      <c r="H24" s="12">
        <f t="shared" si="0"/>
        <v>0</v>
      </c>
      <c r="I24" s="10"/>
      <c r="J24" s="150"/>
      <c r="K24" s="5"/>
    </row>
    <row r="25" spans="1:12" x14ac:dyDescent="0.25">
      <c r="A25" s="5"/>
      <c r="B25" s="14"/>
      <c r="C25" s="14"/>
      <c r="D25" s="22"/>
      <c r="E25" s="12"/>
      <c r="F25" s="12"/>
      <c r="G25" s="11"/>
      <c r="H25" s="12">
        <f t="shared" si="0"/>
        <v>0</v>
      </c>
      <c r="I25" s="10"/>
      <c r="J25" s="10"/>
      <c r="K25" s="5"/>
    </row>
    <row r="26" spans="1:12" x14ac:dyDescent="0.25">
      <c r="A26" s="5"/>
      <c r="B26" s="14"/>
      <c r="C26" s="14"/>
      <c r="D26" s="22"/>
      <c r="E26" s="12"/>
      <c r="F26" s="12"/>
      <c r="G26" s="11"/>
      <c r="H26" s="27">
        <f t="shared" si="0"/>
        <v>0</v>
      </c>
      <c r="I26" s="10"/>
      <c r="J26" s="10"/>
      <c r="K26" s="5"/>
    </row>
    <row r="27" spans="1:12" ht="16.5" thickBot="1" x14ac:dyDescent="0.3">
      <c r="A27" s="5"/>
      <c r="B27" s="275" t="s">
        <v>55</v>
      </c>
      <c r="C27" s="275"/>
      <c r="D27" s="275"/>
      <c r="E27" s="147">
        <f>SUM(E11:E26)</f>
        <v>74750</v>
      </c>
      <c r="F27" s="148">
        <f>SUM(F11:F26)</f>
        <v>74750</v>
      </c>
      <c r="G27" s="5"/>
      <c r="H27" s="5"/>
      <c r="I27" s="5"/>
      <c r="J27" s="5"/>
      <c r="K27" s="5"/>
    </row>
    <row r="28" spans="1:12" ht="16.5" thickBot="1" x14ac:dyDescent="0.3">
      <c r="A28" s="5"/>
      <c r="B28" s="5"/>
      <c r="C28" s="5"/>
      <c r="D28" s="5"/>
      <c r="E28" s="5"/>
      <c r="F28" s="26">
        <f>+E27-F27</f>
        <v>0</v>
      </c>
      <c r="G28" s="5"/>
      <c r="H28" s="5"/>
      <c r="I28" s="5"/>
      <c r="J28" s="5"/>
      <c r="K28" s="5"/>
    </row>
    <row r="29" spans="1:12" x14ac:dyDescent="0.25">
      <c r="A29" s="5"/>
      <c r="B29" s="5"/>
      <c r="C29" s="5"/>
      <c r="D29" s="5"/>
      <c r="E29" s="5"/>
      <c r="F29" s="5"/>
      <c r="G29" s="5"/>
      <c r="H29" s="16"/>
      <c r="I29" s="16"/>
      <c r="J29" s="5"/>
      <c r="K29" s="5"/>
    </row>
    <row r="30" spans="1:12" x14ac:dyDescent="0.25">
      <c r="A30" s="5"/>
      <c r="B30" s="5"/>
      <c r="C30" s="5"/>
      <c r="D30" s="5"/>
      <c r="E30" s="5"/>
      <c r="F30" s="5"/>
      <c r="G30" s="5"/>
      <c r="H30" s="16"/>
      <c r="I30" s="5"/>
      <c r="J30" s="5"/>
      <c r="K30" s="5"/>
    </row>
  </sheetData>
  <mergeCells count="3">
    <mergeCell ref="B2:J2"/>
    <mergeCell ref="B3:J3"/>
    <mergeCell ref="B27:D27"/>
  </mergeCells>
  <pageMargins left="0.7" right="0.7" top="0.75" bottom="0.75" header="0.3" footer="0.3"/>
  <pageSetup paperSize="9" scale="65"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17B4-0EAA-428A-934E-03215B4B6245}">
  <sheetPr codeName="Hoja66"/>
  <dimension ref="A1:M30"/>
  <sheetViews>
    <sheetView topLeftCell="C4" zoomScale="90" zoomScaleNormal="90" workbookViewId="0">
      <selection activeCell="C12" sqref="C12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hidden="1" customWidth="1"/>
    <col min="10" max="10" width="27.85546875" style="1" customWidth="1"/>
    <col min="11" max="11" width="5" style="1" customWidth="1"/>
    <col min="12" max="12" width="12.42578125" style="1" bestFit="1" customWidth="1"/>
    <col min="13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3" x14ac:dyDescent="0.25">
      <c r="A5" s="5"/>
      <c r="B5" s="7"/>
      <c r="C5" s="8" t="s">
        <v>49</v>
      </c>
      <c r="D5" s="5" t="s">
        <v>164</v>
      </c>
      <c r="E5" s="9"/>
      <c r="F5" s="9"/>
      <c r="G5" s="9"/>
      <c r="H5" s="9"/>
      <c r="I5" s="9"/>
      <c r="J5" s="9"/>
      <c r="K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3" x14ac:dyDescent="0.25">
      <c r="A7" s="5"/>
      <c r="B7" s="7"/>
      <c r="C7" s="8" t="s">
        <v>48</v>
      </c>
      <c r="D7" s="5" t="s">
        <v>13</v>
      </c>
      <c r="E7" s="9"/>
      <c r="F7" s="9"/>
      <c r="G7" s="9"/>
      <c r="H7" s="9"/>
      <c r="I7" s="9"/>
      <c r="J7" s="9"/>
      <c r="K7" s="5"/>
    </row>
    <row r="8" spans="1:13" x14ac:dyDescent="0.25">
      <c r="A8" s="5"/>
      <c r="B8" s="7"/>
      <c r="C8" s="8" t="s">
        <v>47</v>
      </c>
      <c r="D8" s="16" t="s">
        <v>120</v>
      </c>
      <c r="E8" s="9"/>
      <c r="F8" s="9"/>
      <c r="G8" s="9"/>
      <c r="H8" s="9"/>
      <c r="I8" s="9"/>
      <c r="J8" s="9"/>
      <c r="K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3" ht="18" customHeight="1" x14ac:dyDescent="0.25">
      <c r="A11" s="5"/>
      <c r="B11" s="14">
        <v>250432</v>
      </c>
      <c r="C11" s="14">
        <v>1726</v>
      </c>
      <c r="D11" s="22">
        <v>45773</v>
      </c>
      <c r="E11" s="12">
        <v>48500</v>
      </c>
      <c r="F11" s="12">
        <v>45650</v>
      </c>
      <c r="G11" s="22">
        <v>45773</v>
      </c>
      <c r="H11" s="12">
        <f>+E11-F11</f>
        <v>2850</v>
      </c>
      <c r="I11" s="10"/>
      <c r="J11" s="150" t="s">
        <v>165</v>
      </c>
      <c r="K11" s="5" t="s">
        <v>136</v>
      </c>
    </row>
    <row r="12" spans="1:13" ht="18" customHeight="1" thickBot="1" x14ac:dyDescent="0.3">
      <c r="A12" s="5"/>
      <c r="B12" s="83"/>
      <c r="C12" s="83"/>
      <c r="D12" s="84"/>
      <c r="E12" s="85"/>
      <c r="F12" s="85">
        <v>2850</v>
      </c>
      <c r="G12" s="84">
        <v>45773</v>
      </c>
      <c r="H12" s="85">
        <f>+H11+E12-F12</f>
        <v>0</v>
      </c>
      <c r="I12" s="87"/>
      <c r="J12" s="175" t="s">
        <v>165</v>
      </c>
      <c r="K12" s="5" t="s">
        <v>136</v>
      </c>
      <c r="L12" s="49">
        <f>SUM(F11:F12)</f>
        <v>48500</v>
      </c>
    </row>
    <row r="13" spans="1:13" ht="18" customHeight="1" thickTop="1" x14ac:dyDescent="0.25">
      <c r="A13" s="5"/>
      <c r="B13" s="118">
        <v>250705</v>
      </c>
      <c r="C13" s="118">
        <v>1799</v>
      </c>
      <c r="D13" s="117">
        <v>45840</v>
      </c>
      <c r="E13" s="80">
        <v>77744</v>
      </c>
      <c r="F13" s="80">
        <v>50000</v>
      </c>
      <c r="G13" s="117">
        <v>45840</v>
      </c>
      <c r="H13" s="80">
        <f t="shared" ref="H13:H26" si="0">+H12+E13-F13</f>
        <v>27744</v>
      </c>
      <c r="I13" s="82"/>
      <c r="J13" s="172" t="s">
        <v>165</v>
      </c>
      <c r="K13" s="5" t="s">
        <v>136</v>
      </c>
      <c r="L13" s="49"/>
      <c r="M13" s="49"/>
    </row>
    <row r="14" spans="1:13" x14ac:dyDescent="0.25">
      <c r="A14" s="5"/>
      <c r="B14" s="14"/>
      <c r="C14" s="14"/>
      <c r="D14" s="22"/>
      <c r="E14" s="12"/>
      <c r="F14" s="12">
        <v>27744</v>
      </c>
      <c r="G14" s="22">
        <v>45840</v>
      </c>
      <c r="H14" s="12">
        <f t="shared" si="0"/>
        <v>0</v>
      </c>
      <c r="I14" s="10"/>
      <c r="J14" s="150" t="s">
        <v>165</v>
      </c>
      <c r="K14" s="5" t="s">
        <v>136</v>
      </c>
      <c r="L14" s="49"/>
    </row>
    <row r="15" spans="1:13" x14ac:dyDescent="0.25">
      <c r="A15" s="5"/>
      <c r="B15" s="14">
        <v>250732</v>
      </c>
      <c r="C15" s="14">
        <v>1830</v>
      </c>
      <c r="D15" s="22">
        <v>45861</v>
      </c>
      <c r="E15" s="12">
        <v>57490</v>
      </c>
      <c r="F15" s="12">
        <v>40000</v>
      </c>
      <c r="G15" s="11">
        <v>45857</v>
      </c>
      <c r="H15" s="12">
        <f t="shared" si="0"/>
        <v>17490</v>
      </c>
      <c r="I15" s="10"/>
      <c r="J15" s="150" t="s">
        <v>165</v>
      </c>
      <c r="K15" s="5" t="s">
        <v>136</v>
      </c>
      <c r="L15" s="49"/>
    </row>
    <row r="16" spans="1:13" ht="16.5" thickBot="1" x14ac:dyDescent="0.3">
      <c r="A16" s="5"/>
      <c r="B16" s="83"/>
      <c r="C16" s="83"/>
      <c r="D16" s="84"/>
      <c r="E16" s="85"/>
      <c r="F16" s="85">
        <v>17490</v>
      </c>
      <c r="G16" s="86">
        <v>45856</v>
      </c>
      <c r="H16" s="85">
        <f t="shared" si="0"/>
        <v>0</v>
      </c>
      <c r="I16" s="87"/>
      <c r="J16" s="175" t="s">
        <v>165</v>
      </c>
      <c r="K16" s="5" t="s">
        <v>136</v>
      </c>
      <c r="L16" s="49">
        <f>SUM(F13:F16)</f>
        <v>135234</v>
      </c>
    </row>
    <row r="17" spans="1:12" ht="16.5" thickTop="1" x14ac:dyDescent="0.25">
      <c r="A17" s="5"/>
      <c r="B17" s="118">
        <v>251003</v>
      </c>
      <c r="C17" s="118">
        <v>1923</v>
      </c>
      <c r="D17" s="117">
        <v>45932</v>
      </c>
      <c r="E17" s="80">
        <v>48000</v>
      </c>
      <c r="F17" s="80">
        <v>48000</v>
      </c>
      <c r="G17" s="81">
        <v>45930</v>
      </c>
      <c r="H17" s="80">
        <f t="shared" si="0"/>
        <v>0</v>
      </c>
      <c r="I17" s="82"/>
      <c r="J17" s="150" t="s">
        <v>269</v>
      </c>
      <c r="K17" s="5" t="s">
        <v>136</v>
      </c>
    </row>
    <row r="18" spans="1:12" x14ac:dyDescent="0.25">
      <c r="A18" s="5"/>
      <c r="B18" s="14"/>
      <c r="C18" s="14"/>
      <c r="D18" s="22"/>
      <c r="E18" s="12"/>
      <c r="F18" s="12"/>
      <c r="G18" s="11"/>
      <c r="H18" s="12">
        <f t="shared" si="0"/>
        <v>0</v>
      </c>
      <c r="I18" s="10"/>
      <c r="J18" s="150"/>
      <c r="K18" s="5"/>
    </row>
    <row r="19" spans="1:12" x14ac:dyDescent="0.25">
      <c r="A19" s="5"/>
      <c r="B19" s="14"/>
      <c r="C19" s="14"/>
      <c r="D19" s="22"/>
      <c r="E19" s="12"/>
      <c r="F19" s="12"/>
      <c r="G19" s="11"/>
      <c r="H19" s="12">
        <f t="shared" si="0"/>
        <v>0</v>
      </c>
      <c r="I19" s="10"/>
      <c r="J19" s="150"/>
      <c r="K19" s="5"/>
    </row>
    <row r="20" spans="1:12" x14ac:dyDescent="0.25">
      <c r="A20" s="5"/>
      <c r="B20" s="14"/>
      <c r="C20" s="14"/>
      <c r="D20" s="22"/>
      <c r="E20" s="12"/>
      <c r="F20" s="12"/>
      <c r="G20" s="11"/>
      <c r="H20" s="12">
        <f t="shared" si="0"/>
        <v>0</v>
      </c>
      <c r="I20" s="10"/>
      <c r="J20" s="150"/>
      <c r="K20" s="5"/>
    </row>
    <row r="21" spans="1:12" x14ac:dyDescent="0.25">
      <c r="A21" s="5"/>
      <c r="B21" s="14"/>
      <c r="C21" s="14"/>
      <c r="D21" s="22"/>
      <c r="E21" s="12"/>
      <c r="F21" s="12"/>
      <c r="G21" s="11"/>
      <c r="H21" s="12">
        <f t="shared" si="0"/>
        <v>0</v>
      </c>
      <c r="I21" s="10"/>
      <c r="J21" s="150"/>
      <c r="K21" s="5"/>
    </row>
    <row r="22" spans="1:12" x14ac:dyDescent="0.25">
      <c r="A22" s="5"/>
      <c r="B22" s="14"/>
      <c r="C22" s="14"/>
      <c r="D22" s="22"/>
      <c r="E22" s="12"/>
      <c r="F22" s="12"/>
      <c r="G22" s="11"/>
      <c r="H22" s="12">
        <f t="shared" si="0"/>
        <v>0</v>
      </c>
      <c r="I22" s="10"/>
      <c r="J22" s="150"/>
      <c r="K22" s="5"/>
    </row>
    <row r="23" spans="1:12" x14ac:dyDescent="0.25">
      <c r="A23" s="5"/>
      <c r="B23" s="14"/>
      <c r="C23" s="14"/>
      <c r="D23" s="22"/>
      <c r="E23" s="12"/>
      <c r="F23" s="12"/>
      <c r="G23" s="11"/>
      <c r="H23" s="12">
        <f t="shared" si="0"/>
        <v>0</v>
      </c>
      <c r="I23" s="10"/>
      <c r="J23" s="150"/>
      <c r="K23" s="5"/>
      <c r="L23" s="49"/>
    </row>
    <row r="24" spans="1:12" x14ac:dyDescent="0.25">
      <c r="A24" s="5"/>
      <c r="B24" s="14"/>
      <c r="C24" s="14"/>
      <c r="D24" s="22"/>
      <c r="E24" s="12"/>
      <c r="F24" s="12"/>
      <c r="G24" s="11"/>
      <c r="H24" s="12">
        <f t="shared" si="0"/>
        <v>0</v>
      </c>
      <c r="I24" s="10"/>
      <c r="J24" s="150"/>
      <c r="K24" s="5"/>
    </row>
    <row r="25" spans="1:12" x14ac:dyDescent="0.25">
      <c r="A25" s="5"/>
      <c r="B25" s="14"/>
      <c r="C25" s="14"/>
      <c r="D25" s="22"/>
      <c r="E25" s="12"/>
      <c r="F25" s="12"/>
      <c r="G25" s="11"/>
      <c r="H25" s="12">
        <f t="shared" si="0"/>
        <v>0</v>
      </c>
      <c r="I25" s="10"/>
      <c r="J25" s="10"/>
      <c r="K25" s="5"/>
    </row>
    <row r="26" spans="1:12" x14ac:dyDescent="0.25">
      <c r="A26" s="5"/>
      <c r="B26" s="14"/>
      <c r="C26" s="14"/>
      <c r="D26" s="22"/>
      <c r="E26" s="12"/>
      <c r="F26" s="12"/>
      <c r="G26" s="11"/>
      <c r="H26" s="27">
        <f t="shared" si="0"/>
        <v>0</v>
      </c>
      <c r="I26" s="10"/>
      <c r="J26" s="10"/>
      <c r="K26" s="5"/>
    </row>
    <row r="27" spans="1:12" ht="16.5" thickBot="1" x14ac:dyDescent="0.3">
      <c r="A27" s="5"/>
      <c r="B27" s="275" t="s">
        <v>55</v>
      </c>
      <c r="C27" s="275"/>
      <c r="D27" s="275"/>
      <c r="E27" s="147">
        <f>SUM(E11:E26)</f>
        <v>231734</v>
      </c>
      <c r="F27" s="148">
        <f>SUM(F11:F26)</f>
        <v>231734</v>
      </c>
      <c r="G27" s="5"/>
      <c r="H27" s="5"/>
      <c r="I27" s="5"/>
      <c r="J27" s="5"/>
      <c r="K27" s="5"/>
    </row>
    <row r="28" spans="1:12" ht="16.5" thickBot="1" x14ac:dyDescent="0.3">
      <c r="A28" s="5"/>
      <c r="B28" s="5"/>
      <c r="C28" s="5"/>
      <c r="D28" s="5"/>
      <c r="E28" s="5"/>
      <c r="F28" s="26">
        <f>+E27-F27</f>
        <v>0</v>
      </c>
      <c r="G28" s="5"/>
      <c r="H28" s="5"/>
      <c r="I28" s="5"/>
      <c r="J28" s="5"/>
      <c r="K28" s="5"/>
    </row>
    <row r="29" spans="1:12" x14ac:dyDescent="0.25">
      <c r="A29" s="5"/>
      <c r="B29" s="5"/>
      <c r="C29" s="5"/>
      <c r="D29" s="5"/>
      <c r="E29" s="5"/>
      <c r="F29" s="5"/>
      <c r="G29" s="5"/>
      <c r="H29" s="16"/>
      <c r="I29" s="16"/>
      <c r="J29" s="5"/>
      <c r="K29" s="5"/>
    </row>
    <row r="30" spans="1:12" x14ac:dyDescent="0.25">
      <c r="A30" s="5"/>
      <c r="B30" s="5"/>
      <c r="C30" s="5"/>
      <c r="D30" s="5"/>
      <c r="E30" s="5"/>
      <c r="F30" s="5"/>
      <c r="G30" s="5"/>
      <c r="H30" s="16"/>
      <c r="I30" s="5"/>
      <c r="J30" s="5"/>
      <c r="K30" s="5"/>
    </row>
  </sheetData>
  <mergeCells count="3">
    <mergeCell ref="B2:J2"/>
    <mergeCell ref="B3:J3"/>
    <mergeCell ref="B27:D27"/>
  </mergeCells>
  <pageMargins left="0.7" right="0.7" top="0.75" bottom="0.75" header="0.3" footer="0.3"/>
  <pageSetup paperSize="9" scale="65"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8ABB-3416-4002-B542-0BEFB5FB7B96}">
  <sheetPr codeName="Hoja67"/>
  <dimension ref="A1:N69"/>
  <sheetViews>
    <sheetView topLeftCell="A4" zoomScaleNormal="100" workbookViewId="0">
      <selection activeCell="L13" sqref="L13"/>
    </sheetView>
  </sheetViews>
  <sheetFormatPr baseColWidth="10" defaultColWidth="11.42578125" defaultRowHeight="15.75" x14ac:dyDescent="0.25"/>
  <cols>
    <col min="1" max="1" width="3.7109375" style="1" customWidth="1"/>
    <col min="2" max="3" width="11.28515625" style="1" customWidth="1"/>
    <col min="4" max="4" width="13.85546875" style="1" customWidth="1"/>
    <col min="5" max="5" width="15" style="1" customWidth="1"/>
    <col min="6" max="6" width="15.42578125" style="1" customWidth="1"/>
    <col min="7" max="7" width="13.85546875" style="1" customWidth="1"/>
    <col min="8" max="8" width="12.5703125" style="1" customWidth="1"/>
    <col min="9" max="10" width="9.7109375" style="1" customWidth="1"/>
    <col min="11" max="11" width="3.7109375" style="1" customWidth="1"/>
    <col min="12" max="12" width="12.42578125" style="1" bestFit="1" customWidth="1"/>
    <col min="13" max="13" width="11.42578125" style="1"/>
    <col min="14" max="14" width="12.42578125" style="1" bestFit="1" customWidth="1"/>
    <col min="15" max="16384" width="11.42578125" style="1"/>
  </cols>
  <sheetData>
    <row r="1" spans="1:14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4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4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4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4" x14ac:dyDescent="0.25">
      <c r="A5" s="5"/>
      <c r="B5" s="7"/>
      <c r="C5" s="8" t="s">
        <v>49</v>
      </c>
      <c r="D5" s="5" t="s">
        <v>219</v>
      </c>
      <c r="E5" s="9"/>
      <c r="F5" s="9"/>
      <c r="G5" s="9"/>
      <c r="H5" s="9"/>
      <c r="I5" s="9"/>
      <c r="J5" s="9"/>
      <c r="K5" s="5"/>
    </row>
    <row r="6" spans="1:14" x14ac:dyDescent="0.25">
      <c r="A6" s="5"/>
      <c r="B6" s="7"/>
      <c r="C6" s="8" t="s">
        <v>45</v>
      </c>
      <c r="D6" s="13">
        <v>76658526</v>
      </c>
      <c r="E6" s="9"/>
      <c r="F6" s="9"/>
      <c r="G6" s="9"/>
      <c r="H6" s="9"/>
      <c r="I6" s="9"/>
      <c r="J6" s="9"/>
      <c r="K6" s="5"/>
    </row>
    <row r="7" spans="1:14" x14ac:dyDescent="0.25">
      <c r="A7" s="5"/>
      <c r="B7" s="7"/>
      <c r="C7" s="8" t="s">
        <v>48</v>
      </c>
      <c r="D7" s="5" t="s">
        <v>18</v>
      </c>
      <c r="E7" s="9"/>
      <c r="F7" s="9"/>
      <c r="G7" s="9"/>
      <c r="H7" s="9"/>
      <c r="I7" s="9"/>
      <c r="J7" s="9"/>
      <c r="K7" s="5"/>
    </row>
    <row r="8" spans="1:14" x14ac:dyDescent="0.25">
      <c r="A8" s="5"/>
      <c r="B8" s="7"/>
      <c r="C8" s="8" t="s">
        <v>47</v>
      </c>
      <c r="D8" s="5" t="s">
        <v>59</v>
      </c>
      <c r="E8" s="9"/>
      <c r="F8" s="9"/>
      <c r="G8" s="9"/>
      <c r="H8" s="9"/>
      <c r="I8" s="9"/>
      <c r="J8" s="9"/>
      <c r="K8" s="5"/>
    </row>
    <row r="9" spans="1:14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4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4" x14ac:dyDescent="0.25">
      <c r="A11" s="5"/>
      <c r="B11" s="165">
        <v>250811</v>
      </c>
      <c r="C11" s="165">
        <v>1851</v>
      </c>
      <c r="D11" s="166">
        <v>45887</v>
      </c>
      <c r="E11" s="108">
        <v>142800</v>
      </c>
      <c r="F11" s="108">
        <v>60000</v>
      </c>
      <c r="G11" s="167">
        <v>45877</v>
      </c>
      <c r="H11" s="108">
        <f>+E11-F11</f>
        <v>82800</v>
      </c>
      <c r="I11" s="177"/>
      <c r="J11" s="177"/>
      <c r="K11" s="5" t="s">
        <v>136</v>
      </c>
      <c r="N11" s="49"/>
    </row>
    <row r="12" spans="1:14" x14ac:dyDescent="0.25">
      <c r="A12" s="5"/>
      <c r="B12" s="123">
        <v>250812</v>
      </c>
      <c r="C12" s="123">
        <v>1852</v>
      </c>
      <c r="D12" s="124">
        <v>45887</v>
      </c>
      <c r="E12" s="75">
        <v>130200</v>
      </c>
      <c r="F12" s="75">
        <v>76500</v>
      </c>
      <c r="G12" s="76">
        <v>45877</v>
      </c>
      <c r="H12" s="75">
        <f t="shared" ref="H12:H65" si="0">+H11+E12-F12</f>
        <v>136500</v>
      </c>
      <c r="I12" s="64"/>
      <c r="J12" s="64"/>
      <c r="K12" s="5" t="s">
        <v>136</v>
      </c>
    </row>
    <row r="13" spans="1:14" x14ac:dyDescent="0.25">
      <c r="A13" s="5"/>
      <c r="B13" s="123"/>
      <c r="C13" s="123"/>
      <c r="D13" s="124"/>
      <c r="E13" s="75"/>
      <c r="F13" s="75">
        <v>136500</v>
      </c>
      <c r="G13" s="76">
        <v>45887</v>
      </c>
      <c r="H13" s="75">
        <f t="shared" si="0"/>
        <v>0</v>
      </c>
      <c r="I13" s="64"/>
      <c r="J13" s="64"/>
      <c r="K13" s="5" t="s">
        <v>136</v>
      </c>
      <c r="L13" s="49">
        <f>SUM(F11:F13)</f>
        <v>273000</v>
      </c>
    </row>
    <row r="14" spans="1:14" x14ac:dyDescent="0.25">
      <c r="A14" s="5"/>
      <c r="B14" s="123"/>
      <c r="C14" s="123"/>
      <c r="D14" s="124"/>
      <c r="E14" s="75"/>
      <c r="F14" s="75"/>
      <c r="G14" s="76"/>
      <c r="H14" s="75">
        <f t="shared" si="0"/>
        <v>0</v>
      </c>
      <c r="I14" s="64"/>
      <c r="J14" s="64"/>
      <c r="K14" s="5"/>
    </row>
    <row r="15" spans="1:14" hidden="1" x14ac:dyDescent="0.25">
      <c r="A15" s="5"/>
      <c r="B15" s="123"/>
      <c r="C15" s="123"/>
      <c r="D15" s="124"/>
      <c r="E15" s="75"/>
      <c r="F15" s="75"/>
      <c r="G15" s="76"/>
      <c r="H15" s="162">
        <f t="shared" si="0"/>
        <v>0</v>
      </c>
      <c r="I15" s="64"/>
      <c r="J15" s="64"/>
      <c r="K15" s="5"/>
    </row>
    <row r="16" spans="1:14" hidden="1" x14ac:dyDescent="0.25">
      <c r="A16" s="5"/>
      <c r="B16" s="123"/>
      <c r="C16" s="123"/>
      <c r="D16" s="124"/>
      <c r="E16" s="75"/>
      <c r="F16" s="75"/>
      <c r="G16" s="76"/>
      <c r="H16" s="75">
        <f t="shared" si="0"/>
        <v>0</v>
      </c>
      <c r="I16" s="64"/>
      <c r="J16" s="155"/>
      <c r="K16" s="5"/>
    </row>
    <row r="17" spans="1:14" hidden="1" x14ac:dyDescent="0.25">
      <c r="A17" s="5"/>
      <c r="B17" s="123"/>
      <c r="C17" s="123"/>
      <c r="D17" s="124"/>
      <c r="E17" s="75"/>
      <c r="F17" s="75"/>
      <c r="G17" s="76"/>
      <c r="H17" s="75">
        <f t="shared" si="0"/>
        <v>0</v>
      </c>
      <c r="I17" s="64"/>
      <c r="J17" s="155"/>
      <c r="K17" s="5"/>
    </row>
    <row r="18" spans="1:14" hidden="1" x14ac:dyDescent="0.25">
      <c r="A18" s="5"/>
      <c r="B18" s="123"/>
      <c r="C18" s="123"/>
      <c r="D18" s="124"/>
      <c r="E18" s="75"/>
      <c r="F18" s="75"/>
      <c r="G18" s="76"/>
      <c r="H18" s="75">
        <f t="shared" si="0"/>
        <v>0</v>
      </c>
      <c r="I18" s="64"/>
      <c r="J18" s="64"/>
      <c r="K18" s="5"/>
      <c r="N18" s="49"/>
    </row>
    <row r="19" spans="1:14" hidden="1" x14ac:dyDescent="0.25">
      <c r="A19" s="5"/>
      <c r="B19" s="123"/>
      <c r="C19" s="123"/>
      <c r="D19" s="124"/>
      <c r="E19" s="75"/>
      <c r="F19" s="75"/>
      <c r="G19" s="76"/>
      <c r="H19" s="75">
        <f t="shared" si="0"/>
        <v>0</v>
      </c>
      <c r="I19" s="64"/>
      <c r="J19" s="64"/>
      <c r="K19" s="5"/>
    </row>
    <row r="20" spans="1:14" hidden="1" x14ac:dyDescent="0.25">
      <c r="A20" s="5"/>
      <c r="B20" s="123"/>
      <c r="C20" s="123"/>
      <c r="D20" s="124"/>
      <c r="E20" s="75"/>
      <c r="F20" s="75"/>
      <c r="G20" s="76"/>
      <c r="H20" s="75">
        <f t="shared" si="0"/>
        <v>0</v>
      </c>
      <c r="I20" s="64"/>
      <c r="J20" s="64"/>
      <c r="K20" s="5"/>
    </row>
    <row r="21" spans="1:14" hidden="1" x14ac:dyDescent="0.25">
      <c r="A21" s="5"/>
      <c r="B21" s="123"/>
      <c r="C21" s="123"/>
      <c r="D21" s="124"/>
      <c r="E21" s="75"/>
      <c r="F21" s="75"/>
      <c r="G21" s="76"/>
      <c r="H21" s="75">
        <f t="shared" si="0"/>
        <v>0</v>
      </c>
      <c r="I21" s="64"/>
      <c r="J21" s="64"/>
      <c r="K21" s="5"/>
    </row>
    <row r="22" spans="1:14" hidden="1" x14ac:dyDescent="0.25">
      <c r="A22" s="5"/>
      <c r="B22" s="123"/>
      <c r="C22" s="123"/>
      <c r="D22" s="124"/>
      <c r="E22" s="75"/>
      <c r="F22" s="75"/>
      <c r="G22" s="76"/>
      <c r="H22" s="162">
        <f t="shared" si="0"/>
        <v>0</v>
      </c>
      <c r="I22" s="64"/>
      <c r="J22" s="64"/>
      <c r="K22" s="5"/>
      <c r="N22" s="49"/>
    </row>
    <row r="23" spans="1:14" hidden="1" x14ac:dyDescent="0.25">
      <c r="A23" s="5"/>
      <c r="B23" s="123"/>
      <c r="C23" s="123"/>
      <c r="D23" s="124"/>
      <c r="E23" s="75"/>
      <c r="F23" s="75"/>
      <c r="G23" s="76"/>
      <c r="H23" s="75">
        <f t="shared" si="0"/>
        <v>0</v>
      </c>
      <c r="I23" s="64"/>
      <c r="J23" s="64"/>
      <c r="K23" s="5"/>
    </row>
    <row r="24" spans="1:14" hidden="1" x14ac:dyDescent="0.25">
      <c r="A24" s="5"/>
      <c r="B24" s="123"/>
      <c r="C24" s="123"/>
      <c r="D24" s="124"/>
      <c r="E24" s="75"/>
      <c r="F24" s="75"/>
      <c r="G24" s="76"/>
      <c r="H24" s="75">
        <f t="shared" si="0"/>
        <v>0</v>
      </c>
      <c r="I24" s="64"/>
      <c r="J24" s="64"/>
      <c r="K24" s="5"/>
    </row>
    <row r="25" spans="1:14" hidden="1" x14ac:dyDescent="0.25">
      <c r="A25" s="5"/>
      <c r="B25" s="123"/>
      <c r="C25" s="123"/>
      <c r="D25" s="124"/>
      <c r="E25" s="75"/>
      <c r="F25" s="75"/>
      <c r="G25" s="76"/>
      <c r="H25" s="75">
        <f t="shared" si="0"/>
        <v>0</v>
      </c>
      <c r="I25" s="64"/>
      <c r="J25" s="64"/>
      <c r="K25" s="5"/>
    </row>
    <row r="26" spans="1:14" hidden="1" x14ac:dyDescent="0.25">
      <c r="A26" s="5"/>
      <c r="B26" s="123"/>
      <c r="C26" s="123"/>
      <c r="D26" s="124"/>
      <c r="E26" s="75"/>
      <c r="F26" s="75"/>
      <c r="G26" s="76"/>
      <c r="H26" s="75">
        <f t="shared" si="0"/>
        <v>0</v>
      </c>
      <c r="I26" s="64"/>
      <c r="J26" s="64"/>
      <c r="K26" s="5"/>
    </row>
    <row r="27" spans="1:14" hidden="1" x14ac:dyDescent="0.25">
      <c r="A27" s="5"/>
      <c r="B27" s="123"/>
      <c r="C27" s="123"/>
      <c r="D27" s="124"/>
      <c r="E27" s="75"/>
      <c r="F27" s="75"/>
      <c r="G27" s="76"/>
      <c r="H27" s="162">
        <f>+H26+E27-F27</f>
        <v>0</v>
      </c>
      <c r="I27" s="64"/>
      <c r="J27" s="64"/>
      <c r="K27" s="5"/>
    </row>
    <row r="28" spans="1:14" hidden="1" x14ac:dyDescent="0.25">
      <c r="A28" s="5"/>
      <c r="B28" s="123"/>
      <c r="C28" s="123"/>
      <c r="D28" s="124"/>
      <c r="E28" s="75"/>
      <c r="F28" s="75"/>
      <c r="G28" s="76"/>
      <c r="H28" s="75">
        <f t="shared" si="0"/>
        <v>0</v>
      </c>
      <c r="I28" s="64"/>
      <c r="J28" s="64"/>
      <c r="K28" s="5"/>
    </row>
    <row r="29" spans="1:14" hidden="1" x14ac:dyDescent="0.25">
      <c r="A29" s="5"/>
      <c r="B29" s="123"/>
      <c r="C29" s="123"/>
      <c r="D29" s="124"/>
      <c r="E29" s="75"/>
      <c r="F29" s="75"/>
      <c r="G29" s="76"/>
      <c r="H29" s="75">
        <f t="shared" si="0"/>
        <v>0</v>
      </c>
      <c r="I29" s="64"/>
      <c r="J29" s="64"/>
      <c r="K29" s="5"/>
    </row>
    <row r="30" spans="1:14" hidden="1" x14ac:dyDescent="0.25">
      <c r="A30" s="5"/>
      <c r="B30" s="123"/>
      <c r="C30" s="123"/>
      <c r="D30" s="124"/>
      <c r="E30" s="75"/>
      <c r="F30" s="75"/>
      <c r="G30" s="76"/>
      <c r="H30" s="162">
        <f t="shared" si="0"/>
        <v>0</v>
      </c>
      <c r="I30" s="64"/>
      <c r="J30" s="64"/>
      <c r="K30" s="5"/>
    </row>
    <row r="31" spans="1:14" hidden="1" x14ac:dyDescent="0.25">
      <c r="A31" s="5"/>
      <c r="B31" s="123"/>
      <c r="C31" s="123"/>
      <c r="D31" s="124"/>
      <c r="E31" s="75"/>
      <c r="F31" s="75"/>
      <c r="G31" s="76"/>
      <c r="H31" s="75">
        <f t="shared" si="0"/>
        <v>0</v>
      </c>
      <c r="I31" s="64"/>
      <c r="J31" s="64"/>
      <c r="K31" s="5"/>
    </row>
    <row r="32" spans="1:14" hidden="1" x14ac:dyDescent="0.25">
      <c r="A32" s="5"/>
      <c r="B32" s="123"/>
      <c r="C32" s="123"/>
      <c r="D32" s="124"/>
      <c r="E32" s="75"/>
      <c r="F32" s="75"/>
      <c r="G32" s="76"/>
      <c r="H32" s="75">
        <f t="shared" si="0"/>
        <v>0</v>
      </c>
      <c r="I32" s="64"/>
      <c r="J32" s="64"/>
      <c r="K32" s="5"/>
    </row>
    <row r="33" spans="1:11" hidden="1" x14ac:dyDescent="0.25">
      <c r="A33" s="5"/>
      <c r="B33" s="123"/>
      <c r="C33" s="123"/>
      <c r="D33" s="124"/>
      <c r="E33" s="75"/>
      <c r="F33" s="75"/>
      <c r="G33" s="76"/>
      <c r="H33" s="75">
        <f t="shared" si="0"/>
        <v>0</v>
      </c>
      <c r="I33" s="64"/>
      <c r="J33" s="64"/>
      <c r="K33" s="5"/>
    </row>
    <row r="34" spans="1:11" hidden="1" x14ac:dyDescent="0.25">
      <c r="A34" s="5"/>
      <c r="B34" s="123"/>
      <c r="C34" s="123"/>
      <c r="D34" s="124"/>
      <c r="E34" s="75"/>
      <c r="F34" s="75"/>
      <c r="G34" s="76"/>
      <c r="H34" s="75">
        <f t="shared" si="0"/>
        <v>0</v>
      </c>
      <c r="I34" s="64"/>
      <c r="J34" s="64"/>
      <c r="K34" s="5"/>
    </row>
    <row r="35" spans="1:11" hidden="1" x14ac:dyDescent="0.25">
      <c r="A35" s="5"/>
      <c r="B35" s="123"/>
      <c r="C35" s="123"/>
      <c r="D35" s="124"/>
      <c r="E35" s="75"/>
      <c r="F35" s="75"/>
      <c r="G35" s="76"/>
      <c r="H35" s="75">
        <f t="shared" si="0"/>
        <v>0</v>
      </c>
      <c r="I35" s="64"/>
      <c r="J35" s="64"/>
      <c r="K35" s="5"/>
    </row>
    <row r="36" spans="1:11" hidden="1" x14ac:dyDescent="0.25">
      <c r="A36" s="5"/>
      <c r="B36" s="123"/>
      <c r="C36" s="123"/>
      <c r="D36" s="124"/>
      <c r="E36" s="75"/>
      <c r="F36" s="75"/>
      <c r="G36" s="76"/>
      <c r="H36" s="75">
        <f t="shared" si="0"/>
        <v>0</v>
      </c>
      <c r="I36" s="64"/>
      <c r="J36" s="64"/>
      <c r="K36" s="5"/>
    </row>
    <row r="37" spans="1:11" hidden="1" x14ac:dyDescent="0.25">
      <c r="A37" s="5"/>
      <c r="B37" s="123"/>
      <c r="C37" s="123"/>
      <c r="D37" s="124"/>
      <c r="E37" s="75"/>
      <c r="F37" s="75"/>
      <c r="G37" s="76"/>
      <c r="H37" s="75">
        <f t="shared" si="0"/>
        <v>0</v>
      </c>
      <c r="I37" s="64"/>
      <c r="J37" s="64"/>
      <c r="K37" s="5"/>
    </row>
    <row r="38" spans="1:11" hidden="1" x14ac:dyDescent="0.25">
      <c r="A38" s="5"/>
      <c r="B38" s="123"/>
      <c r="C38" s="123"/>
      <c r="D38" s="124"/>
      <c r="E38" s="75"/>
      <c r="F38" s="75"/>
      <c r="G38" s="76"/>
      <c r="H38" s="75">
        <f t="shared" si="0"/>
        <v>0</v>
      </c>
      <c r="I38" s="64"/>
      <c r="J38" s="64"/>
      <c r="K38" s="5"/>
    </row>
    <row r="39" spans="1:11" hidden="1" x14ac:dyDescent="0.25">
      <c r="A39" s="5"/>
      <c r="B39" s="123"/>
      <c r="C39" s="123"/>
      <c r="D39" s="124"/>
      <c r="E39" s="75"/>
      <c r="F39" s="75"/>
      <c r="G39" s="76"/>
      <c r="H39" s="75">
        <f t="shared" si="0"/>
        <v>0</v>
      </c>
      <c r="I39" s="64"/>
      <c r="J39" s="64"/>
      <c r="K39" s="5"/>
    </row>
    <row r="40" spans="1:11" hidden="1" x14ac:dyDescent="0.25">
      <c r="A40" s="5"/>
      <c r="B40" s="123"/>
      <c r="C40" s="123"/>
      <c r="D40" s="124"/>
      <c r="E40" s="75"/>
      <c r="F40" s="75"/>
      <c r="G40" s="76"/>
      <c r="H40" s="75">
        <f t="shared" si="0"/>
        <v>0</v>
      </c>
      <c r="I40" s="64"/>
      <c r="J40" s="64"/>
      <c r="K40" s="5"/>
    </row>
    <row r="41" spans="1:11" hidden="1" x14ac:dyDescent="0.25">
      <c r="A41" s="5"/>
      <c r="B41" s="123"/>
      <c r="C41" s="123"/>
      <c r="D41" s="124"/>
      <c r="E41" s="75"/>
      <c r="F41" s="75"/>
      <c r="G41" s="76"/>
      <c r="H41" s="75">
        <f t="shared" si="0"/>
        <v>0</v>
      </c>
      <c r="I41" s="64"/>
      <c r="J41" s="64"/>
      <c r="K41" s="5"/>
    </row>
    <row r="42" spans="1:11" hidden="1" x14ac:dyDescent="0.25">
      <c r="A42" s="5"/>
      <c r="B42" s="123"/>
      <c r="C42" s="123"/>
      <c r="D42" s="124"/>
      <c r="E42" s="75"/>
      <c r="F42" s="75"/>
      <c r="G42" s="76"/>
      <c r="H42" s="75">
        <f t="shared" si="0"/>
        <v>0</v>
      </c>
      <c r="I42" s="64"/>
      <c r="J42" s="64"/>
      <c r="K42" s="5"/>
    </row>
    <row r="43" spans="1:11" hidden="1" x14ac:dyDescent="0.25">
      <c r="A43" s="5"/>
      <c r="B43" s="123"/>
      <c r="C43" s="123"/>
      <c r="D43" s="124"/>
      <c r="E43" s="75"/>
      <c r="F43" s="75"/>
      <c r="G43" s="76"/>
      <c r="H43" s="75">
        <f t="shared" si="0"/>
        <v>0</v>
      </c>
      <c r="I43" s="64"/>
      <c r="J43" s="64"/>
      <c r="K43" s="5"/>
    </row>
    <row r="44" spans="1:11" hidden="1" x14ac:dyDescent="0.25">
      <c r="A44" s="5"/>
      <c r="B44" s="123"/>
      <c r="C44" s="123"/>
      <c r="D44" s="124"/>
      <c r="E44" s="75"/>
      <c r="F44" s="75"/>
      <c r="G44" s="76"/>
      <c r="H44" s="75">
        <f t="shared" si="0"/>
        <v>0</v>
      </c>
      <c r="I44" s="64"/>
      <c r="J44" s="64"/>
      <c r="K44" s="5"/>
    </row>
    <row r="45" spans="1:11" hidden="1" x14ac:dyDescent="0.25">
      <c r="A45" s="5"/>
      <c r="B45" s="123"/>
      <c r="C45" s="123"/>
      <c r="D45" s="124"/>
      <c r="E45" s="75"/>
      <c r="F45" s="75"/>
      <c r="G45" s="76"/>
      <c r="H45" s="75">
        <f t="shared" si="0"/>
        <v>0</v>
      </c>
      <c r="I45" s="64"/>
      <c r="J45" s="64"/>
      <c r="K45" s="5"/>
    </row>
    <row r="46" spans="1:11" hidden="1" x14ac:dyDescent="0.25">
      <c r="A46" s="5"/>
      <c r="B46" s="123"/>
      <c r="C46" s="123"/>
      <c r="D46" s="124"/>
      <c r="E46" s="75"/>
      <c r="F46" s="75"/>
      <c r="G46" s="76"/>
      <c r="H46" s="75">
        <f t="shared" si="0"/>
        <v>0</v>
      </c>
      <c r="I46" s="64"/>
      <c r="J46" s="64"/>
      <c r="K46" s="5"/>
    </row>
    <row r="47" spans="1:11" hidden="1" x14ac:dyDescent="0.25">
      <c r="A47" s="5"/>
      <c r="B47" s="123"/>
      <c r="C47" s="123"/>
      <c r="D47" s="124"/>
      <c r="E47" s="75"/>
      <c r="F47" s="75"/>
      <c r="G47" s="76"/>
      <c r="H47" s="75">
        <f t="shared" si="0"/>
        <v>0</v>
      </c>
      <c r="I47" s="64"/>
      <c r="J47" s="64"/>
      <c r="K47" s="5"/>
    </row>
    <row r="48" spans="1:11" hidden="1" x14ac:dyDescent="0.25">
      <c r="A48" s="5"/>
      <c r="B48" s="123"/>
      <c r="C48" s="123"/>
      <c r="D48" s="124"/>
      <c r="E48" s="75"/>
      <c r="F48" s="75"/>
      <c r="G48" s="76"/>
      <c r="H48" s="75">
        <f t="shared" si="0"/>
        <v>0</v>
      </c>
      <c r="I48" s="64"/>
      <c r="J48" s="64"/>
      <c r="K48" s="5"/>
    </row>
    <row r="49" spans="1:12" hidden="1" x14ac:dyDescent="0.25">
      <c r="A49" s="5"/>
      <c r="B49" s="123"/>
      <c r="C49" s="123"/>
      <c r="D49" s="124"/>
      <c r="E49" s="75"/>
      <c r="F49" s="75"/>
      <c r="G49" s="76"/>
      <c r="H49" s="75">
        <f t="shared" si="0"/>
        <v>0</v>
      </c>
      <c r="I49" s="64"/>
      <c r="J49" s="64"/>
      <c r="K49" s="5"/>
    </row>
    <row r="50" spans="1:12" hidden="1" x14ac:dyDescent="0.25">
      <c r="A50" s="5"/>
      <c r="B50" s="123"/>
      <c r="C50" s="123"/>
      <c r="D50" s="124"/>
      <c r="E50" s="75"/>
      <c r="F50" s="75"/>
      <c r="G50" s="76"/>
      <c r="H50" s="75">
        <f t="shared" si="0"/>
        <v>0</v>
      </c>
      <c r="I50" s="64"/>
      <c r="J50" s="64"/>
      <c r="K50" s="5"/>
    </row>
    <row r="51" spans="1:12" hidden="1" x14ac:dyDescent="0.25">
      <c r="A51" s="5"/>
      <c r="B51" s="123"/>
      <c r="C51" s="123"/>
      <c r="D51" s="124"/>
      <c r="E51" s="75"/>
      <c r="F51" s="75"/>
      <c r="G51" s="76"/>
      <c r="H51" s="75">
        <f t="shared" si="0"/>
        <v>0</v>
      </c>
      <c r="I51" s="64"/>
      <c r="J51" s="64"/>
      <c r="K51" s="5"/>
    </row>
    <row r="52" spans="1:12" hidden="1" x14ac:dyDescent="0.25">
      <c r="A52" s="5"/>
      <c r="B52" s="123"/>
      <c r="C52" s="123"/>
      <c r="D52" s="124"/>
      <c r="E52" s="75"/>
      <c r="F52" s="75"/>
      <c r="G52" s="76"/>
      <c r="H52" s="75">
        <f t="shared" si="0"/>
        <v>0</v>
      </c>
      <c r="I52" s="64"/>
      <c r="J52" s="64"/>
      <c r="K52" s="5"/>
    </row>
    <row r="53" spans="1:12" hidden="1" x14ac:dyDescent="0.25">
      <c r="A53" s="5"/>
      <c r="B53" s="123"/>
      <c r="C53" s="123"/>
      <c r="D53" s="124"/>
      <c r="E53" s="75"/>
      <c r="F53" s="75"/>
      <c r="G53" s="76"/>
      <c r="H53" s="75">
        <f t="shared" si="0"/>
        <v>0</v>
      </c>
      <c r="I53" s="64"/>
      <c r="J53" s="64"/>
      <c r="K53" s="5"/>
      <c r="L53" s="49"/>
    </row>
    <row r="54" spans="1:12" hidden="1" x14ac:dyDescent="0.25">
      <c r="A54" s="5"/>
      <c r="B54" s="123"/>
      <c r="C54" s="123"/>
      <c r="D54" s="124"/>
      <c r="E54" s="75"/>
      <c r="F54" s="75"/>
      <c r="G54" s="76"/>
      <c r="H54" s="75">
        <f t="shared" si="0"/>
        <v>0</v>
      </c>
      <c r="I54" s="64"/>
      <c r="J54" s="64"/>
      <c r="K54" s="5"/>
      <c r="L54" s="49"/>
    </row>
    <row r="55" spans="1:12" hidden="1" x14ac:dyDescent="0.25">
      <c r="A55" s="5"/>
      <c r="B55" s="123"/>
      <c r="C55" s="123"/>
      <c r="D55" s="124"/>
      <c r="E55" s="75"/>
      <c r="F55" s="75"/>
      <c r="G55" s="76"/>
      <c r="H55" s="75">
        <f t="shared" si="0"/>
        <v>0</v>
      </c>
      <c r="I55" s="64"/>
      <c r="J55" s="64"/>
      <c r="K55" s="152"/>
    </row>
    <row r="56" spans="1:12" hidden="1" x14ac:dyDescent="0.25">
      <c r="A56" s="5"/>
      <c r="B56" s="123"/>
      <c r="C56" s="123"/>
      <c r="D56" s="124"/>
      <c r="E56" s="75"/>
      <c r="F56" s="75"/>
      <c r="G56" s="76"/>
      <c r="H56" s="75">
        <f t="shared" si="0"/>
        <v>0</v>
      </c>
      <c r="I56" s="64"/>
      <c r="J56" s="64"/>
      <c r="K56" s="152"/>
    </row>
    <row r="57" spans="1:12" hidden="1" x14ac:dyDescent="0.25">
      <c r="A57" s="5"/>
      <c r="B57" s="123"/>
      <c r="C57" s="123"/>
      <c r="D57" s="124"/>
      <c r="E57" s="75"/>
      <c r="F57" s="75"/>
      <c r="G57" s="76"/>
      <c r="H57" s="75">
        <f t="shared" si="0"/>
        <v>0</v>
      </c>
      <c r="I57" s="64"/>
      <c r="J57" s="64"/>
      <c r="K57" s="152"/>
      <c r="L57" s="49"/>
    </row>
    <row r="58" spans="1:12" hidden="1" x14ac:dyDescent="0.25">
      <c r="A58" s="5"/>
      <c r="B58" s="123"/>
      <c r="C58" s="123"/>
      <c r="D58" s="124"/>
      <c r="E58" s="75"/>
      <c r="F58" s="75"/>
      <c r="G58" s="76"/>
      <c r="H58" s="75">
        <f t="shared" si="0"/>
        <v>0</v>
      </c>
      <c r="I58" s="64"/>
      <c r="J58" s="64"/>
      <c r="K58" s="5"/>
      <c r="L58" s="49"/>
    </row>
    <row r="59" spans="1:12" hidden="1" x14ac:dyDescent="0.25">
      <c r="A59" s="5"/>
      <c r="B59" s="123"/>
      <c r="C59" s="123"/>
      <c r="D59" s="124"/>
      <c r="E59" s="75"/>
      <c r="F59" s="75"/>
      <c r="G59" s="76"/>
      <c r="H59" s="75">
        <f t="shared" si="0"/>
        <v>0</v>
      </c>
      <c r="I59" s="64"/>
      <c r="J59" s="64"/>
      <c r="K59" s="5"/>
      <c r="L59" s="49"/>
    </row>
    <row r="60" spans="1:12" hidden="1" x14ac:dyDescent="0.25">
      <c r="A60" s="5"/>
      <c r="B60" s="123"/>
      <c r="C60" s="123"/>
      <c r="D60" s="124"/>
      <c r="E60" s="75"/>
      <c r="F60" s="75"/>
      <c r="G60" s="76"/>
      <c r="H60" s="75">
        <f t="shared" si="0"/>
        <v>0</v>
      </c>
      <c r="I60" s="64"/>
      <c r="J60" s="64"/>
      <c r="K60" s="5"/>
      <c r="L60" s="49"/>
    </row>
    <row r="61" spans="1:12" hidden="1" x14ac:dyDescent="0.25">
      <c r="A61" s="5"/>
      <c r="B61" s="123"/>
      <c r="C61" s="123"/>
      <c r="D61" s="124"/>
      <c r="E61" s="75"/>
      <c r="F61" s="75"/>
      <c r="G61" s="76"/>
      <c r="H61" s="75">
        <f t="shared" si="0"/>
        <v>0</v>
      </c>
      <c r="I61" s="64"/>
      <c r="J61" s="64"/>
      <c r="K61" s="5"/>
      <c r="L61" s="49"/>
    </row>
    <row r="62" spans="1:12" hidden="1" x14ac:dyDescent="0.25">
      <c r="A62" s="5"/>
      <c r="B62" s="123"/>
      <c r="C62" s="123"/>
      <c r="D62" s="124"/>
      <c r="E62" s="75"/>
      <c r="F62" s="75"/>
      <c r="G62" s="76"/>
      <c r="H62" s="75">
        <f t="shared" si="0"/>
        <v>0</v>
      </c>
      <c r="I62" s="64"/>
      <c r="J62" s="64"/>
      <c r="K62" s="5"/>
      <c r="L62" s="49"/>
    </row>
    <row r="63" spans="1:12" hidden="1" x14ac:dyDescent="0.25">
      <c r="A63" s="5"/>
      <c r="B63" s="123"/>
      <c r="C63" s="123"/>
      <c r="D63" s="124"/>
      <c r="E63" s="75"/>
      <c r="F63" s="75"/>
      <c r="G63" s="76"/>
      <c r="H63" s="75">
        <f t="shared" si="0"/>
        <v>0</v>
      </c>
      <c r="I63" s="64"/>
      <c r="J63" s="64"/>
      <c r="K63" s="5"/>
    </row>
    <row r="64" spans="1:12" hidden="1" x14ac:dyDescent="0.25">
      <c r="A64" s="5"/>
      <c r="B64" s="123"/>
      <c r="C64" s="123"/>
      <c r="D64" s="124"/>
      <c r="E64" s="75"/>
      <c r="F64" s="75"/>
      <c r="G64" s="76"/>
      <c r="H64" s="75">
        <f t="shared" si="0"/>
        <v>0</v>
      </c>
      <c r="I64" s="64"/>
      <c r="J64" s="64"/>
      <c r="K64" s="5"/>
    </row>
    <row r="65" spans="1:13" ht="16.5" thickBot="1" x14ac:dyDescent="0.3">
      <c r="A65" s="5"/>
      <c r="B65" s="23"/>
      <c r="C65" s="106"/>
      <c r="D65" s="112"/>
      <c r="E65" s="107"/>
      <c r="F65" s="75"/>
      <c r="G65" s="76"/>
      <c r="H65" s="27">
        <f t="shared" si="0"/>
        <v>0</v>
      </c>
      <c r="I65" s="10"/>
      <c r="J65" s="10"/>
      <c r="K65" s="5"/>
      <c r="M65" s="49"/>
    </row>
    <row r="66" spans="1:13" ht="16.5" thickTop="1" x14ac:dyDescent="0.25">
      <c r="A66" s="5"/>
      <c r="B66" s="268" t="s">
        <v>55</v>
      </c>
      <c r="C66" s="268"/>
      <c r="D66" s="268"/>
      <c r="E66" s="20">
        <f>SUM(E11:E65)</f>
        <v>273000</v>
      </c>
      <c r="F66" s="25">
        <f>SUM(F11:F65)</f>
        <v>273000</v>
      </c>
      <c r="G66" s="5"/>
      <c r="H66" s="5"/>
      <c r="I66" s="5"/>
      <c r="J66" s="5"/>
      <c r="K66" s="5"/>
    </row>
    <row r="67" spans="1:13" x14ac:dyDescent="0.25">
      <c r="A67" s="5"/>
      <c r="B67" s="276" t="s">
        <v>67</v>
      </c>
      <c r="C67" s="276"/>
      <c r="D67" s="276"/>
      <c r="E67" s="276"/>
      <c r="F67" s="51">
        <f>+E66-F66</f>
        <v>0</v>
      </c>
      <c r="G67" s="5"/>
      <c r="H67" s="5"/>
      <c r="I67" s="5"/>
      <c r="J67" s="5"/>
      <c r="K67" s="5"/>
    </row>
    <row r="68" spans="1:13" ht="16.5" thickBot="1" x14ac:dyDescent="0.3">
      <c r="A68" s="5"/>
      <c r="B68" s="277" t="s">
        <v>71</v>
      </c>
      <c r="C68" s="277"/>
      <c r="D68" s="277"/>
      <c r="E68" s="277"/>
      <c r="F68" s="52">
        <v>0</v>
      </c>
      <c r="G68" s="5"/>
      <c r="H68" s="5"/>
      <c r="I68" s="5"/>
      <c r="J68" s="5"/>
      <c r="K68" s="5"/>
    </row>
    <row r="69" spans="1:13" ht="16.5" thickTop="1" x14ac:dyDescent="0.25">
      <c r="A69" s="5"/>
      <c r="B69" s="275" t="s">
        <v>72</v>
      </c>
      <c r="C69" s="275"/>
      <c r="D69" s="275"/>
      <c r="E69" s="275"/>
      <c r="F69" s="53">
        <f>+F67-F68</f>
        <v>0</v>
      </c>
      <c r="G69" s="5"/>
      <c r="H69" s="5"/>
      <c r="I69" s="5"/>
      <c r="J69" s="5"/>
      <c r="K69" s="5"/>
    </row>
  </sheetData>
  <mergeCells count="6">
    <mergeCell ref="B69:E69"/>
    <mergeCell ref="B2:J2"/>
    <mergeCell ref="B3:J3"/>
    <mergeCell ref="B66:D66"/>
    <mergeCell ref="B67:E67"/>
    <mergeCell ref="B68:E68"/>
  </mergeCells>
  <pageMargins left="0.39370078740157483" right="0.19685039370078741" top="0.39370078740157483" bottom="0.39370078740157483" header="0.31496062992125984" footer="0.31496062992125984"/>
  <pageSetup scale="84"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23DB-698D-464A-8CB5-8AC81DC0C1B5}">
  <sheetPr codeName="Hoja70"/>
  <dimension ref="A1:M34"/>
  <sheetViews>
    <sheetView zoomScale="90" zoomScaleNormal="90" workbookViewId="0">
      <selection activeCell="D22" sqref="D22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customWidth="1"/>
    <col min="10" max="10" width="27.85546875" style="1" customWidth="1"/>
    <col min="11" max="11" width="5" style="1" customWidth="1"/>
    <col min="12" max="12" width="12.42578125" style="1" bestFit="1" customWidth="1"/>
    <col min="13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3" x14ac:dyDescent="0.25">
      <c r="A5" s="5"/>
      <c r="B5" s="7"/>
      <c r="C5" s="8" t="s">
        <v>49</v>
      </c>
      <c r="D5" s="5" t="s">
        <v>231</v>
      </c>
      <c r="E5" s="9"/>
      <c r="F5" s="9"/>
      <c r="G5" s="9"/>
      <c r="H5" s="9"/>
      <c r="I5" s="9"/>
      <c r="J5" s="9"/>
      <c r="K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3" x14ac:dyDescent="0.25">
      <c r="A7" s="5"/>
      <c r="B7" s="7"/>
      <c r="C7" s="8" t="s">
        <v>48</v>
      </c>
      <c r="D7" s="5" t="s">
        <v>104</v>
      </c>
      <c r="E7" s="9"/>
      <c r="F7" s="9"/>
      <c r="G7" s="9"/>
      <c r="H7" s="9"/>
      <c r="I7" s="9"/>
      <c r="J7" s="9"/>
      <c r="K7" s="5"/>
    </row>
    <row r="8" spans="1:13" x14ac:dyDescent="0.25">
      <c r="A8" s="5"/>
      <c r="B8" s="7"/>
      <c r="C8" s="8" t="s">
        <v>47</v>
      </c>
      <c r="D8" s="16" t="s">
        <v>120</v>
      </c>
      <c r="E8" s="9"/>
      <c r="F8" s="9"/>
      <c r="G8" s="9"/>
      <c r="H8" s="9"/>
      <c r="I8" s="9"/>
      <c r="J8" s="9"/>
      <c r="K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3" ht="18" customHeight="1" x14ac:dyDescent="0.25">
      <c r="A11" s="5"/>
      <c r="B11" s="14">
        <v>250913</v>
      </c>
      <c r="C11" s="14">
        <v>1895</v>
      </c>
      <c r="D11" s="22">
        <v>45912</v>
      </c>
      <c r="E11" s="12">
        <v>68124</v>
      </c>
      <c r="F11" s="12">
        <v>50000</v>
      </c>
      <c r="G11" s="22">
        <v>45912</v>
      </c>
      <c r="H11" s="12">
        <f>+E11-F11</f>
        <v>18124</v>
      </c>
      <c r="I11" s="10"/>
      <c r="J11" s="150" t="s">
        <v>232</v>
      </c>
      <c r="K11" s="5" t="s">
        <v>136</v>
      </c>
    </row>
    <row r="12" spans="1:13" ht="18" customHeight="1" x14ac:dyDescent="0.25">
      <c r="A12" s="5"/>
      <c r="B12" s="14"/>
      <c r="C12" s="14"/>
      <c r="D12" s="22"/>
      <c r="E12" s="12"/>
      <c r="F12" s="12">
        <v>6000</v>
      </c>
      <c r="G12" s="22">
        <v>45913</v>
      </c>
      <c r="H12" s="12">
        <f>+H11+E12-F12</f>
        <v>12124</v>
      </c>
      <c r="I12" s="10"/>
      <c r="J12" s="150" t="s">
        <v>233</v>
      </c>
      <c r="K12" s="5" t="s">
        <v>135</v>
      </c>
      <c r="L12" s="49"/>
    </row>
    <row r="13" spans="1:13" ht="18" customHeight="1" x14ac:dyDescent="0.25">
      <c r="A13" s="5"/>
      <c r="B13" s="14"/>
      <c r="C13" s="14"/>
      <c r="D13" s="22"/>
      <c r="E13" s="12"/>
      <c r="F13" s="12">
        <v>6000</v>
      </c>
      <c r="G13" s="22">
        <v>45913</v>
      </c>
      <c r="H13" s="12">
        <f t="shared" ref="H13:H30" si="0">+H12+E13-F13</f>
        <v>6124</v>
      </c>
      <c r="I13" s="10"/>
      <c r="J13" s="150" t="s">
        <v>179</v>
      </c>
      <c r="K13" s="5" t="s">
        <v>135</v>
      </c>
      <c r="L13" s="49"/>
      <c r="M13" s="49"/>
    </row>
    <row r="14" spans="1:13" x14ac:dyDescent="0.25">
      <c r="A14" s="5"/>
      <c r="B14" s="14"/>
      <c r="C14" s="14"/>
      <c r="D14" s="22"/>
      <c r="E14" s="12"/>
      <c r="F14" s="12">
        <v>350</v>
      </c>
      <c r="G14" s="22">
        <v>45915</v>
      </c>
      <c r="H14" s="12">
        <f t="shared" si="0"/>
        <v>5774</v>
      </c>
      <c r="I14" s="10"/>
      <c r="J14" s="150" t="s">
        <v>179</v>
      </c>
      <c r="K14" s="5" t="s">
        <v>135</v>
      </c>
      <c r="L14" s="49"/>
    </row>
    <row r="15" spans="1:13" x14ac:dyDescent="0.25">
      <c r="A15" s="5"/>
      <c r="B15" s="14"/>
      <c r="C15" s="14"/>
      <c r="D15" s="22"/>
      <c r="E15" s="12"/>
      <c r="F15" s="12">
        <v>7074</v>
      </c>
      <c r="G15" s="11">
        <v>45915</v>
      </c>
      <c r="H15" s="12">
        <f t="shared" si="0"/>
        <v>-1300</v>
      </c>
      <c r="I15" s="10"/>
      <c r="J15" s="150" t="s">
        <v>179</v>
      </c>
      <c r="K15" s="5" t="s">
        <v>135</v>
      </c>
      <c r="L15" s="49"/>
    </row>
    <row r="16" spans="1:13" x14ac:dyDescent="0.25">
      <c r="A16" s="5"/>
      <c r="B16" s="14"/>
      <c r="C16" s="14"/>
      <c r="D16" s="22"/>
      <c r="E16" s="12"/>
      <c r="F16" s="12">
        <v>-1300</v>
      </c>
      <c r="G16" s="11">
        <v>45916</v>
      </c>
      <c r="H16" s="12">
        <f t="shared" si="0"/>
        <v>0</v>
      </c>
      <c r="I16" s="10"/>
      <c r="J16" s="150" t="s">
        <v>234</v>
      </c>
      <c r="K16" s="5"/>
    </row>
    <row r="17" spans="1:12" x14ac:dyDescent="0.25">
      <c r="A17" s="5"/>
      <c r="B17" s="14">
        <v>250933</v>
      </c>
      <c r="C17" s="14">
        <v>1912</v>
      </c>
      <c r="D17" s="22">
        <v>45926</v>
      </c>
      <c r="E17" s="12">
        <v>60024</v>
      </c>
      <c r="F17" s="12">
        <v>35000</v>
      </c>
      <c r="G17" s="11">
        <v>45926</v>
      </c>
      <c r="H17" s="12">
        <f t="shared" si="0"/>
        <v>25024</v>
      </c>
      <c r="I17" s="10"/>
      <c r="J17" s="150" t="s">
        <v>233</v>
      </c>
      <c r="K17" s="5" t="s">
        <v>135</v>
      </c>
    </row>
    <row r="18" spans="1:12" x14ac:dyDescent="0.25">
      <c r="A18" s="5"/>
      <c r="B18" s="14"/>
      <c r="C18" s="14"/>
      <c r="D18" s="22"/>
      <c r="E18" s="12"/>
      <c r="F18" s="12">
        <v>10000</v>
      </c>
      <c r="G18" s="11">
        <v>45928</v>
      </c>
      <c r="H18" s="12">
        <f t="shared" si="0"/>
        <v>15024</v>
      </c>
      <c r="I18" s="10"/>
      <c r="J18" s="150" t="s">
        <v>233</v>
      </c>
      <c r="K18" s="5" t="s">
        <v>135</v>
      </c>
    </row>
    <row r="19" spans="1:12" x14ac:dyDescent="0.25">
      <c r="A19" s="5"/>
      <c r="B19" s="14"/>
      <c r="C19" s="14"/>
      <c r="D19" s="22"/>
      <c r="E19" s="12"/>
      <c r="F19" s="12">
        <v>10000</v>
      </c>
      <c r="G19" s="11">
        <v>45929</v>
      </c>
      <c r="H19" s="12">
        <f t="shared" si="0"/>
        <v>5024</v>
      </c>
      <c r="I19" s="10"/>
      <c r="J19" s="150" t="s">
        <v>260</v>
      </c>
      <c r="K19" s="5" t="s">
        <v>135</v>
      </c>
    </row>
    <row r="20" spans="1:12" x14ac:dyDescent="0.25">
      <c r="A20" s="5"/>
      <c r="B20" s="14"/>
      <c r="C20" s="14"/>
      <c r="D20" s="22"/>
      <c r="E20" s="12"/>
      <c r="F20" s="12">
        <v>6524</v>
      </c>
      <c r="G20" s="11">
        <v>45929</v>
      </c>
      <c r="H20" s="12">
        <f t="shared" si="0"/>
        <v>-1500</v>
      </c>
      <c r="I20" s="10"/>
      <c r="J20" s="150" t="s">
        <v>260</v>
      </c>
      <c r="K20" s="5" t="s">
        <v>135</v>
      </c>
    </row>
    <row r="21" spans="1:12" ht="16.5" thickBot="1" x14ac:dyDescent="0.3">
      <c r="A21" s="5"/>
      <c r="B21" s="83"/>
      <c r="C21" s="83"/>
      <c r="D21" s="84"/>
      <c r="E21" s="85"/>
      <c r="F21" s="85">
        <v>-1500</v>
      </c>
      <c r="G21" s="86"/>
      <c r="H21" s="85">
        <f t="shared" si="0"/>
        <v>0</v>
      </c>
      <c r="I21" s="87"/>
      <c r="J21" s="175" t="s">
        <v>234</v>
      </c>
      <c r="K21" s="5"/>
      <c r="L21" s="49">
        <f>SUM(F11:F21)</f>
        <v>128148</v>
      </c>
    </row>
    <row r="22" spans="1:12" ht="16.5" thickTop="1" x14ac:dyDescent="0.25">
      <c r="A22" s="5"/>
      <c r="B22" s="118">
        <v>251008</v>
      </c>
      <c r="C22" s="118">
        <v>1929</v>
      </c>
      <c r="D22" s="117">
        <v>45936</v>
      </c>
      <c r="E22" s="80">
        <v>64922</v>
      </c>
      <c r="F22" s="80">
        <v>15000</v>
      </c>
      <c r="G22" s="81">
        <v>45930</v>
      </c>
      <c r="H22" s="80">
        <f t="shared" si="0"/>
        <v>49922</v>
      </c>
      <c r="I22" s="82"/>
      <c r="J22" s="172" t="s">
        <v>284</v>
      </c>
      <c r="K22" s="5" t="s">
        <v>135</v>
      </c>
    </row>
    <row r="23" spans="1:12" x14ac:dyDescent="0.25">
      <c r="A23" s="5"/>
      <c r="B23" s="14"/>
      <c r="C23" s="14"/>
      <c r="D23" s="22"/>
      <c r="E23" s="12"/>
      <c r="F23" s="12">
        <v>21000</v>
      </c>
      <c r="G23" s="11">
        <v>45937</v>
      </c>
      <c r="H23" s="12">
        <f t="shared" si="0"/>
        <v>28922</v>
      </c>
      <c r="I23" s="10"/>
      <c r="J23" s="150" t="s">
        <v>285</v>
      </c>
      <c r="K23" s="5" t="s">
        <v>136</v>
      </c>
      <c r="L23" s="49"/>
    </row>
    <row r="24" spans="1:12" x14ac:dyDescent="0.25">
      <c r="A24" s="5"/>
      <c r="B24" s="14"/>
      <c r="C24" s="14"/>
      <c r="D24" s="22"/>
      <c r="E24" s="12"/>
      <c r="F24" s="12">
        <v>23780</v>
      </c>
      <c r="G24" s="11">
        <v>45939</v>
      </c>
      <c r="H24" s="12">
        <f t="shared" si="0"/>
        <v>5142</v>
      </c>
      <c r="I24" s="10"/>
      <c r="J24" s="150" t="s">
        <v>286</v>
      </c>
      <c r="K24" s="5" t="s">
        <v>136</v>
      </c>
    </row>
    <row r="25" spans="1:12" ht="16.5" thickBot="1" x14ac:dyDescent="0.3">
      <c r="A25" s="5"/>
      <c r="B25" s="83"/>
      <c r="C25" s="83"/>
      <c r="D25" s="84"/>
      <c r="E25" s="85"/>
      <c r="F25" s="85">
        <v>5140</v>
      </c>
      <c r="G25" s="86">
        <v>45940</v>
      </c>
      <c r="H25" s="85">
        <f t="shared" si="0"/>
        <v>2</v>
      </c>
      <c r="I25" s="87"/>
      <c r="J25" s="175" t="s">
        <v>287</v>
      </c>
      <c r="K25" s="5" t="s">
        <v>136</v>
      </c>
      <c r="L25" s="49">
        <f>SUM(F22:F25)</f>
        <v>64920</v>
      </c>
    </row>
    <row r="26" spans="1:12" ht="16.5" thickTop="1" x14ac:dyDescent="0.25">
      <c r="A26" s="5"/>
      <c r="B26" s="118"/>
      <c r="C26" s="118"/>
      <c r="D26" s="117"/>
      <c r="E26" s="80"/>
      <c r="F26" s="80"/>
      <c r="G26" s="81"/>
      <c r="H26" s="80">
        <f t="shared" si="0"/>
        <v>2</v>
      </c>
      <c r="I26" s="82"/>
      <c r="J26" s="172"/>
      <c r="K26" s="5"/>
    </row>
    <row r="27" spans="1:12" x14ac:dyDescent="0.25">
      <c r="A27" s="5"/>
      <c r="B27" s="14"/>
      <c r="C27" s="14"/>
      <c r="D27" s="22"/>
      <c r="E27" s="12"/>
      <c r="F27" s="12"/>
      <c r="G27" s="11"/>
      <c r="H27" s="12">
        <f t="shared" si="0"/>
        <v>2</v>
      </c>
      <c r="I27" s="10"/>
      <c r="J27" s="150"/>
      <c r="K27" s="5"/>
    </row>
    <row r="28" spans="1:12" x14ac:dyDescent="0.25">
      <c r="A28" s="5"/>
      <c r="B28" s="14"/>
      <c r="C28" s="14"/>
      <c r="D28" s="22"/>
      <c r="E28" s="12"/>
      <c r="F28" s="12"/>
      <c r="G28" s="11"/>
      <c r="H28" s="12">
        <f t="shared" si="0"/>
        <v>2</v>
      </c>
      <c r="I28" s="10"/>
      <c r="J28" s="150"/>
      <c r="K28" s="5"/>
    </row>
    <row r="29" spans="1:12" x14ac:dyDescent="0.25">
      <c r="A29" s="5"/>
      <c r="B29" s="14"/>
      <c r="C29" s="14"/>
      <c r="D29" s="22"/>
      <c r="E29" s="12"/>
      <c r="F29" s="12"/>
      <c r="G29" s="11"/>
      <c r="H29" s="12">
        <f t="shared" si="0"/>
        <v>2</v>
      </c>
      <c r="I29" s="10"/>
      <c r="J29" s="10"/>
      <c r="K29" s="5"/>
    </row>
    <row r="30" spans="1:12" x14ac:dyDescent="0.25">
      <c r="A30" s="5"/>
      <c r="B30" s="14"/>
      <c r="C30" s="14"/>
      <c r="D30" s="22"/>
      <c r="E30" s="12"/>
      <c r="F30" s="12"/>
      <c r="G30" s="11"/>
      <c r="H30" s="27">
        <f t="shared" si="0"/>
        <v>2</v>
      </c>
      <c r="I30" s="10"/>
      <c r="J30" s="10"/>
      <c r="K30" s="5"/>
    </row>
    <row r="31" spans="1:12" ht="16.5" thickBot="1" x14ac:dyDescent="0.3">
      <c r="A31" s="5"/>
      <c r="B31" s="275" t="s">
        <v>55</v>
      </c>
      <c r="C31" s="275"/>
      <c r="D31" s="275"/>
      <c r="E31" s="147">
        <f>SUM(E11:E30)</f>
        <v>193070</v>
      </c>
      <c r="F31" s="148">
        <f>SUM(F11:F30)</f>
        <v>193068</v>
      </c>
      <c r="G31" s="5"/>
      <c r="H31" s="5"/>
      <c r="I31" s="5"/>
      <c r="J31" s="5"/>
      <c r="K31" s="5"/>
    </row>
    <row r="32" spans="1:12" ht="16.5" thickBot="1" x14ac:dyDescent="0.3">
      <c r="A32" s="5"/>
      <c r="B32" s="5"/>
      <c r="C32" s="5"/>
      <c r="D32" s="5"/>
      <c r="E32" s="5"/>
      <c r="F32" s="26">
        <f>+E31-F31</f>
        <v>2</v>
      </c>
      <c r="G32" s="5"/>
      <c r="H32" s="5"/>
      <c r="I32" s="5"/>
      <c r="J32" s="5"/>
      <c r="K32" s="5"/>
    </row>
    <row r="33" spans="1:11" x14ac:dyDescent="0.25">
      <c r="A33" s="5"/>
      <c r="B33" s="5"/>
      <c r="C33" s="5"/>
      <c r="D33" s="5"/>
      <c r="E33" s="5"/>
      <c r="F33" s="5"/>
      <c r="G33" s="5"/>
      <c r="H33" s="16"/>
      <c r="I33" s="16"/>
      <c r="J33" s="5"/>
      <c r="K33" s="5"/>
    </row>
    <row r="34" spans="1:11" x14ac:dyDescent="0.25">
      <c r="A34" s="5"/>
      <c r="B34" s="5"/>
      <c r="C34" s="5"/>
      <c r="D34" s="5"/>
      <c r="E34" s="5"/>
      <c r="F34" s="5"/>
      <c r="G34" s="5"/>
      <c r="H34" s="16"/>
      <c r="I34" s="5"/>
      <c r="J34" s="5"/>
      <c r="K34" s="5"/>
    </row>
  </sheetData>
  <mergeCells count="3">
    <mergeCell ref="B2:J2"/>
    <mergeCell ref="B3:J3"/>
    <mergeCell ref="B31:D3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9A07-ECDC-4825-AA2A-7C2FE3DEC130}">
  <sheetPr codeName="Hoja71"/>
  <dimension ref="A1:M30"/>
  <sheetViews>
    <sheetView topLeftCell="A10" zoomScale="90" zoomScaleNormal="90" workbookViewId="0">
      <selection activeCell="L12" sqref="L12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customWidth="1"/>
    <col min="10" max="10" width="27.85546875" style="1" customWidth="1"/>
    <col min="11" max="11" width="5" style="1" customWidth="1"/>
    <col min="12" max="12" width="12.42578125" style="1" bestFit="1" customWidth="1"/>
    <col min="13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3" x14ac:dyDescent="0.25">
      <c r="A5" s="5"/>
      <c r="B5" s="7"/>
      <c r="C5" s="8" t="s">
        <v>49</v>
      </c>
      <c r="D5" s="5" t="s">
        <v>256</v>
      </c>
      <c r="E5" s="9"/>
      <c r="F5" s="9"/>
      <c r="G5" s="9"/>
      <c r="H5" s="9"/>
      <c r="I5" s="9"/>
      <c r="J5" s="9"/>
      <c r="K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3" x14ac:dyDescent="0.25">
      <c r="A7" s="5"/>
      <c r="B7" s="7"/>
      <c r="C7" s="8" t="s">
        <v>48</v>
      </c>
      <c r="D7" s="5" t="s">
        <v>257</v>
      </c>
      <c r="E7" s="9"/>
      <c r="F7" s="9"/>
      <c r="G7" s="9"/>
      <c r="H7" s="9"/>
      <c r="I7" s="9"/>
      <c r="J7" s="9"/>
      <c r="K7" s="5"/>
    </row>
    <row r="8" spans="1:13" x14ac:dyDescent="0.25">
      <c r="A8" s="5"/>
      <c r="B8" s="7"/>
      <c r="C8" s="8" t="s">
        <v>47</v>
      </c>
      <c r="D8" s="16" t="s">
        <v>120</v>
      </c>
      <c r="E8" s="9"/>
      <c r="F8" s="9"/>
      <c r="G8" s="9"/>
      <c r="H8" s="9"/>
      <c r="I8" s="9"/>
      <c r="J8" s="9"/>
      <c r="K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3" ht="18" customHeight="1" x14ac:dyDescent="0.25">
      <c r="A11" s="5"/>
      <c r="B11" s="14">
        <v>250922</v>
      </c>
      <c r="C11" s="14">
        <v>1904</v>
      </c>
      <c r="D11" s="22">
        <v>45918</v>
      </c>
      <c r="E11" s="12">
        <v>14992.5</v>
      </c>
      <c r="F11" s="12">
        <v>2000</v>
      </c>
      <c r="G11" s="22">
        <v>45915</v>
      </c>
      <c r="H11" s="12">
        <f>+E11-F11</f>
        <v>12992.5</v>
      </c>
      <c r="I11" s="10"/>
      <c r="J11" s="150" t="s">
        <v>263</v>
      </c>
      <c r="K11" s="5"/>
    </row>
    <row r="12" spans="1:13" ht="18" customHeight="1" x14ac:dyDescent="0.25">
      <c r="A12" s="5"/>
      <c r="B12" s="14"/>
      <c r="C12" s="14"/>
      <c r="D12" s="22"/>
      <c r="E12" s="12"/>
      <c r="F12" s="12">
        <v>13000</v>
      </c>
      <c r="G12" s="22">
        <v>45917</v>
      </c>
      <c r="H12" s="12">
        <f>+H11+E12-F12</f>
        <v>-7.5</v>
      </c>
      <c r="I12" s="10"/>
      <c r="J12" s="150" t="s">
        <v>264</v>
      </c>
      <c r="K12" s="5" t="s">
        <v>136</v>
      </c>
      <c r="L12" s="49">
        <f>SUM(F11:F12)</f>
        <v>15000</v>
      </c>
    </row>
    <row r="13" spans="1:13" ht="18" customHeight="1" x14ac:dyDescent="0.25">
      <c r="A13" s="5"/>
      <c r="B13" s="14"/>
      <c r="C13" s="14"/>
      <c r="D13" s="22"/>
      <c r="E13" s="12"/>
      <c r="F13" s="12"/>
      <c r="G13" s="22"/>
      <c r="H13" s="12">
        <f t="shared" ref="H13:H26" si="0">+H12+E13-F13</f>
        <v>-7.5</v>
      </c>
      <c r="I13" s="10"/>
      <c r="J13" s="150"/>
      <c r="K13" s="5"/>
      <c r="L13" s="49"/>
      <c r="M13" s="49"/>
    </row>
    <row r="14" spans="1:13" x14ac:dyDescent="0.25">
      <c r="A14" s="5"/>
      <c r="B14" s="14"/>
      <c r="C14" s="14"/>
      <c r="D14" s="22"/>
      <c r="E14" s="12"/>
      <c r="F14" s="12"/>
      <c r="G14" s="22"/>
      <c r="H14" s="12">
        <f t="shared" si="0"/>
        <v>-7.5</v>
      </c>
      <c r="I14" s="10"/>
      <c r="J14" s="150"/>
      <c r="K14" s="5"/>
      <c r="L14" s="49"/>
    </row>
    <row r="15" spans="1:13" x14ac:dyDescent="0.25">
      <c r="A15" s="5"/>
      <c r="B15" s="14"/>
      <c r="C15" s="14"/>
      <c r="D15" s="22"/>
      <c r="E15" s="12"/>
      <c r="F15" s="12"/>
      <c r="G15" s="11"/>
      <c r="H15" s="12">
        <f t="shared" si="0"/>
        <v>-7.5</v>
      </c>
      <c r="I15" s="10"/>
      <c r="J15" s="150"/>
      <c r="K15" s="5"/>
      <c r="L15" s="49"/>
    </row>
    <row r="16" spans="1:13" x14ac:dyDescent="0.25">
      <c r="A16" s="5"/>
      <c r="B16" s="14"/>
      <c r="C16" s="14"/>
      <c r="D16" s="22"/>
      <c r="E16" s="12"/>
      <c r="F16" s="12"/>
      <c r="G16" s="11"/>
      <c r="H16" s="12">
        <f t="shared" si="0"/>
        <v>-7.5</v>
      </c>
      <c r="I16" s="10"/>
      <c r="J16" s="150"/>
      <c r="K16" s="5"/>
    </row>
    <row r="17" spans="1:12" x14ac:dyDescent="0.25">
      <c r="A17" s="5"/>
      <c r="B17" s="14"/>
      <c r="C17" s="14"/>
      <c r="D17" s="22"/>
      <c r="E17" s="12"/>
      <c r="F17" s="12"/>
      <c r="G17" s="11"/>
      <c r="H17" s="12">
        <f t="shared" si="0"/>
        <v>-7.5</v>
      </c>
      <c r="I17" s="10"/>
      <c r="J17" s="150"/>
      <c r="K17" s="5"/>
    </row>
    <row r="18" spans="1:12" x14ac:dyDescent="0.25">
      <c r="A18" s="5"/>
      <c r="B18" s="14"/>
      <c r="C18" s="14"/>
      <c r="D18" s="22"/>
      <c r="E18" s="12"/>
      <c r="F18" s="12"/>
      <c r="G18" s="11"/>
      <c r="H18" s="12">
        <f t="shared" si="0"/>
        <v>-7.5</v>
      </c>
      <c r="I18" s="10"/>
      <c r="J18" s="150"/>
      <c r="K18" s="5"/>
    </row>
    <row r="19" spans="1:12" x14ac:dyDescent="0.25">
      <c r="A19" s="5"/>
      <c r="B19" s="14"/>
      <c r="C19" s="14"/>
      <c r="D19" s="22"/>
      <c r="E19" s="12"/>
      <c r="F19" s="12"/>
      <c r="G19" s="11"/>
      <c r="H19" s="12">
        <f t="shared" si="0"/>
        <v>-7.5</v>
      </c>
      <c r="I19" s="10"/>
      <c r="J19" s="150"/>
      <c r="K19" s="5"/>
    </row>
    <row r="20" spans="1:12" x14ac:dyDescent="0.25">
      <c r="A20" s="5"/>
      <c r="B20" s="14"/>
      <c r="C20" s="14"/>
      <c r="D20" s="22"/>
      <c r="E20" s="12"/>
      <c r="F20" s="12"/>
      <c r="G20" s="11"/>
      <c r="H20" s="12">
        <f t="shared" si="0"/>
        <v>-7.5</v>
      </c>
      <c r="I20" s="10"/>
      <c r="J20" s="150"/>
      <c r="K20" s="5"/>
    </row>
    <row r="21" spans="1:12" x14ac:dyDescent="0.25">
      <c r="A21" s="5"/>
      <c r="B21" s="14"/>
      <c r="C21" s="14"/>
      <c r="D21" s="22"/>
      <c r="E21" s="12"/>
      <c r="F21" s="12"/>
      <c r="G21" s="11"/>
      <c r="H21" s="12">
        <f t="shared" si="0"/>
        <v>-7.5</v>
      </c>
      <c r="I21" s="10"/>
      <c r="J21" s="150"/>
      <c r="K21" s="5"/>
    </row>
    <row r="22" spans="1:12" x14ac:dyDescent="0.25">
      <c r="A22" s="5"/>
      <c r="B22" s="14"/>
      <c r="C22" s="14"/>
      <c r="D22" s="22"/>
      <c r="E22" s="12"/>
      <c r="F22" s="12"/>
      <c r="G22" s="11"/>
      <c r="H22" s="12">
        <f t="shared" si="0"/>
        <v>-7.5</v>
      </c>
      <c r="I22" s="10"/>
      <c r="J22" s="150"/>
      <c r="K22" s="5"/>
    </row>
    <row r="23" spans="1:12" x14ac:dyDescent="0.25">
      <c r="A23" s="5"/>
      <c r="B23" s="14"/>
      <c r="C23" s="14"/>
      <c r="D23" s="22"/>
      <c r="E23" s="12"/>
      <c r="F23" s="12"/>
      <c r="G23" s="11"/>
      <c r="H23" s="12">
        <f t="shared" si="0"/>
        <v>-7.5</v>
      </c>
      <c r="I23" s="10"/>
      <c r="J23" s="150"/>
      <c r="K23" s="5"/>
      <c r="L23" s="49"/>
    </row>
    <row r="24" spans="1:12" x14ac:dyDescent="0.25">
      <c r="A24" s="5"/>
      <c r="B24" s="14"/>
      <c r="C24" s="14"/>
      <c r="D24" s="22"/>
      <c r="E24" s="12"/>
      <c r="F24" s="12"/>
      <c r="G24" s="11"/>
      <c r="H24" s="12">
        <f t="shared" si="0"/>
        <v>-7.5</v>
      </c>
      <c r="I24" s="10"/>
      <c r="J24" s="150"/>
      <c r="K24" s="5"/>
    </row>
    <row r="25" spans="1:12" x14ac:dyDescent="0.25">
      <c r="A25" s="5"/>
      <c r="B25" s="14"/>
      <c r="C25" s="14"/>
      <c r="D25" s="22"/>
      <c r="E25" s="12"/>
      <c r="F25" s="12"/>
      <c r="G25" s="11"/>
      <c r="H25" s="12">
        <f t="shared" si="0"/>
        <v>-7.5</v>
      </c>
      <c r="I25" s="10"/>
      <c r="J25" s="10"/>
      <c r="K25" s="5"/>
    </row>
    <row r="26" spans="1:12" x14ac:dyDescent="0.25">
      <c r="A26" s="5"/>
      <c r="B26" s="14"/>
      <c r="C26" s="14"/>
      <c r="D26" s="22"/>
      <c r="E26" s="12"/>
      <c r="F26" s="12"/>
      <c r="G26" s="11"/>
      <c r="H26" s="27">
        <f t="shared" si="0"/>
        <v>-7.5</v>
      </c>
      <c r="I26" s="10"/>
      <c r="J26" s="10"/>
      <c r="K26" s="5"/>
    </row>
    <row r="27" spans="1:12" ht="16.5" thickBot="1" x14ac:dyDescent="0.3">
      <c r="A27" s="5"/>
      <c r="B27" s="275" t="s">
        <v>55</v>
      </c>
      <c r="C27" s="275"/>
      <c r="D27" s="275"/>
      <c r="E27" s="147">
        <f>SUM(E11:E26)</f>
        <v>14992.5</v>
      </c>
      <c r="F27" s="148">
        <f>SUM(F11:F26)</f>
        <v>15000</v>
      </c>
      <c r="G27" s="5"/>
      <c r="H27" s="5"/>
      <c r="I27" s="5"/>
      <c r="J27" s="5"/>
      <c r="K27" s="5"/>
    </row>
    <row r="28" spans="1:12" ht="16.5" thickBot="1" x14ac:dyDescent="0.3">
      <c r="A28" s="5"/>
      <c r="B28" s="5"/>
      <c r="C28" s="5"/>
      <c r="D28" s="5"/>
      <c r="E28" s="5"/>
      <c r="F28" s="26">
        <f>+E27-F27</f>
        <v>-7.5</v>
      </c>
      <c r="G28" s="5"/>
      <c r="H28" s="5"/>
      <c r="I28" s="5"/>
      <c r="J28" s="5"/>
      <c r="K28" s="5"/>
    </row>
    <row r="29" spans="1:12" x14ac:dyDescent="0.25">
      <c r="A29" s="5"/>
      <c r="B29" s="5"/>
      <c r="C29" s="5"/>
      <c r="D29" s="5"/>
      <c r="E29" s="5"/>
      <c r="F29" s="5"/>
      <c r="G29" s="5"/>
      <c r="H29" s="16"/>
      <c r="I29" s="16"/>
      <c r="J29" s="5"/>
      <c r="K29" s="5"/>
    </row>
    <row r="30" spans="1:12" x14ac:dyDescent="0.25">
      <c r="A30" s="5"/>
      <c r="B30" s="5"/>
      <c r="C30" s="5"/>
      <c r="D30" s="5"/>
      <c r="E30" s="5"/>
      <c r="F30" s="5"/>
      <c r="G30" s="5"/>
      <c r="H30" s="16"/>
      <c r="I30" s="5"/>
      <c r="J30" s="5"/>
      <c r="K30" s="5"/>
    </row>
  </sheetData>
  <mergeCells count="3">
    <mergeCell ref="B2:J2"/>
    <mergeCell ref="B3:J3"/>
    <mergeCell ref="B27:D2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6771-6524-40E6-A103-CC1A308D6013}">
  <sheetPr codeName="Hoja72"/>
  <dimension ref="A1:M30"/>
  <sheetViews>
    <sheetView topLeftCell="A7" zoomScale="90" zoomScaleNormal="90" workbookViewId="0">
      <selection activeCell="L12" sqref="L12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4.7109375" style="1" customWidth="1"/>
    <col min="5" max="5" width="14" style="1" customWidth="1"/>
    <col min="6" max="6" width="13.85546875" style="1" customWidth="1"/>
    <col min="7" max="7" width="14.85546875" style="1" customWidth="1"/>
    <col min="8" max="8" width="12.5703125" style="1" customWidth="1"/>
    <col min="9" max="9" width="10.140625" style="1" customWidth="1"/>
    <col min="10" max="10" width="27.85546875" style="1" customWidth="1"/>
    <col min="11" max="11" width="5" style="1" customWidth="1"/>
    <col min="12" max="12" width="12.42578125" style="1" bestFit="1" customWidth="1"/>
    <col min="13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3" x14ac:dyDescent="0.25">
      <c r="A5" s="5"/>
      <c r="B5" s="7"/>
      <c r="C5" s="8" t="s">
        <v>49</v>
      </c>
      <c r="D5" s="5" t="s">
        <v>258</v>
      </c>
      <c r="E5" s="9"/>
      <c r="F5" s="9"/>
      <c r="G5" s="9"/>
      <c r="H5" s="9"/>
      <c r="I5" s="9"/>
      <c r="J5" s="9"/>
      <c r="K5" s="5"/>
    </row>
    <row r="6" spans="1:13" x14ac:dyDescent="0.25">
      <c r="A6" s="5"/>
      <c r="B6" s="7"/>
      <c r="C6" s="8" t="s">
        <v>45</v>
      </c>
      <c r="D6" s="13"/>
      <c r="E6" s="9"/>
      <c r="F6" s="9"/>
      <c r="G6" s="9"/>
      <c r="H6" s="9"/>
      <c r="I6" s="9"/>
      <c r="J6" s="9"/>
      <c r="K6" s="5"/>
    </row>
    <row r="7" spans="1:13" x14ac:dyDescent="0.25">
      <c r="A7" s="5"/>
      <c r="B7" s="7"/>
      <c r="C7" s="8" t="s">
        <v>48</v>
      </c>
      <c r="D7" s="5" t="s">
        <v>259</v>
      </c>
      <c r="E7" s="9"/>
      <c r="F7" s="9"/>
      <c r="G7" s="9"/>
      <c r="H7" s="9"/>
      <c r="I7" s="9"/>
      <c r="J7" s="9"/>
      <c r="K7" s="5"/>
    </row>
    <row r="8" spans="1:13" x14ac:dyDescent="0.25">
      <c r="A8" s="5"/>
      <c r="B8" s="7"/>
      <c r="C8" s="8" t="s">
        <v>47</v>
      </c>
      <c r="D8" s="16" t="s">
        <v>120</v>
      </c>
      <c r="E8" s="9"/>
      <c r="F8" s="9"/>
      <c r="G8" s="9"/>
      <c r="H8" s="9"/>
      <c r="I8" s="9"/>
      <c r="J8" s="9"/>
      <c r="K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3" ht="18" customHeight="1" x14ac:dyDescent="0.25">
      <c r="A11" s="5"/>
      <c r="B11" s="14">
        <v>250928</v>
      </c>
      <c r="C11" s="14">
        <v>1906</v>
      </c>
      <c r="D11" s="22">
        <v>45923</v>
      </c>
      <c r="E11" s="12">
        <v>50000</v>
      </c>
      <c r="F11" s="12">
        <v>25000</v>
      </c>
      <c r="G11" s="22">
        <v>45923</v>
      </c>
      <c r="H11" s="12">
        <f>+E11-F11</f>
        <v>25000</v>
      </c>
      <c r="I11" s="10"/>
      <c r="J11" s="150" t="s">
        <v>261</v>
      </c>
      <c r="K11" s="5" t="s">
        <v>136</v>
      </c>
    </row>
    <row r="12" spans="1:13" ht="18" customHeight="1" x14ac:dyDescent="0.25">
      <c r="A12" s="5"/>
      <c r="B12" s="14"/>
      <c r="C12" s="14"/>
      <c r="D12" s="22"/>
      <c r="E12" s="12"/>
      <c r="F12" s="12">
        <v>25000</v>
      </c>
      <c r="G12" s="22">
        <v>45925</v>
      </c>
      <c r="H12" s="12">
        <f>+H11+E12-F12</f>
        <v>0</v>
      </c>
      <c r="I12" s="10"/>
      <c r="J12" s="150" t="s">
        <v>262</v>
      </c>
      <c r="K12" s="5" t="s">
        <v>135</v>
      </c>
      <c r="L12" s="49">
        <f>SUM(F11:F12)</f>
        <v>50000</v>
      </c>
    </row>
    <row r="13" spans="1:13" ht="18" customHeight="1" x14ac:dyDescent="0.25">
      <c r="A13" s="5"/>
      <c r="B13" s="14"/>
      <c r="C13" s="14"/>
      <c r="D13" s="22"/>
      <c r="E13" s="12"/>
      <c r="F13" s="12"/>
      <c r="G13" s="22"/>
      <c r="H13" s="12">
        <f t="shared" ref="H13:H26" si="0">+H12+E13-F13</f>
        <v>0</v>
      </c>
      <c r="I13" s="10"/>
      <c r="J13" s="150"/>
      <c r="K13" s="5"/>
      <c r="L13" s="49"/>
      <c r="M13" s="49"/>
    </row>
    <row r="14" spans="1:13" x14ac:dyDescent="0.25">
      <c r="A14" s="5"/>
      <c r="B14" s="14"/>
      <c r="C14" s="14"/>
      <c r="D14" s="22"/>
      <c r="E14" s="12"/>
      <c r="F14" s="12"/>
      <c r="G14" s="22"/>
      <c r="H14" s="12">
        <f t="shared" si="0"/>
        <v>0</v>
      </c>
      <c r="I14" s="10"/>
      <c r="J14" s="150"/>
      <c r="K14" s="5"/>
      <c r="L14" s="49"/>
    </row>
    <row r="15" spans="1:13" x14ac:dyDescent="0.25">
      <c r="A15" s="5"/>
      <c r="B15" s="14"/>
      <c r="C15" s="14"/>
      <c r="D15" s="22"/>
      <c r="E15" s="12"/>
      <c r="F15" s="12"/>
      <c r="G15" s="11"/>
      <c r="H15" s="12">
        <f t="shared" si="0"/>
        <v>0</v>
      </c>
      <c r="I15" s="10"/>
      <c r="J15" s="150"/>
      <c r="K15" s="5"/>
      <c r="L15" s="49"/>
    </row>
    <row r="16" spans="1:13" x14ac:dyDescent="0.25">
      <c r="A16" s="5"/>
      <c r="B16" s="14"/>
      <c r="C16" s="14"/>
      <c r="D16" s="22"/>
      <c r="E16" s="12"/>
      <c r="F16" s="12"/>
      <c r="G16" s="11"/>
      <c r="H16" s="12">
        <f t="shared" si="0"/>
        <v>0</v>
      </c>
      <c r="I16" s="10"/>
      <c r="J16" s="150"/>
      <c r="K16" s="5"/>
    </row>
    <row r="17" spans="1:12" x14ac:dyDescent="0.25">
      <c r="A17" s="5"/>
      <c r="B17" s="14"/>
      <c r="C17" s="14"/>
      <c r="D17" s="22"/>
      <c r="E17" s="12"/>
      <c r="F17" s="12"/>
      <c r="G17" s="11"/>
      <c r="H17" s="12">
        <f t="shared" si="0"/>
        <v>0</v>
      </c>
      <c r="I17" s="10"/>
      <c r="J17" s="150"/>
      <c r="K17" s="5"/>
    </row>
    <row r="18" spans="1:12" x14ac:dyDescent="0.25">
      <c r="A18" s="5"/>
      <c r="B18" s="14"/>
      <c r="C18" s="14"/>
      <c r="D18" s="22"/>
      <c r="E18" s="12"/>
      <c r="F18" s="12"/>
      <c r="G18" s="11"/>
      <c r="H18" s="12">
        <f t="shared" si="0"/>
        <v>0</v>
      </c>
      <c r="I18" s="10"/>
      <c r="J18" s="150"/>
      <c r="K18" s="5"/>
    </row>
    <row r="19" spans="1:12" x14ac:dyDescent="0.25">
      <c r="A19" s="5"/>
      <c r="B19" s="14"/>
      <c r="C19" s="14"/>
      <c r="D19" s="22"/>
      <c r="E19" s="12"/>
      <c r="F19" s="12"/>
      <c r="G19" s="11"/>
      <c r="H19" s="12">
        <f t="shared" si="0"/>
        <v>0</v>
      </c>
      <c r="I19" s="10"/>
      <c r="J19" s="150"/>
      <c r="K19" s="5"/>
    </row>
    <row r="20" spans="1:12" x14ac:dyDescent="0.25">
      <c r="A20" s="5"/>
      <c r="B20" s="14"/>
      <c r="C20" s="14"/>
      <c r="D20" s="22"/>
      <c r="E20" s="12"/>
      <c r="F20" s="12"/>
      <c r="G20" s="11"/>
      <c r="H20" s="12">
        <f t="shared" si="0"/>
        <v>0</v>
      </c>
      <c r="I20" s="10"/>
      <c r="J20" s="150"/>
      <c r="K20" s="5"/>
    </row>
    <row r="21" spans="1:12" x14ac:dyDescent="0.25">
      <c r="A21" s="5"/>
      <c r="B21" s="14"/>
      <c r="C21" s="14"/>
      <c r="D21" s="22"/>
      <c r="E21" s="12"/>
      <c r="F21" s="12"/>
      <c r="G21" s="11"/>
      <c r="H21" s="12">
        <f t="shared" si="0"/>
        <v>0</v>
      </c>
      <c r="I21" s="10"/>
      <c r="J21" s="150"/>
      <c r="K21" s="5"/>
    </row>
    <row r="22" spans="1:12" x14ac:dyDescent="0.25">
      <c r="A22" s="5"/>
      <c r="B22" s="14"/>
      <c r="C22" s="14"/>
      <c r="D22" s="22"/>
      <c r="E22" s="12"/>
      <c r="F22" s="12"/>
      <c r="G22" s="11"/>
      <c r="H22" s="12">
        <f t="shared" si="0"/>
        <v>0</v>
      </c>
      <c r="I22" s="10"/>
      <c r="J22" s="150"/>
      <c r="K22" s="5"/>
    </row>
    <row r="23" spans="1:12" x14ac:dyDescent="0.25">
      <c r="A23" s="5"/>
      <c r="B23" s="14"/>
      <c r="C23" s="14"/>
      <c r="D23" s="22"/>
      <c r="E23" s="12"/>
      <c r="F23" s="12"/>
      <c r="G23" s="11"/>
      <c r="H23" s="12">
        <f t="shared" si="0"/>
        <v>0</v>
      </c>
      <c r="I23" s="10"/>
      <c r="J23" s="150"/>
      <c r="K23" s="5"/>
      <c r="L23" s="49"/>
    </row>
    <row r="24" spans="1:12" x14ac:dyDescent="0.25">
      <c r="A24" s="5"/>
      <c r="B24" s="14"/>
      <c r="C24" s="14"/>
      <c r="D24" s="22"/>
      <c r="E24" s="12"/>
      <c r="F24" s="12"/>
      <c r="G24" s="11"/>
      <c r="H24" s="12">
        <f t="shared" si="0"/>
        <v>0</v>
      </c>
      <c r="I24" s="10"/>
      <c r="J24" s="150"/>
      <c r="K24" s="5"/>
    </row>
    <row r="25" spans="1:12" x14ac:dyDescent="0.25">
      <c r="A25" s="5"/>
      <c r="B25" s="14"/>
      <c r="C25" s="14"/>
      <c r="D25" s="22"/>
      <c r="E25" s="12"/>
      <c r="F25" s="12"/>
      <c r="G25" s="11"/>
      <c r="H25" s="12">
        <f t="shared" si="0"/>
        <v>0</v>
      </c>
      <c r="I25" s="10"/>
      <c r="J25" s="10"/>
      <c r="K25" s="5"/>
    </row>
    <row r="26" spans="1:12" x14ac:dyDescent="0.25">
      <c r="A26" s="5"/>
      <c r="B26" s="14"/>
      <c r="C26" s="14"/>
      <c r="D26" s="22"/>
      <c r="E26" s="12"/>
      <c r="F26" s="12"/>
      <c r="G26" s="11"/>
      <c r="H26" s="27">
        <f t="shared" si="0"/>
        <v>0</v>
      </c>
      <c r="I26" s="10"/>
      <c r="J26" s="10"/>
      <c r="K26" s="5"/>
    </row>
    <row r="27" spans="1:12" ht="16.5" thickBot="1" x14ac:dyDescent="0.3">
      <c r="A27" s="5"/>
      <c r="B27" s="275" t="s">
        <v>55</v>
      </c>
      <c r="C27" s="275"/>
      <c r="D27" s="275"/>
      <c r="E27" s="147">
        <f>SUM(E11:E26)</f>
        <v>50000</v>
      </c>
      <c r="F27" s="148">
        <f>SUM(F11:F26)</f>
        <v>50000</v>
      </c>
      <c r="G27" s="5"/>
      <c r="H27" s="5"/>
      <c r="I27" s="5"/>
      <c r="J27" s="5"/>
      <c r="K27" s="5"/>
    </row>
    <row r="28" spans="1:12" ht="16.5" thickBot="1" x14ac:dyDescent="0.3">
      <c r="A28" s="5"/>
      <c r="B28" s="5"/>
      <c r="C28" s="5"/>
      <c r="D28" s="5"/>
      <c r="E28" s="5"/>
      <c r="F28" s="26">
        <f>+E27-F27</f>
        <v>0</v>
      </c>
      <c r="G28" s="5"/>
      <c r="H28" s="5"/>
      <c r="I28" s="5"/>
      <c r="J28" s="5"/>
      <c r="K28" s="5"/>
    </row>
    <row r="29" spans="1:12" x14ac:dyDescent="0.25">
      <c r="A29" s="5"/>
      <c r="B29" s="5"/>
      <c r="C29" s="5"/>
      <c r="D29" s="5"/>
      <c r="E29" s="5"/>
      <c r="F29" s="5"/>
      <c r="G29" s="5"/>
      <c r="H29" s="16"/>
      <c r="I29" s="16"/>
      <c r="J29" s="5"/>
      <c r="K29" s="5"/>
    </row>
    <row r="30" spans="1:12" x14ac:dyDescent="0.25">
      <c r="A30" s="5"/>
      <c r="B30" s="5"/>
      <c r="C30" s="5"/>
      <c r="D30" s="5"/>
      <c r="E30" s="5"/>
      <c r="F30" s="5"/>
      <c r="G30" s="5"/>
      <c r="H30" s="16"/>
      <c r="I30" s="5"/>
      <c r="J30" s="5"/>
      <c r="K30" s="5"/>
    </row>
  </sheetData>
  <mergeCells count="3">
    <mergeCell ref="B2:J2"/>
    <mergeCell ref="B3:J3"/>
    <mergeCell ref="B27:D2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2588-DA92-4B38-969C-F938D61EDE81}">
  <sheetPr codeName="Hoja76"/>
  <dimension ref="A1:N46"/>
  <sheetViews>
    <sheetView workbookViewId="0">
      <selection activeCell="E11" sqref="E11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5.85546875" style="1" customWidth="1"/>
    <col min="5" max="5" width="15.28515625" style="1" customWidth="1"/>
    <col min="6" max="6" width="15.7109375" style="1" customWidth="1"/>
    <col min="7" max="7" width="14.85546875" style="1" customWidth="1"/>
    <col min="8" max="8" width="14" style="1" customWidth="1"/>
    <col min="9" max="9" width="10.140625" style="1" customWidth="1"/>
    <col min="10" max="10" width="29.5703125" style="1" customWidth="1"/>
    <col min="11" max="11" width="5" style="1" customWidth="1"/>
    <col min="12" max="14" width="12.42578125" style="1" bestFit="1" customWidth="1"/>
    <col min="15" max="16384" width="11.42578125" style="1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3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3" x14ac:dyDescent="0.25">
      <c r="A5" s="5"/>
      <c r="B5" s="7"/>
      <c r="C5" s="8" t="s">
        <v>49</v>
      </c>
      <c r="D5" s="5" t="s">
        <v>188</v>
      </c>
      <c r="E5" s="9"/>
      <c r="F5" s="9"/>
      <c r="G5" s="9"/>
      <c r="H5" s="9"/>
      <c r="I5" s="9"/>
      <c r="J5" s="9"/>
      <c r="K5" s="5"/>
    </row>
    <row r="6" spans="1:13" x14ac:dyDescent="0.25">
      <c r="A6" s="5"/>
      <c r="B6" s="7"/>
      <c r="C6" s="8" t="s">
        <v>45</v>
      </c>
      <c r="D6" s="98"/>
      <c r="E6" s="9"/>
      <c r="F6" s="9"/>
      <c r="G6" s="9"/>
      <c r="H6" s="9"/>
      <c r="I6" s="9"/>
      <c r="J6" s="9"/>
      <c r="K6" s="5"/>
    </row>
    <row r="7" spans="1:13" x14ac:dyDescent="0.25">
      <c r="A7" s="5"/>
      <c r="B7" s="7"/>
      <c r="C7" s="8" t="s">
        <v>48</v>
      </c>
      <c r="D7" s="5" t="s">
        <v>99</v>
      </c>
      <c r="E7" s="9"/>
      <c r="F7" s="9"/>
      <c r="G7" s="9"/>
      <c r="H7" s="9"/>
      <c r="I7" s="9"/>
      <c r="J7" s="9"/>
      <c r="K7" s="5"/>
    </row>
    <row r="8" spans="1:13" x14ac:dyDescent="0.25">
      <c r="A8" s="5"/>
      <c r="B8" s="7"/>
      <c r="C8" s="8" t="s">
        <v>47</v>
      </c>
      <c r="D8" s="16" t="s">
        <v>91</v>
      </c>
      <c r="E8" s="9"/>
      <c r="F8" s="9"/>
      <c r="G8" s="9"/>
      <c r="H8" s="9"/>
      <c r="I8" s="9"/>
      <c r="J8" s="9"/>
      <c r="K8" s="5"/>
    </row>
    <row r="9" spans="1:13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3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3" x14ac:dyDescent="0.25">
      <c r="A11" s="5"/>
      <c r="B11" s="14">
        <v>250524</v>
      </c>
      <c r="C11" s="14">
        <v>1769</v>
      </c>
      <c r="D11" s="22">
        <v>45805</v>
      </c>
      <c r="E11" s="12">
        <v>169400</v>
      </c>
      <c r="F11" s="12">
        <v>169400</v>
      </c>
      <c r="G11" s="22">
        <v>45784</v>
      </c>
      <c r="H11" s="12">
        <v>0</v>
      </c>
      <c r="I11" s="10"/>
      <c r="J11" s="46" t="s">
        <v>189</v>
      </c>
      <c r="K11" s="5"/>
      <c r="M11" s="49">
        <f>SUM(F11)</f>
        <v>169400</v>
      </c>
    </row>
    <row r="12" spans="1:13" x14ac:dyDescent="0.25">
      <c r="A12" s="5"/>
      <c r="B12" s="14"/>
      <c r="C12" s="14"/>
      <c r="D12" s="22"/>
      <c r="E12" s="12"/>
      <c r="F12" s="12"/>
      <c r="G12" s="11"/>
      <c r="H12" s="80">
        <f>+H11+E12-F12</f>
        <v>0</v>
      </c>
      <c r="I12" s="10"/>
      <c r="J12" s="10"/>
      <c r="K12" s="5"/>
    </row>
    <row r="13" spans="1:13" x14ac:dyDescent="0.25">
      <c r="A13" s="5"/>
      <c r="B13" s="14"/>
      <c r="C13" s="14"/>
      <c r="D13" s="22"/>
      <c r="E13" s="12"/>
      <c r="F13" s="12"/>
      <c r="G13" s="11"/>
      <c r="H13" s="12">
        <f t="shared" ref="H13:H14" si="0">+H12+E13-F13</f>
        <v>0</v>
      </c>
      <c r="I13" s="10"/>
      <c r="J13" s="46"/>
      <c r="K13" s="5"/>
    </row>
    <row r="14" spans="1:13" x14ac:dyDescent="0.25">
      <c r="A14" s="5"/>
      <c r="B14" s="14"/>
      <c r="C14" s="14"/>
      <c r="D14" s="22"/>
      <c r="E14" s="12"/>
      <c r="F14" s="12"/>
      <c r="G14" s="11"/>
      <c r="H14" s="12">
        <f t="shared" si="0"/>
        <v>0</v>
      </c>
      <c r="I14" s="10"/>
      <c r="J14" s="46"/>
      <c r="K14" s="5"/>
    </row>
    <row r="15" spans="1:13" x14ac:dyDescent="0.25">
      <c r="A15" s="5"/>
      <c r="B15" s="123"/>
      <c r="C15" s="123"/>
      <c r="D15" s="124"/>
      <c r="E15" s="75"/>
      <c r="F15" s="75"/>
      <c r="G15" s="76"/>
      <c r="H15" s="12">
        <f>+H14+E15-F15</f>
        <v>0</v>
      </c>
      <c r="I15" s="10"/>
      <c r="J15" s="150"/>
      <c r="K15" s="5"/>
    </row>
    <row r="16" spans="1:13" x14ac:dyDescent="0.25">
      <c r="A16" s="5"/>
      <c r="B16" s="123"/>
      <c r="C16" s="123"/>
      <c r="D16" s="124"/>
      <c r="E16" s="75"/>
      <c r="F16" s="75"/>
      <c r="G16" s="76"/>
      <c r="H16" s="12">
        <f t="shared" ref="H16:H24" si="1">+H15+E16-F16</f>
        <v>0</v>
      </c>
      <c r="I16" s="10"/>
      <c r="J16" s="10"/>
      <c r="K16" s="5"/>
      <c r="L16" s="49"/>
    </row>
    <row r="17" spans="1:14" x14ac:dyDescent="0.25">
      <c r="A17" s="5"/>
      <c r="B17" s="123"/>
      <c r="C17" s="123"/>
      <c r="D17" s="124"/>
      <c r="E17" s="75"/>
      <c r="F17" s="75"/>
      <c r="G17" s="76"/>
      <c r="H17" s="12">
        <f t="shared" si="1"/>
        <v>0</v>
      </c>
      <c r="I17" s="10"/>
      <c r="J17" s="21"/>
      <c r="K17" s="5"/>
    </row>
    <row r="18" spans="1:14" x14ac:dyDescent="0.25">
      <c r="A18" s="5"/>
      <c r="B18" s="123"/>
      <c r="C18" s="123"/>
      <c r="D18" s="124"/>
      <c r="E18" s="75"/>
      <c r="F18" s="75"/>
      <c r="G18" s="76"/>
      <c r="H18" s="12">
        <f t="shared" si="1"/>
        <v>0</v>
      </c>
      <c r="I18" s="10"/>
      <c r="J18" s="125"/>
      <c r="K18" s="5"/>
      <c r="M18" s="49"/>
      <c r="N18" s="49"/>
    </row>
    <row r="19" spans="1:14" x14ac:dyDescent="0.25">
      <c r="A19" s="5"/>
      <c r="B19" s="123"/>
      <c r="C19" s="123"/>
      <c r="D19" s="124"/>
      <c r="E19" s="75"/>
      <c r="F19" s="75"/>
      <c r="G19" s="76"/>
      <c r="H19" s="12">
        <f t="shared" si="1"/>
        <v>0</v>
      </c>
      <c r="I19" s="10"/>
      <c r="J19" s="21"/>
      <c r="K19" s="5"/>
    </row>
    <row r="20" spans="1:14" x14ac:dyDescent="0.25">
      <c r="A20" s="5"/>
      <c r="B20" s="123"/>
      <c r="C20" s="123"/>
      <c r="D20" s="124"/>
      <c r="E20" s="75"/>
      <c r="F20" s="75"/>
      <c r="G20" s="76"/>
      <c r="H20" s="12">
        <f>+H19+E20-F20</f>
        <v>0</v>
      </c>
      <c r="I20" s="10"/>
      <c r="J20" s="15"/>
      <c r="K20" s="5"/>
    </row>
    <row r="21" spans="1:14" x14ac:dyDescent="0.25">
      <c r="A21" s="5"/>
      <c r="B21" s="123"/>
      <c r="C21" s="123"/>
      <c r="D21" s="124"/>
      <c r="E21" s="75"/>
      <c r="F21" s="75"/>
      <c r="G21" s="76"/>
      <c r="H21" s="12">
        <f>+H20+E21-F21</f>
        <v>0</v>
      </c>
      <c r="I21" s="10"/>
      <c r="J21" s="10"/>
      <c r="K21" s="5"/>
    </row>
    <row r="22" spans="1:14" x14ac:dyDescent="0.25">
      <c r="A22" s="5"/>
      <c r="B22" s="123"/>
      <c r="C22" s="123"/>
      <c r="D22" s="124"/>
      <c r="E22" s="75"/>
      <c r="F22" s="75"/>
      <c r="G22" s="76"/>
      <c r="H22" s="12">
        <f>+H21+E22-F22</f>
        <v>0</v>
      </c>
      <c r="I22" s="10"/>
      <c r="J22" s="10"/>
      <c r="K22" s="5"/>
    </row>
    <row r="23" spans="1:14" x14ac:dyDescent="0.25">
      <c r="A23" s="5"/>
      <c r="B23" s="123"/>
      <c r="C23" s="123"/>
      <c r="D23" s="124"/>
      <c r="E23" s="75"/>
      <c r="F23" s="75"/>
      <c r="G23" s="76"/>
      <c r="H23" s="12">
        <f t="shared" si="1"/>
        <v>0</v>
      </c>
      <c r="I23" s="10"/>
      <c r="J23" s="10"/>
      <c r="K23" s="5"/>
      <c r="L23" s="49"/>
    </row>
    <row r="24" spans="1:14" x14ac:dyDescent="0.25">
      <c r="A24" s="5"/>
      <c r="B24" s="123"/>
      <c r="C24" s="123"/>
      <c r="D24" s="124"/>
      <c r="E24" s="75"/>
      <c r="F24" s="75"/>
      <c r="G24" s="76"/>
      <c r="H24" s="12">
        <f t="shared" si="1"/>
        <v>0</v>
      </c>
      <c r="I24" s="10"/>
      <c r="J24" s="10"/>
      <c r="K24" s="5"/>
      <c r="M24" s="49"/>
    </row>
    <row r="25" spans="1:14" x14ac:dyDescent="0.25">
      <c r="A25" s="5"/>
      <c r="B25" s="123"/>
      <c r="C25" s="123"/>
      <c r="D25" s="124"/>
      <c r="E25" s="75"/>
      <c r="F25" s="75"/>
      <c r="G25" s="76"/>
      <c r="H25" s="12">
        <f>+H24+E25-F25</f>
        <v>0</v>
      </c>
      <c r="I25" s="10"/>
      <c r="J25" s="10"/>
      <c r="K25" s="5"/>
    </row>
    <row r="26" spans="1:14" x14ac:dyDescent="0.25">
      <c r="A26" s="5"/>
      <c r="B26" s="123"/>
      <c r="C26" s="123"/>
      <c r="D26" s="124"/>
      <c r="E26" s="75"/>
      <c r="F26" s="75"/>
      <c r="G26" s="76"/>
      <c r="H26" s="12">
        <f t="shared" ref="H26:H32" si="2">+H25+E26-F26</f>
        <v>0</v>
      </c>
      <c r="I26" s="10"/>
      <c r="J26" s="10"/>
      <c r="K26" s="5"/>
      <c r="M26" s="49"/>
    </row>
    <row r="27" spans="1:14" x14ac:dyDescent="0.25">
      <c r="A27" s="5"/>
      <c r="B27" s="123"/>
      <c r="C27" s="123"/>
      <c r="D27" s="124"/>
      <c r="E27" s="75"/>
      <c r="F27" s="75"/>
      <c r="G27" s="76"/>
      <c r="H27" s="12">
        <f t="shared" si="2"/>
        <v>0</v>
      </c>
      <c r="I27" s="10"/>
      <c r="J27" s="10"/>
      <c r="K27" s="5"/>
    </row>
    <row r="28" spans="1:14" x14ac:dyDescent="0.25">
      <c r="A28" s="5"/>
      <c r="B28" s="123"/>
      <c r="C28" s="123"/>
      <c r="D28" s="124"/>
      <c r="E28" s="75"/>
      <c r="F28" s="75"/>
      <c r="G28" s="76"/>
      <c r="H28" s="12">
        <f t="shared" si="2"/>
        <v>0</v>
      </c>
      <c r="I28" s="10"/>
      <c r="J28" s="10"/>
      <c r="K28" s="5"/>
      <c r="M28" s="49"/>
    </row>
    <row r="29" spans="1:14" x14ac:dyDescent="0.25">
      <c r="A29" s="5"/>
      <c r="B29" s="123"/>
      <c r="C29" s="123"/>
      <c r="D29" s="124"/>
      <c r="E29" s="75"/>
      <c r="F29" s="75"/>
      <c r="G29" s="76"/>
      <c r="H29" s="12">
        <f t="shared" si="2"/>
        <v>0</v>
      </c>
      <c r="I29" s="10"/>
      <c r="J29" s="10"/>
      <c r="K29" s="5"/>
    </row>
    <row r="30" spans="1:14" x14ac:dyDescent="0.25">
      <c r="A30" s="5"/>
      <c r="B30" s="123"/>
      <c r="C30" s="123"/>
      <c r="D30" s="124"/>
      <c r="E30" s="75"/>
      <c r="F30" s="75"/>
      <c r="G30" s="76"/>
      <c r="H30" s="12">
        <f t="shared" si="2"/>
        <v>0</v>
      </c>
      <c r="I30" s="10"/>
      <c r="J30" s="10"/>
      <c r="K30" s="5"/>
    </row>
    <row r="31" spans="1:14" x14ac:dyDescent="0.25">
      <c r="A31" s="5"/>
      <c r="B31" s="123"/>
      <c r="C31" s="123"/>
      <c r="D31" s="124"/>
      <c r="E31" s="75"/>
      <c r="F31" s="75"/>
      <c r="G31" s="76"/>
      <c r="H31" s="12">
        <f t="shared" si="2"/>
        <v>0</v>
      </c>
      <c r="I31" s="10"/>
      <c r="J31" s="10"/>
      <c r="K31" s="5"/>
    </row>
    <row r="32" spans="1:14" x14ac:dyDescent="0.25">
      <c r="A32" s="5"/>
      <c r="B32" s="123"/>
      <c r="C32" s="123"/>
      <c r="D32" s="124"/>
      <c r="E32" s="75"/>
      <c r="F32" s="75"/>
      <c r="G32" s="76"/>
      <c r="H32" s="12">
        <f t="shared" si="2"/>
        <v>0</v>
      </c>
      <c r="I32" s="10"/>
      <c r="J32" s="10"/>
      <c r="K32" s="5"/>
    </row>
    <row r="33" spans="1:11" ht="16.5" thickBot="1" x14ac:dyDescent="0.3">
      <c r="A33" s="5"/>
      <c r="B33" s="23"/>
      <c r="C33" s="23"/>
      <c r="D33" s="24"/>
      <c r="E33" s="19"/>
      <c r="F33" s="12"/>
      <c r="G33" s="11"/>
      <c r="H33" s="27">
        <f>+H30+E33-F33</f>
        <v>0</v>
      </c>
      <c r="I33" s="10"/>
      <c r="J33" s="10"/>
      <c r="K33" s="5"/>
    </row>
    <row r="34" spans="1:11" ht="17.25" thickTop="1" thickBot="1" x14ac:dyDescent="0.3">
      <c r="A34" s="5"/>
      <c r="B34" s="268" t="s">
        <v>55</v>
      </c>
      <c r="C34" s="268"/>
      <c r="D34" s="268"/>
      <c r="E34" s="20">
        <f>SUM(E11:E33)</f>
        <v>169400</v>
      </c>
      <c r="F34" s="25">
        <f>SUM(F11:F33)</f>
        <v>169400</v>
      </c>
      <c r="G34" s="5"/>
      <c r="H34" s="5"/>
      <c r="I34" s="5"/>
      <c r="J34" s="5"/>
      <c r="K34" s="5"/>
    </row>
    <row r="35" spans="1:11" ht="16.5" thickBot="1" x14ac:dyDescent="0.3">
      <c r="A35" s="5"/>
      <c r="B35" s="5"/>
      <c r="C35" s="5"/>
      <c r="D35" s="5"/>
      <c r="E35" s="5"/>
      <c r="F35" s="26">
        <f>+E34-F34</f>
        <v>0</v>
      </c>
      <c r="G35" s="5"/>
      <c r="H35" s="5"/>
      <c r="I35" s="5"/>
      <c r="J35" s="5"/>
      <c r="K35" s="5"/>
    </row>
    <row r="36" spans="1:11" x14ac:dyDescent="0.25">
      <c r="A36" s="5"/>
      <c r="B36" s="5"/>
      <c r="C36" s="5"/>
      <c r="D36" s="5"/>
      <c r="E36" s="5"/>
      <c r="F36" s="5"/>
      <c r="G36" s="5"/>
      <c r="H36" s="16"/>
      <c r="I36" s="16"/>
      <c r="J36" s="5"/>
      <c r="K36" s="5"/>
    </row>
    <row r="37" spans="1:11" x14ac:dyDescent="0.25">
      <c r="A37" s="5"/>
      <c r="B37" s="5"/>
      <c r="C37" s="5"/>
      <c r="D37" s="5"/>
      <c r="E37" s="5"/>
      <c r="F37" s="5"/>
      <c r="G37" s="5"/>
      <c r="H37" s="16"/>
      <c r="I37" s="5"/>
      <c r="J37" s="5"/>
      <c r="K37" s="5"/>
    </row>
    <row r="43" spans="1:11" x14ac:dyDescent="0.25">
      <c r="H43" s="1">
        <v>1476.25</v>
      </c>
    </row>
    <row r="44" spans="1:11" x14ac:dyDescent="0.25">
      <c r="H44" s="1">
        <v>1016.74</v>
      </c>
    </row>
    <row r="45" spans="1:11" x14ac:dyDescent="0.25">
      <c r="H45" s="1">
        <v>1880.95</v>
      </c>
    </row>
    <row r="46" spans="1:11" x14ac:dyDescent="0.25">
      <c r="H46" s="1">
        <f>SUM(H43:H45)</f>
        <v>4373.9399999999996</v>
      </c>
      <c r="I46" s="1">
        <v>6.96</v>
      </c>
      <c r="J46" s="1">
        <f>+H46*I46</f>
        <v>30442.622399999997</v>
      </c>
    </row>
  </sheetData>
  <mergeCells count="3">
    <mergeCell ref="B2:J2"/>
    <mergeCell ref="B3:J3"/>
    <mergeCell ref="B34:D3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28FB-6FA3-4196-BC2B-13A1EB230F82}">
  <sheetPr codeName="Hoja77"/>
  <dimension ref="A1:N46"/>
  <sheetViews>
    <sheetView topLeftCell="C4" workbookViewId="0">
      <selection activeCell="G16" sqref="G16"/>
    </sheetView>
  </sheetViews>
  <sheetFormatPr baseColWidth="10" defaultColWidth="11.42578125" defaultRowHeight="15.75" x14ac:dyDescent="0.25"/>
  <cols>
    <col min="1" max="1" width="5" style="1" customWidth="1"/>
    <col min="2" max="2" width="12.140625" style="1" customWidth="1"/>
    <col min="3" max="3" width="13.140625" style="1" customWidth="1"/>
    <col min="4" max="4" width="15.85546875" style="1" customWidth="1"/>
    <col min="5" max="5" width="15.28515625" style="1" customWidth="1"/>
    <col min="6" max="6" width="15.7109375" style="1" customWidth="1"/>
    <col min="7" max="7" width="14.85546875" style="1" customWidth="1"/>
    <col min="8" max="8" width="14" style="1" customWidth="1"/>
    <col min="9" max="9" width="10.140625" style="1" customWidth="1"/>
    <col min="10" max="10" width="29.5703125" style="1" customWidth="1"/>
    <col min="11" max="11" width="5" style="1" customWidth="1"/>
    <col min="12" max="14" width="12.42578125" style="1" bestFit="1" customWidth="1"/>
    <col min="15" max="16384" width="11.42578125" style="1"/>
  </cols>
  <sheetData>
    <row r="1" spans="1:12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ht="24.75" customHeight="1" x14ac:dyDescent="0.25">
      <c r="A2" s="5"/>
      <c r="B2" s="267" t="s">
        <v>41</v>
      </c>
      <c r="C2" s="267"/>
      <c r="D2" s="267"/>
      <c r="E2" s="267"/>
      <c r="F2" s="267"/>
      <c r="G2" s="267"/>
      <c r="H2" s="267"/>
      <c r="I2" s="267"/>
      <c r="J2" s="267"/>
      <c r="K2" s="5"/>
    </row>
    <row r="3" spans="1:12" ht="24.75" customHeight="1" x14ac:dyDescent="0.25">
      <c r="A3" s="5"/>
      <c r="B3" s="267" t="s">
        <v>170</v>
      </c>
      <c r="C3" s="267"/>
      <c r="D3" s="267"/>
      <c r="E3" s="267"/>
      <c r="F3" s="267"/>
      <c r="G3" s="267"/>
      <c r="H3" s="267"/>
      <c r="I3" s="267"/>
      <c r="J3" s="267"/>
      <c r="K3" s="5"/>
    </row>
    <row r="4" spans="1:12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2" x14ac:dyDescent="0.25">
      <c r="A5" s="5"/>
      <c r="B5" s="7"/>
      <c r="C5" s="8" t="s">
        <v>49</v>
      </c>
      <c r="D5" s="5" t="s">
        <v>190</v>
      </c>
      <c r="E5" s="9"/>
      <c r="F5" s="9"/>
      <c r="G5" s="9"/>
      <c r="H5" s="9"/>
      <c r="I5" s="9"/>
      <c r="J5" s="9"/>
      <c r="K5" s="5"/>
    </row>
    <row r="6" spans="1:12" x14ac:dyDescent="0.25">
      <c r="A6" s="5"/>
      <c r="B6" s="7"/>
      <c r="C6" s="8" t="s">
        <v>45</v>
      </c>
      <c r="D6" s="98"/>
      <c r="E6" s="9"/>
      <c r="F6" s="9"/>
      <c r="G6" s="9"/>
      <c r="H6" s="9"/>
      <c r="I6" s="9"/>
      <c r="J6" s="9"/>
      <c r="K6" s="5"/>
    </row>
    <row r="7" spans="1:12" x14ac:dyDescent="0.25">
      <c r="A7" s="5"/>
      <c r="B7" s="7"/>
      <c r="C7" s="8" t="s">
        <v>48</v>
      </c>
      <c r="D7" s="5" t="s">
        <v>99</v>
      </c>
      <c r="E7" s="9"/>
      <c r="F7" s="9"/>
      <c r="G7" s="9"/>
      <c r="H7" s="9"/>
      <c r="I7" s="9"/>
      <c r="J7" s="9"/>
      <c r="K7" s="5"/>
    </row>
    <row r="8" spans="1:12" x14ac:dyDescent="0.25">
      <c r="A8" s="5"/>
      <c r="B8" s="7"/>
      <c r="C8" s="8" t="s">
        <v>47</v>
      </c>
      <c r="D8" s="16" t="s">
        <v>91</v>
      </c>
      <c r="E8" s="9"/>
      <c r="F8" s="9"/>
      <c r="G8" s="9"/>
      <c r="H8" s="9"/>
      <c r="I8" s="9"/>
      <c r="J8" s="9"/>
      <c r="K8" s="5"/>
    </row>
    <row r="9" spans="1:12" x14ac:dyDescent="0.25">
      <c r="A9" s="5"/>
      <c r="B9" s="9"/>
      <c r="C9" s="9"/>
      <c r="D9" s="9"/>
      <c r="E9" s="9"/>
      <c r="F9" s="9"/>
      <c r="G9" s="9"/>
      <c r="H9" s="9"/>
      <c r="I9" s="9"/>
      <c r="J9" s="9"/>
      <c r="K9" s="5"/>
    </row>
    <row r="10" spans="1:12" s="2" customFormat="1" ht="42" customHeight="1" x14ac:dyDescent="0.25">
      <c r="A10" s="6"/>
      <c r="B10" s="3" t="s">
        <v>0</v>
      </c>
      <c r="C10" s="3" t="s">
        <v>38</v>
      </c>
      <c r="D10" s="3" t="s">
        <v>43</v>
      </c>
      <c r="E10" s="3" t="s">
        <v>44</v>
      </c>
      <c r="F10" s="4" t="s">
        <v>36</v>
      </c>
      <c r="G10" s="4" t="s">
        <v>37</v>
      </c>
      <c r="H10" s="3" t="s">
        <v>46</v>
      </c>
      <c r="I10" s="3" t="s">
        <v>3</v>
      </c>
      <c r="J10" s="3" t="s">
        <v>4</v>
      </c>
      <c r="K10" s="6"/>
    </row>
    <row r="11" spans="1:12" ht="31.5" x14ac:dyDescent="0.25">
      <c r="A11" s="5"/>
      <c r="B11" s="14">
        <v>250515</v>
      </c>
      <c r="C11" s="14">
        <v>1762</v>
      </c>
      <c r="D11" s="22">
        <v>45798</v>
      </c>
      <c r="E11" s="12">
        <v>165733.48000000001</v>
      </c>
      <c r="F11" s="12">
        <v>165733.48000000001</v>
      </c>
      <c r="G11" s="76">
        <v>45783</v>
      </c>
      <c r="H11" s="12">
        <v>0</v>
      </c>
      <c r="I11" s="10"/>
      <c r="J11" s="173" t="s">
        <v>191</v>
      </c>
      <c r="K11" s="5"/>
    </row>
    <row r="12" spans="1:12" ht="32.25" thickBot="1" x14ac:dyDescent="0.3">
      <c r="A12" s="5"/>
      <c r="B12" s="83"/>
      <c r="C12" s="83"/>
      <c r="D12" s="84"/>
      <c r="E12" s="85"/>
      <c r="F12" s="85">
        <f>702.68*11</f>
        <v>7729.48</v>
      </c>
      <c r="G12" s="171">
        <v>45803</v>
      </c>
      <c r="H12" s="85">
        <f>+H11+E12-F12</f>
        <v>-7729.48</v>
      </c>
      <c r="I12" s="87"/>
      <c r="J12" s="176" t="s">
        <v>192</v>
      </c>
      <c r="K12" s="5"/>
      <c r="L12" s="49">
        <f>SUM(F11:F12)</f>
        <v>173462.96000000002</v>
      </c>
    </row>
    <row r="13" spans="1:12" ht="16.5" thickTop="1" x14ac:dyDescent="0.25">
      <c r="A13" s="5"/>
      <c r="B13" s="118"/>
      <c r="C13" s="118"/>
      <c r="D13" s="117"/>
      <c r="E13" s="80"/>
      <c r="F13" s="80">
        <v>-7729.48</v>
      </c>
      <c r="G13" s="167">
        <v>45845</v>
      </c>
      <c r="H13" s="80">
        <f t="shared" ref="H13:H14" si="0">+H12+E13-F13</f>
        <v>0</v>
      </c>
      <c r="I13" s="82"/>
      <c r="J13" s="149" t="s">
        <v>206</v>
      </c>
      <c r="K13" s="5"/>
    </row>
    <row r="14" spans="1:12" x14ac:dyDescent="0.25">
      <c r="A14" s="5"/>
      <c r="B14" s="14"/>
      <c r="C14" s="14"/>
      <c r="D14" s="22"/>
      <c r="E14" s="12"/>
      <c r="F14" s="12"/>
      <c r="G14" s="76"/>
      <c r="H14" s="12">
        <f t="shared" si="0"/>
        <v>0</v>
      </c>
      <c r="I14" s="10"/>
      <c r="J14" s="46"/>
      <c r="K14" s="5"/>
    </row>
    <row r="15" spans="1:12" x14ac:dyDescent="0.25">
      <c r="A15" s="5"/>
      <c r="B15" s="123"/>
      <c r="C15" s="123"/>
      <c r="D15" s="124"/>
      <c r="E15" s="75"/>
      <c r="F15" s="75"/>
      <c r="G15" s="76"/>
      <c r="H15" s="12">
        <f>+H14+E15-F15</f>
        <v>0</v>
      </c>
      <c r="I15" s="10"/>
      <c r="J15" s="150"/>
      <c r="K15" s="5"/>
    </row>
    <row r="16" spans="1:12" x14ac:dyDescent="0.25">
      <c r="A16" s="5"/>
      <c r="B16" s="123"/>
      <c r="C16" s="123"/>
      <c r="D16" s="124"/>
      <c r="E16" s="75"/>
      <c r="F16" s="75"/>
      <c r="G16" s="76"/>
      <c r="H16" s="12">
        <f t="shared" ref="H16:H24" si="1">+H15+E16-F16</f>
        <v>0</v>
      </c>
      <c r="I16" s="10"/>
      <c r="J16" s="10"/>
      <c r="K16" s="5"/>
      <c r="L16" s="49"/>
    </row>
    <row r="17" spans="1:14" x14ac:dyDescent="0.25">
      <c r="A17" s="5"/>
      <c r="B17" s="123"/>
      <c r="C17" s="123"/>
      <c r="D17" s="124"/>
      <c r="E17" s="75"/>
      <c r="F17" s="75"/>
      <c r="G17" s="76"/>
      <c r="H17" s="12">
        <f t="shared" si="1"/>
        <v>0</v>
      </c>
      <c r="I17" s="10"/>
      <c r="J17" s="21"/>
      <c r="K17" s="5"/>
    </row>
    <row r="18" spans="1:14" x14ac:dyDescent="0.25">
      <c r="A18" s="5"/>
      <c r="B18" s="123"/>
      <c r="C18" s="123"/>
      <c r="D18" s="124"/>
      <c r="E18" s="75"/>
      <c r="F18" s="75"/>
      <c r="G18" s="76"/>
      <c r="H18" s="12">
        <f t="shared" si="1"/>
        <v>0</v>
      </c>
      <c r="I18" s="10"/>
      <c r="J18" s="125"/>
      <c r="K18" s="5"/>
      <c r="M18" s="49"/>
      <c r="N18" s="49"/>
    </row>
    <row r="19" spans="1:14" x14ac:dyDescent="0.25">
      <c r="A19" s="5"/>
      <c r="B19" s="123"/>
      <c r="C19" s="123"/>
      <c r="D19" s="124"/>
      <c r="E19" s="75"/>
      <c r="F19" s="75"/>
      <c r="G19" s="76"/>
      <c r="H19" s="12">
        <f t="shared" si="1"/>
        <v>0</v>
      </c>
      <c r="I19" s="10"/>
      <c r="J19" s="21"/>
      <c r="K19" s="5"/>
    </row>
    <row r="20" spans="1:14" x14ac:dyDescent="0.25">
      <c r="A20" s="5"/>
      <c r="B20" s="123"/>
      <c r="C20" s="123"/>
      <c r="D20" s="124"/>
      <c r="E20" s="75"/>
      <c r="F20" s="75"/>
      <c r="G20" s="76"/>
      <c r="H20" s="12">
        <f>+H19+E20-F20</f>
        <v>0</v>
      </c>
      <c r="I20" s="10"/>
      <c r="J20" s="15"/>
      <c r="K20" s="5"/>
    </row>
    <row r="21" spans="1:14" x14ac:dyDescent="0.25">
      <c r="A21" s="5"/>
      <c r="B21" s="123"/>
      <c r="C21" s="123"/>
      <c r="D21" s="124"/>
      <c r="E21" s="75"/>
      <c r="F21" s="75"/>
      <c r="G21" s="76"/>
      <c r="H21" s="12">
        <f>+H20+E21-F21</f>
        <v>0</v>
      </c>
      <c r="I21" s="10"/>
      <c r="J21" s="10"/>
      <c r="K21" s="5"/>
    </row>
    <row r="22" spans="1:14" x14ac:dyDescent="0.25">
      <c r="A22" s="5"/>
      <c r="B22" s="123"/>
      <c r="C22" s="123"/>
      <c r="D22" s="124"/>
      <c r="E22" s="75"/>
      <c r="F22" s="75"/>
      <c r="G22" s="76"/>
      <c r="H22" s="12">
        <f>+H21+E22-F22</f>
        <v>0</v>
      </c>
      <c r="I22" s="10"/>
      <c r="J22" s="10"/>
      <c r="K22" s="5"/>
    </row>
    <row r="23" spans="1:14" x14ac:dyDescent="0.25">
      <c r="A23" s="5"/>
      <c r="B23" s="123"/>
      <c r="C23" s="123"/>
      <c r="D23" s="124"/>
      <c r="E23" s="75"/>
      <c r="F23" s="75"/>
      <c r="G23" s="76"/>
      <c r="H23" s="12">
        <f t="shared" si="1"/>
        <v>0</v>
      </c>
      <c r="I23" s="10"/>
      <c r="J23" s="10"/>
      <c r="K23" s="5"/>
      <c r="L23" s="49"/>
    </row>
    <row r="24" spans="1:14" x14ac:dyDescent="0.25">
      <c r="A24" s="5"/>
      <c r="B24" s="123"/>
      <c r="C24" s="123"/>
      <c r="D24" s="124"/>
      <c r="E24" s="75"/>
      <c r="F24" s="75"/>
      <c r="G24" s="76"/>
      <c r="H24" s="12">
        <f t="shared" si="1"/>
        <v>0</v>
      </c>
      <c r="I24" s="10"/>
      <c r="J24" s="10"/>
      <c r="K24" s="5"/>
      <c r="M24" s="49"/>
    </row>
    <row r="25" spans="1:14" x14ac:dyDescent="0.25">
      <c r="A25" s="5"/>
      <c r="B25" s="123"/>
      <c r="C25" s="123"/>
      <c r="D25" s="124"/>
      <c r="E25" s="75"/>
      <c r="F25" s="75"/>
      <c r="G25" s="76"/>
      <c r="H25" s="12">
        <f>+H24+E25-F25</f>
        <v>0</v>
      </c>
      <c r="I25" s="10"/>
      <c r="J25" s="10"/>
      <c r="K25" s="5"/>
    </row>
    <row r="26" spans="1:14" x14ac:dyDescent="0.25">
      <c r="A26" s="5"/>
      <c r="B26" s="123"/>
      <c r="C26" s="123"/>
      <c r="D26" s="124"/>
      <c r="E26" s="75"/>
      <c r="F26" s="75"/>
      <c r="G26" s="76"/>
      <c r="H26" s="12">
        <f t="shared" ref="H26:H32" si="2">+H25+E26-F26</f>
        <v>0</v>
      </c>
      <c r="I26" s="10"/>
      <c r="J26" s="10"/>
      <c r="K26" s="5"/>
      <c r="M26" s="49"/>
    </row>
    <row r="27" spans="1:14" x14ac:dyDescent="0.25">
      <c r="A27" s="5"/>
      <c r="B27" s="123"/>
      <c r="C27" s="123"/>
      <c r="D27" s="124"/>
      <c r="E27" s="75"/>
      <c r="F27" s="75"/>
      <c r="G27" s="76"/>
      <c r="H27" s="12">
        <f t="shared" si="2"/>
        <v>0</v>
      </c>
      <c r="I27" s="10"/>
      <c r="J27" s="10"/>
      <c r="K27" s="5"/>
    </row>
    <row r="28" spans="1:14" x14ac:dyDescent="0.25">
      <c r="A28" s="5"/>
      <c r="B28" s="123"/>
      <c r="C28" s="123"/>
      <c r="D28" s="124"/>
      <c r="E28" s="75"/>
      <c r="F28" s="75"/>
      <c r="G28" s="76"/>
      <c r="H28" s="12">
        <f t="shared" si="2"/>
        <v>0</v>
      </c>
      <c r="I28" s="10"/>
      <c r="J28" s="10"/>
      <c r="K28" s="5"/>
      <c r="M28" s="49"/>
    </row>
    <row r="29" spans="1:14" x14ac:dyDescent="0.25">
      <c r="A29" s="5"/>
      <c r="B29" s="123"/>
      <c r="C29" s="123"/>
      <c r="D29" s="124"/>
      <c r="E29" s="75"/>
      <c r="F29" s="75"/>
      <c r="G29" s="76"/>
      <c r="H29" s="12">
        <f t="shared" si="2"/>
        <v>0</v>
      </c>
      <c r="I29" s="10"/>
      <c r="J29" s="10"/>
      <c r="K29" s="5"/>
    </row>
    <row r="30" spans="1:14" x14ac:dyDescent="0.25">
      <c r="A30" s="5"/>
      <c r="B30" s="123"/>
      <c r="C30" s="123"/>
      <c r="D30" s="124"/>
      <c r="E30" s="75"/>
      <c r="F30" s="75"/>
      <c r="G30" s="76"/>
      <c r="H30" s="12">
        <f t="shared" si="2"/>
        <v>0</v>
      </c>
      <c r="I30" s="10"/>
      <c r="J30" s="10"/>
      <c r="K30" s="5"/>
    </row>
    <row r="31" spans="1:14" x14ac:dyDescent="0.25">
      <c r="A31" s="5"/>
      <c r="B31" s="123"/>
      <c r="C31" s="123"/>
      <c r="D31" s="124"/>
      <c r="E31" s="75"/>
      <c r="F31" s="75"/>
      <c r="G31" s="76"/>
      <c r="H31" s="12">
        <f t="shared" si="2"/>
        <v>0</v>
      </c>
      <c r="I31" s="10"/>
      <c r="J31" s="10"/>
      <c r="K31" s="5"/>
    </row>
    <row r="32" spans="1:14" x14ac:dyDescent="0.25">
      <c r="A32" s="5"/>
      <c r="B32" s="123"/>
      <c r="C32" s="123"/>
      <c r="D32" s="124"/>
      <c r="E32" s="75"/>
      <c r="F32" s="75"/>
      <c r="G32" s="76"/>
      <c r="H32" s="12">
        <f t="shared" si="2"/>
        <v>0</v>
      </c>
      <c r="I32" s="10"/>
      <c r="J32" s="10"/>
      <c r="K32" s="5"/>
    </row>
    <row r="33" spans="1:11" ht="16.5" thickBot="1" x14ac:dyDescent="0.3">
      <c r="A33" s="5"/>
      <c r="B33" s="23"/>
      <c r="C33" s="23"/>
      <c r="D33" s="24"/>
      <c r="E33" s="19"/>
      <c r="F33" s="12"/>
      <c r="G33" s="11"/>
      <c r="H33" s="27">
        <f>+H30+E33-F33</f>
        <v>0</v>
      </c>
      <c r="I33" s="10"/>
      <c r="J33" s="10"/>
      <c r="K33" s="5"/>
    </row>
    <row r="34" spans="1:11" ht="17.25" thickTop="1" thickBot="1" x14ac:dyDescent="0.3">
      <c r="A34" s="5"/>
      <c r="B34" s="268" t="s">
        <v>55</v>
      </c>
      <c r="C34" s="268"/>
      <c r="D34" s="268"/>
      <c r="E34" s="20">
        <f>SUM(E11:E33)</f>
        <v>165733.48000000001</v>
      </c>
      <c r="F34" s="25">
        <f>SUM(F11:F33)</f>
        <v>165733.48000000001</v>
      </c>
      <c r="G34" s="5"/>
      <c r="H34" s="5"/>
      <c r="I34" s="5"/>
      <c r="J34" s="5"/>
      <c r="K34" s="5"/>
    </row>
    <row r="35" spans="1:11" ht="16.5" thickBot="1" x14ac:dyDescent="0.3">
      <c r="A35" s="5"/>
      <c r="B35" s="5"/>
      <c r="C35" s="5"/>
      <c r="D35" s="5"/>
      <c r="E35" s="5"/>
      <c r="F35" s="26">
        <f>+E34-F34</f>
        <v>0</v>
      </c>
      <c r="G35" s="5"/>
      <c r="H35" s="5"/>
      <c r="I35" s="5"/>
      <c r="J35" s="5"/>
      <c r="K35" s="5"/>
    </row>
    <row r="36" spans="1:11" x14ac:dyDescent="0.25">
      <c r="A36" s="5"/>
      <c r="B36" s="5"/>
      <c r="C36" s="5"/>
      <c r="D36" s="5"/>
      <c r="E36" s="5"/>
      <c r="F36" s="5"/>
      <c r="G36" s="5"/>
      <c r="H36" s="16"/>
      <c r="I36" s="16"/>
      <c r="J36" s="5"/>
      <c r="K36" s="5"/>
    </row>
    <row r="37" spans="1:11" x14ac:dyDescent="0.25">
      <c r="A37" s="5"/>
      <c r="B37" s="5"/>
      <c r="C37" s="5"/>
      <c r="D37" s="5"/>
      <c r="E37" s="5"/>
      <c r="F37" s="5"/>
      <c r="G37" s="5"/>
      <c r="H37" s="16"/>
      <c r="I37" s="5"/>
      <c r="J37" s="5"/>
      <c r="K37" s="5"/>
    </row>
    <row r="43" spans="1:11" x14ac:dyDescent="0.25">
      <c r="H43" s="1">
        <v>1476.25</v>
      </c>
    </row>
    <row r="44" spans="1:11" x14ac:dyDescent="0.25">
      <c r="H44" s="1">
        <v>1016.74</v>
      </c>
    </row>
    <row r="45" spans="1:11" x14ac:dyDescent="0.25">
      <c r="H45" s="1">
        <v>1880.95</v>
      </c>
    </row>
    <row r="46" spans="1:11" x14ac:dyDescent="0.25">
      <c r="H46" s="1">
        <f>SUM(H43:H45)</f>
        <v>4373.9399999999996</v>
      </c>
      <c r="I46" s="1">
        <v>6.96</v>
      </c>
      <c r="J46" s="1">
        <f>+H46*I46</f>
        <v>30442.622399999997</v>
      </c>
    </row>
  </sheetData>
  <mergeCells count="3">
    <mergeCell ref="B2:J2"/>
    <mergeCell ref="B3:J3"/>
    <mergeCell ref="B34:D34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65</vt:i4>
      </vt:variant>
      <vt:variant>
        <vt:lpstr>Rangos con nombre</vt:lpstr>
      </vt:variant>
      <vt:variant>
        <vt:i4>19</vt:i4>
      </vt:variant>
    </vt:vector>
  </HeadingPairs>
  <TitlesOfParts>
    <vt:vector size="84" baseType="lpstr">
      <vt:lpstr>1</vt:lpstr>
      <vt:lpstr>2</vt:lpstr>
      <vt:lpstr>RECAU. JULIO 2025</vt:lpstr>
      <vt:lpstr>3-Fausto C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RECAU. ABRIL 2025</vt:lpstr>
      <vt:lpstr>RECAU. MAYO 2025</vt:lpstr>
      <vt:lpstr>RECAU. JUNIO 2025</vt:lpstr>
      <vt:lpstr>EMAPA</vt:lpstr>
      <vt:lpstr>RECAU. AGOSTO 2025</vt:lpstr>
      <vt:lpstr>CXC</vt:lpstr>
      <vt:lpstr>RECAU. Diciembre 2025</vt:lpstr>
      <vt:lpstr>RECAU. ENERO 2026</vt:lpstr>
      <vt:lpstr>RECAU. FEBRERO 2026</vt:lpstr>
      <vt:lpstr>GAMS</vt:lpstr>
      <vt:lpstr>Gustavo Tellez</vt:lpstr>
      <vt:lpstr>Ambulante EDUARDO</vt:lpstr>
      <vt:lpstr>Oscar G. Paceña SUCRE</vt:lpstr>
      <vt:lpstr>Supermencado SAS</vt:lpstr>
      <vt:lpstr>SOLAR Supermercado</vt:lpstr>
      <vt:lpstr>LIDER Supermercado</vt:lpstr>
      <vt:lpstr>MERCAMAX SRL</vt:lpstr>
      <vt:lpstr>FARMACIA SAN AGUSTIN</vt:lpstr>
      <vt:lpstr>Supermercado POMPEYA</vt:lpstr>
      <vt:lpstr>RECAU. Noviembre</vt:lpstr>
      <vt:lpstr>RUTH ZARATE</vt:lpstr>
      <vt:lpstr>Cristhian Murillo</vt:lpstr>
      <vt:lpstr>Sebastian Miranda</vt:lpstr>
      <vt:lpstr>Norha Choque</vt:lpstr>
      <vt:lpstr>Marlene Paicho</vt:lpstr>
      <vt:lpstr>Orlando Aldunate</vt:lpstr>
      <vt:lpstr>Pulperia USFX</vt:lpstr>
      <vt:lpstr>RECAU. SEPT 2025</vt:lpstr>
      <vt:lpstr>Rene Cahuana</vt:lpstr>
      <vt:lpstr>Yobana - Chapare</vt:lpstr>
      <vt:lpstr>Kevin - Oruro</vt:lpstr>
      <vt:lpstr>Ines A - Villazon</vt:lpstr>
      <vt:lpstr>Hernan - Pisiga</vt:lpstr>
      <vt:lpstr>Freddy - Oruro</vt:lpstr>
      <vt:lpstr>Gabriela - Pando</vt:lpstr>
      <vt:lpstr>Sergio  - Sucre</vt:lpstr>
      <vt:lpstr>David Choque - Katerine</vt:lpstr>
      <vt:lpstr>RECAU. OCT 2025</vt:lpstr>
      <vt:lpstr>Patricia Romero</vt:lpstr>
      <vt:lpstr>Miguel Calle</vt:lpstr>
      <vt:lpstr>Silvia Gomez</vt:lpstr>
      <vt:lpstr>Jorge - Hector La Paz</vt:lpstr>
      <vt:lpstr>Paul Yamani</vt:lpstr>
      <vt:lpstr>GRUPO ULTRA STA CRUZ</vt:lpstr>
      <vt:lpstr>YOELMA</vt:lpstr>
      <vt:lpstr>LINA CARACOLLO</vt:lpstr>
      <vt:lpstr>RUTH CARANAVI</vt:lpstr>
      <vt:lpstr>ALEJANDRO CHILE</vt:lpstr>
      <vt:lpstr>SANDRA CHILE</vt:lpstr>
      <vt:lpstr>'13'!Área_de_impresión</vt:lpstr>
      <vt:lpstr>'3-Fausto C'!Área_de_impresión</vt:lpstr>
      <vt:lpstr>'Ambulante EDUARDO'!Área_de_impresión</vt:lpstr>
      <vt:lpstr>'Cristhian Murillo'!Área_de_impresión</vt:lpstr>
      <vt:lpstr>'FARMACIA SAN AGUSTIN'!Área_de_impresión</vt:lpstr>
      <vt:lpstr>'GRUPO ULTRA STA CRUZ'!Área_de_impresión</vt:lpstr>
      <vt:lpstr>'Gustavo Tellez'!Área_de_impresión</vt:lpstr>
      <vt:lpstr>'LIDER Supermercado'!Área_de_impresión</vt:lpstr>
      <vt:lpstr>'Marlene Paicho'!Área_de_impresión</vt:lpstr>
      <vt:lpstr>'MERCAMAX SRL'!Área_de_impresión</vt:lpstr>
      <vt:lpstr>'Norha Choque'!Área_de_impresión</vt:lpstr>
      <vt:lpstr>'Oscar G. Paceña SUCRE'!Área_de_impresión</vt:lpstr>
      <vt:lpstr>'Pulperia USFX'!Área_de_impresión</vt:lpstr>
      <vt:lpstr>'RUTH ZARATE'!Área_de_impresión</vt:lpstr>
      <vt:lpstr>'Sebastian Miranda'!Área_de_impresión</vt:lpstr>
      <vt:lpstr>'SOLAR Supermercado'!Área_de_impresión</vt:lpstr>
      <vt:lpstr>'Supermencado SAS'!Área_de_impresión</vt:lpstr>
      <vt:lpstr>'Supermercado POMPEYA'!Área_de_impresión</vt:lpstr>
      <vt:lpstr>'Cristhian Murillo'!Títulos_a_imprimir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FATEC TECHNOLOGY</cp:lastModifiedBy>
  <cp:lastPrinted>2026-09-09T15:17:20Z</cp:lastPrinted>
  <dcterms:created xsi:type="dcterms:W3CDTF">2023-05-03T11:51:41Z</dcterms:created>
  <dcterms:modified xsi:type="dcterms:W3CDTF">2026-09-25T13:54:13Z</dcterms:modified>
</cp:coreProperties>
</file>