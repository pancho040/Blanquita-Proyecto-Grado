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Shema Asociados SRL\1_GESTION 09-2023\CAJA CHICA\DETALLE DE CAJA 2025-2026\"/>
    </mc:Choice>
  </mc:AlternateContent>
  <xr:revisionPtr revIDLastSave="0" documentId="13_ncr:1_{8196C6A4-DC61-4A6F-A299-2F1F809F5237}" xr6:coauthVersionLast="47" xr6:coauthVersionMax="47" xr10:uidLastSave="{00000000-0000-0000-0000-000000000000}"/>
  <bookViews>
    <workbookView xWindow="-120" yWindow="-120" windowWidth="20730" windowHeight="11160" tabRatio="926" firstSheet="1" activeTab="1" xr2:uid="{00000000-000D-0000-FFFF-FFFF00000000}"/>
  </bookViews>
  <sheets>
    <sheet name="Diciembre 25" sheetId="16" state="hidden" r:id="rId1"/>
    <sheet name="AGOSTO 26 " sheetId="21" r:id="rId2"/>
    <sheet name="GLOBAL" sheetId="9" state="hidden" r:id="rId3"/>
    <sheet name="ARQUEO DE CAJA" sheetId="15" state="hidden" r:id="rId4"/>
    <sheet name="Hoja1" sheetId="12" state="hidden" r:id="rId5"/>
  </sheets>
  <externalReferences>
    <externalReference r:id="rId6"/>
  </externalReferences>
  <definedNames>
    <definedName name="_xlnm._FilterDatabase" localSheetId="1" hidden="1">'AGOSTO 26 '!$A$6:$AJ$40</definedName>
    <definedName name="_xlnm._FilterDatabase" localSheetId="0" hidden="1">'Diciembre 25'!$A$6:$AJ$143</definedName>
    <definedName name="_xlnm.Print_Area" localSheetId="1">'AGOSTO 26 '!$B$1:$AK$37</definedName>
    <definedName name="_xlnm.Print_Area" localSheetId="3">'ARQUEO DE CAJA'!$A$2:$I$46</definedName>
    <definedName name="_xlnm.Print_Area" localSheetId="0">'Diciembre 25'!$B$1:$AK$143</definedName>
    <definedName name="_xlnm.Print_Area" localSheetId="4">Hoja1!$A$2:$J$26</definedName>
    <definedName name="_xlnm.Print_Titles" localSheetId="1">'AGOSTO 26 '!$6:$6</definedName>
    <definedName name="_xlnm.Print_Titles" localSheetId="0">'Diciembre 25'!$6:$6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36" i="21" l="1"/>
  <c r="AL36" i="21"/>
  <c r="AK36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I36" i="21"/>
  <c r="AN35" i="21"/>
  <c r="AN30" i="21"/>
  <c r="AN29" i="21"/>
  <c r="AN27" i="21"/>
  <c r="AN26" i="21"/>
  <c r="AN22" i="21"/>
  <c r="AN21" i="21"/>
  <c r="AN19" i="21"/>
  <c r="AN18" i="21"/>
  <c r="AN16" i="21"/>
  <c r="AN15" i="21"/>
  <c r="AN12" i="21"/>
  <c r="I141" i="16" l="1"/>
  <c r="I129" i="16" l="1"/>
  <c r="I156" i="16" l="1"/>
  <c r="M159" i="16"/>
  <c r="I160" i="16" l="1"/>
  <c r="I26" i="16"/>
  <c r="I21" i="16" l="1"/>
  <c r="I13" i="16" l="1"/>
  <c r="B8" i="16" l="1"/>
  <c r="B9" i="16" s="1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3" i="16" s="1"/>
  <c r="B24" i="16" s="1"/>
  <c r="B26" i="16" s="1"/>
  <c r="B27" i="16" s="1"/>
  <c r="B28" i="16" s="1"/>
  <c r="B29" i="16" s="1"/>
  <c r="B30" i="16" s="1"/>
  <c r="B31" i="16" s="1"/>
  <c r="B32" i="16" s="1"/>
  <c r="B33" i="16" s="1"/>
  <c r="B34" i="16" s="1"/>
  <c r="B35" i="16" s="1"/>
  <c r="B36" i="16" s="1"/>
  <c r="B37" i="16" s="1"/>
  <c r="B38" i="16" s="1"/>
  <c r="B39" i="16" s="1"/>
  <c r="AK142" i="16"/>
  <c r="AJ142" i="16"/>
  <c r="AI142" i="16"/>
  <c r="AH142" i="16"/>
  <c r="AG142" i="16"/>
  <c r="AF142" i="16"/>
  <c r="AE142" i="16"/>
  <c r="AD142" i="16"/>
  <c r="AC142" i="16"/>
  <c r="AB142" i="16"/>
  <c r="AA142" i="16"/>
  <c r="Z142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I142" i="16"/>
  <c r="B40" i="16" l="1"/>
  <c r="B41" i="16" s="1"/>
  <c r="B42" i="16" s="1"/>
  <c r="B43" i="16" s="1"/>
  <c r="B44" i="16" s="1"/>
  <c r="B45" i="16" s="1"/>
  <c r="B46" i="16" s="1"/>
  <c r="B47" i="16" s="1"/>
  <c r="B48" i="16" s="1"/>
  <c r="B49" i="16" s="1"/>
  <c r="J145" i="16"/>
  <c r="B50" i="16" l="1"/>
  <c r="B51" i="16" s="1"/>
  <c r="B52" i="16" s="1"/>
  <c r="B53" i="16" s="1"/>
  <c r="B54" i="16" l="1"/>
  <c r="B55" i="16" s="1"/>
  <c r="B56" i="16" s="1"/>
  <c r="B57" i="16" s="1"/>
  <c r="B58" i="16" s="1"/>
  <c r="B59" i="16" s="1"/>
  <c r="B60" i="16" s="1"/>
  <c r="B61" i="16" s="1"/>
  <c r="B62" i="16" s="1"/>
  <c r="B63" i="16" s="1"/>
  <c r="B64" i="16" s="1"/>
  <c r="B65" i="16" s="1"/>
  <c r="B66" i="16" l="1"/>
  <c r="B67" i="16" s="1"/>
  <c r="B68" i="16" s="1"/>
  <c r="B69" i="16" s="1"/>
  <c r="B70" i="16" s="1"/>
  <c r="B71" i="16" s="1"/>
  <c r="B72" i="16" s="1"/>
  <c r="B73" i="16" s="1"/>
  <c r="B74" i="16" l="1"/>
  <c r="B75" i="16" s="1"/>
  <c r="B76" i="16" s="1"/>
  <c r="B77" i="16" l="1"/>
  <c r="B78" i="16" s="1"/>
  <c r="B79" i="16" s="1"/>
  <c r="B80" i="16" s="1"/>
  <c r="B81" i="16" s="1"/>
  <c r="B82" i="16" s="1"/>
  <c r="B83" i="16" s="1"/>
  <c r="B84" i="16" s="1"/>
  <c r="B85" i="16" s="1"/>
  <c r="B86" i="16" s="1"/>
  <c r="B87" i="16" s="1"/>
  <c r="B88" i="16" s="1"/>
  <c r="B89" i="16" l="1"/>
  <c r="B90" i="16" s="1"/>
  <c r="B91" i="16" s="1"/>
  <c r="B92" i="16" s="1"/>
  <c r="B93" i="16" s="1"/>
  <c r="B94" i="16" s="1"/>
  <c r="B95" i="16" s="1"/>
  <c r="B96" i="16" s="1"/>
  <c r="B97" i="16" s="1"/>
  <c r="B98" i="16" s="1"/>
  <c r="B99" i="16" s="1"/>
  <c r="B100" i="16" s="1"/>
  <c r="B101" i="16" s="1"/>
  <c r="B102" i="16" l="1"/>
  <c r="B103" i="16" s="1"/>
  <c r="B104" i="16" s="1"/>
  <c r="B105" i="16" s="1"/>
  <c r="B106" i="16" s="1"/>
  <c r="B107" i="16" l="1"/>
  <c r="B108" i="16" s="1"/>
  <c r="B109" i="16" s="1"/>
  <c r="B110" i="16" s="1"/>
  <c r="B111" i="16" s="1"/>
  <c r="B112" i="16" s="1"/>
  <c r="B113" i="16" s="1"/>
  <c r="B114" i="16" l="1"/>
  <c r="B115" i="16" s="1"/>
  <c r="B116" i="16" s="1"/>
  <c r="B117" i="16" l="1"/>
  <c r="B118" i="16" s="1"/>
  <c r="B119" i="16" s="1"/>
  <c r="B120" i="16" s="1"/>
  <c r="B121" i="16" l="1"/>
  <c r="B122" i="16" s="1"/>
  <c r="B123" i="16" s="1"/>
  <c r="B124" i="16" s="1"/>
  <c r="B125" i="16" s="1"/>
  <c r="B126" i="16" s="1"/>
  <c r="B127" i="16" s="1"/>
  <c r="B128" i="16" s="1"/>
  <c r="B129" i="16" s="1"/>
  <c r="B130" i="16" s="1"/>
  <c r="B131" i="16" s="1"/>
  <c r="B132" i="16" s="1"/>
  <c r="B133" i="16" s="1"/>
  <c r="B134" i="16" s="1"/>
  <c r="B135" i="16" s="1"/>
  <c r="B136" i="16" l="1"/>
  <c r="B137" i="16" s="1"/>
  <c r="B138" i="16" s="1"/>
  <c r="B139" i="16" s="1"/>
  <c r="B140" i="16" s="1"/>
  <c r="B141" i="16" s="1"/>
  <c r="O7" i="9" l="1"/>
  <c r="O13" i="9" l="1"/>
  <c r="O14" i="9"/>
  <c r="O12" i="9"/>
  <c r="O4" i="9"/>
  <c r="G22" i="15" l="1"/>
  <c r="G18" i="15"/>
  <c r="H18" i="15" s="1"/>
  <c r="G21" i="15"/>
  <c r="G20" i="15"/>
  <c r="H20" i="15" s="1"/>
  <c r="G19" i="15"/>
  <c r="H19" i="15" s="1"/>
  <c r="D23" i="15"/>
  <c r="H22" i="15"/>
  <c r="D22" i="15"/>
  <c r="H21" i="15"/>
  <c r="D21" i="15"/>
  <c r="D20" i="15"/>
  <c r="D19" i="15"/>
  <c r="D18" i="15"/>
  <c r="E13" i="15"/>
  <c r="E12" i="15"/>
  <c r="E11" i="15"/>
  <c r="D8" i="15"/>
  <c r="E14" i="15" l="1"/>
  <c r="E34" i="15" s="1"/>
  <c r="D24" i="15"/>
  <c r="E28" i="15" s="1"/>
  <c r="H23" i="15"/>
  <c r="E27" i="15" l="1"/>
  <c r="E29" i="15" s="1"/>
  <c r="E33" i="15" s="1"/>
  <c r="E35" i="15" s="1"/>
  <c r="H25" i="15"/>
  <c r="N47" i="9" l="1"/>
  <c r="N37" i="9"/>
  <c r="N35" i="9"/>
  <c r="N30" i="9"/>
  <c r="N15" i="9"/>
  <c r="N43" i="9"/>
  <c r="N40" i="9"/>
  <c r="N26" i="9"/>
  <c r="N16" i="9" l="1"/>
  <c r="N17" i="9"/>
  <c r="N23" i="9"/>
  <c r="N24" i="9"/>
  <c r="N27" i="9"/>
  <c r="N41" i="9"/>
  <c r="N29" i="9"/>
  <c r="N39" i="9"/>
  <c r="N49" i="9" l="1"/>
  <c r="M46" i="9"/>
  <c r="M43" i="9"/>
  <c r="M40" i="9"/>
  <c r="M39" i="9"/>
  <c r="M31" i="9"/>
  <c r="M15" i="9"/>
  <c r="M16" i="9"/>
  <c r="M29" i="9"/>
  <c r="M35" i="9"/>
  <c r="M27" i="9"/>
  <c r="M34" i="9"/>
  <c r="M26" i="9"/>
  <c r="M17" i="9" l="1"/>
  <c r="M41" i="9"/>
  <c r="M24" i="9" l="1"/>
  <c r="L45" i="9"/>
  <c r="L42" i="9"/>
  <c r="L34" i="9"/>
  <c r="L15" i="9"/>
  <c r="L30" i="9"/>
  <c r="L29" i="9"/>
  <c r="L35" i="9"/>
  <c r="L37" i="9"/>
  <c r="L16" i="9" l="1"/>
  <c r="L17" i="9" s="1"/>
  <c r="L23" i="9"/>
  <c r="L24" i="9"/>
  <c r="L27" i="9"/>
  <c r="L26" i="9"/>
  <c r="L41" i="9"/>
  <c r="L49" i="9" l="1"/>
  <c r="K48" i="9" l="1"/>
  <c r="O48" i="9" s="1"/>
  <c r="K29" i="9"/>
  <c r="K35" i="9"/>
  <c r="K39" i="9"/>
  <c r="K37" i="9"/>
  <c r="K15" i="9"/>
  <c r="K25" i="9"/>
  <c r="K28" i="9"/>
  <c r="K31" i="9"/>
  <c r="K32" i="9"/>
  <c r="K33" i="9"/>
  <c r="K34" i="9"/>
  <c r="K36" i="9"/>
  <c r="K38" i="9"/>
  <c r="K40" i="9"/>
  <c r="K42" i="9"/>
  <c r="K43" i="9"/>
  <c r="K44" i="9"/>
  <c r="K45" i="9"/>
  <c r="K46" i="9"/>
  <c r="K47" i="9"/>
  <c r="K16" i="9" l="1"/>
  <c r="K27" i="9"/>
  <c r="K26" i="9"/>
  <c r="K23" i="9" l="1"/>
  <c r="K30" i="9" l="1"/>
  <c r="K24" i="9" l="1"/>
  <c r="K41" i="9"/>
  <c r="E36" i="9"/>
  <c r="D35" i="9"/>
  <c r="D36" i="9"/>
  <c r="D37" i="9"/>
  <c r="C36" i="9"/>
  <c r="C37" i="9"/>
  <c r="K49" i="9" l="1"/>
  <c r="K17" i="9" l="1"/>
  <c r="J47" i="9" l="1"/>
  <c r="J45" i="9" l="1"/>
  <c r="J42" i="9"/>
  <c r="J40" i="9"/>
  <c r="J39" i="9"/>
  <c r="J38" i="9"/>
  <c r="J36" i="9"/>
  <c r="J35" i="9"/>
  <c r="J33" i="9"/>
  <c r="J31" i="9"/>
  <c r="J29" i="9"/>
  <c r="J25" i="9"/>
  <c r="J15" i="9"/>
  <c r="J16" i="9"/>
  <c r="J46" i="9"/>
  <c r="J44" i="9"/>
  <c r="J37" i="9"/>
  <c r="J43" i="9"/>
  <c r="J30" i="9"/>
  <c r="J41" i="9"/>
  <c r="J34" i="9"/>
  <c r="I25" i="9"/>
  <c r="I29" i="9"/>
  <c r="I31" i="9"/>
  <c r="I32" i="9"/>
  <c r="I33" i="9"/>
  <c r="I35" i="9"/>
  <c r="I36" i="9"/>
  <c r="I38" i="9"/>
  <c r="I39" i="9"/>
  <c r="I40" i="9"/>
  <c r="I45" i="9"/>
  <c r="I15" i="9"/>
  <c r="I42" i="9"/>
  <c r="I43" i="9"/>
  <c r="I27" i="9"/>
  <c r="I26" i="9"/>
  <c r="I41" i="9"/>
  <c r="I34" i="9"/>
  <c r="H38" i="9"/>
  <c r="H15" i="9"/>
  <c r="H34" i="9"/>
  <c r="H29" i="9"/>
  <c r="H30" i="9"/>
  <c r="H31" i="9"/>
  <c r="H32" i="9"/>
  <c r="H33" i="9"/>
  <c r="H35" i="9"/>
  <c r="H36" i="9"/>
  <c r="H37" i="9"/>
  <c r="H39" i="9"/>
  <c r="H42" i="9"/>
  <c r="H43" i="9"/>
  <c r="H44" i="9"/>
  <c r="H45" i="9"/>
  <c r="H46" i="9"/>
  <c r="G25" i="9"/>
  <c r="G31" i="9"/>
  <c r="G32" i="9"/>
  <c r="G34" i="9"/>
  <c r="G35" i="9"/>
  <c r="G36" i="9"/>
  <c r="G38" i="9"/>
  <c r="G39" i="9"/>
  <c r="G42" i="9"/>
  <c r="G43" i="9"/>
  <c r="G44" i="9"/>
  <c r="G45" i="9"/>
  <c r="G46" i="9"/>
  <c r="H16" i="9" l="1"/>
  <c r="O40" i="9"/>
  <c r="I16" i="9"/>
  <c r="I17" i="9" s="1"/>
  <c r="O31" i="9"/>
  <c r="J23" i="9"/>
  <c r="J17" i="9"/>
  <c r="H24" i="9"/>
  <c r="G16" i="9"/>
  <c r="H17" i="9"/>
  <c r="G24" i="9"/>
  <c r="H23" i="9"/>
  <c r="G33" i="9"/>
  <c r="G15" i="9"/>
  <c r="I24" i="9"/>
  <c r="G37" i="9"/>
  <c r="I44" i="9"/>
  <c r="G26" i="9"/>
  <c r="J32" i="9"/>
  <c r="G28" i="9"/>
  <c r="G29" i="9"/>
  <c r="G41" i="9"/>
  <c r="G27" i="9"/>
  <c r="I37" i="9"/>
  <c r="I46" i="9"/>
  <c r="J27" i="9"/>
  <c r="J28" i="9"/>
  <c r="J26" i="9"/>
  <c r="J24" i="9"/>
  <c r="I23" i="9"/>
  <c r="H41" i="9"/>
  <c r="H26" i="9"/>
  <c r="J49" i="9" l="1"/>
  <c r="G17" i="9"/>
  <c r="F43" i="9"/>
  <c r="F44" i="9"/>
  <c r="F45" i="9"/>
  <c r="F25" i="9"/>
  <c r="F33" i="9"/>
  <c r="F34" i="9"/>
  <c r="F35" i="9"/>
  <c r="F37" i="9"/>
  <c r="F38" i="9"/>
  <c r="F29" i="9"/>
  <c r="F15" i="9"/>
  <c r="F32" i="9"/>
  <c r="F42" i="9"/>
  <c r="E24" i="9"/>
  <c r="E25" i="9"/>
  <c r="E26" i="9"/>
  <c r="E29" i="9"/>
  <c r="E30" i="9"/>
  <c r="E32" i="9"/>
  <c r="E33" i="9"/>
  <c r="E34" i="9"/>
  <c r="E37" i="9"/>
  <c r="E39" i="9"/>
  <c r="E44" i="9"/>
  <c r="E45" i="9"/>
  <c r="E38" i="9"/>
  <c r="E35" i="9"/>
  <c r="D24" i="9"/>
  <c r="D26" i="9"/>
  <c r="D27" i="9"/>
  <c r="D29" i="9"/>
  <c r="D32" i="9"/>
  <c r="D33" i="9"/>
  <c r="D34" i="9"/>
  <c r="D38" i="9"/>
  <c r="D39" i="9"/>
  <c r="D47" i="9"/>
  <c r="O47" i="9" s="1"/>
  <c r="D45" i="9"/>
  <c r="D46" i="9"/>
  <c r="O46" i="9" s="1"/>
  <c r="D43" i="9"/>
  <c r="D15" i="9"/>
  <c r="D41" i="9"/>
  <c r="D42" i="9"/>
  <c r="C27" i="9"/>
  <c r="C29" i="9"/>
  <c r="C32" i="9"/>
  <c r="O32" i="9" s="1"/>
  <c r="C38" i="9"/>
  <c r="C39" i="9"/>
  <c r="C42" i="9"/>
  <c r="C44" i="9"/>
  <c r="C45" i="9"/>
  <c r="C41" i="9"/>
  <c r="C34" i="9"/>
  <c r="E42" i="9"/>
  <c r="D30" i="9"/>
  <c r="F39" i="9" l="1"/>
  <c r="O43" i="9"/>
  <c r="E27" i="9"/>
  <c r="D44" i="9"/>
  <c r="O44" i="9"/>
  <c r="O29" i="9"/>
  <c r="O45" i="9"/>
  <c r="O38" i="9"/>
  <c r="O37" i="9"/>
  <c r="O34" i="9"/>
  <c r="O42" i="9"/>
  <c r="O39" i="9"/>
  <c r="F16" i="9"/>
  <c r="F17" i="9" s="1"/>
  <c r="D49" i="9"/>
  <c r="E41" i="9"/>
  <c r="E49" i="9" s="1"/>
  <c r="E15" i="9"/>
  <c r="F27" i="9"/>
  <c r="E16" i="9"/>
  <c r="C33" i="9"/>
  <c r="O33" i="9" s="1"/>
  <c r="C26" i="9"/>
  <c r="C15" i="9"/>
  <c r="F24" i="9"/>
  <c r="C24" i="9" l="1"/>
  <c r="O24" i="9" s="1"/>
  <c r="O15" i="9"/>
  <c r="C16" i="9"/>
  <c r="D16" i="9"/>
  <c r="D17" i="9" s="1"/>
  <c r="E17" i="9"/>
  <c r="O16" i="9" l="1"/>
  <c r="O17" i="9" s="1"/>
  <c r="C17" i="9"/>
  <c r="C5" i="9" l="1"/>
  <c r="C35" i="9" l="1"/>
  <c r="O35" i="9" s="1"/>
  <c r="C6" i="9"/>
  <c r="I28" i="9" l="1"/>
  <c r="D5" i="9"/>
  <c r="C30" i="9"/>
  <c r="C49" i="9" l="1"/>
  <c r="D6" i="9"/>
  <c r="E5" i="9"/>
  <c r="E6" i="9" s="1"/>
  <c r="I30" i="9"/>
  <c r="I49" i="9" s="1"/>
  <c r="H27" i="9" l="1"/>
  <c r="O27" i="9" s="1"/>
  <c r="H28" i="9" l="1"/>
  <c r="O28" i="9" s="1"/>
  <c r="H25" i="9" l="1"/>
  <c r="O25" i="9" s="1"/>
  <c r="H49" i="9" l="1"/>
  <c r="G30" i="9" l="1"/>
  <c r="G49" i="9" s="1"/>
  <c r="F36" i="9" l="1"/>
  <c r="O36" i="9" s="1"/>
  <c r="F41" i="9"/>
  <c r="O41" i="9" s="1"/>
  <c r="F30" i="9"/>
  <c r="O30" i="9" s="1"/>
  <c r="F26" i="9"/>
  <c r="O26" i="9" s="1"/>
  <c r="F49" i="9" l="1"/>
  <c r="F5" i="9" l="1"/>
  <c r="F6" i="9" l="1"/>
  <c r="G5" i="9" l="1"/>
  <c r="G6" i="9" s="1"/>
  <c r="H5" i="9" l="1"/>
  <c r="H6" i="9"/>
  <c r="I5" i="9" l="1"/>
  <c r="I6" i="9" s="1"/>
  <c r="J5" i="9" l="1"/>
  <c r="J6" i="9" s="1"/>
  <c r="J7" i="16" l="1"/>
  <c r="J8" i="16" l="1"/>
  <c r="J9" i="16" s="1"/>
  <c r="J10" i="16" s="1"/>
  <c r="J11" i="16" s="1"/>
  <c r="J12" i="16" s="1"/>
  <c r="J13" i="16" s="1"/>
  <c r="J14" i="16" s="1"/>
  <c r="J15" i="16" s="1"/>
  <c r="J16" i="16" s="1"/>
  <c r="J17" i="16" s="1"/>
  <c r="J18" i="16" s="1"/>
  <c r="J19" i="16" s="1"/>
  <c r="J20" i="16" s="1"/>
  <c r="J21" i="16" s="1"/>
  <c r="K5" i="9"/>
  <c r="K6" i="9" s="1"/>
  <c r="J22" i="16" l="1"/>
  <c r="J23" i="16" s="1"/>
  <c r="J24" i="16" l="1"/>
  <c r="J25" i="16" s="1"/>
  <c r="J26" i="16" s="1"/>
  <c r="J27" i="16" s="1"/>
  <c r="J28" i="16" s="1"/>
  <c r="J29" i="16" s="1"/>
  <c r="J30" i="16" s="1"/>
  <c r="J31" i="16" s="1"/>
  <c r="J32" i="16" s="1"/>
  <c r="J33" i="16" s="1"/>
  <c r="J34" i="16" s="1"/>
  <c r="J35" i="16" s="1"/>
  <c r="J36" i="16" s="1"/>
  <c r="J37" i="16" s="1"/>
  <c r="J38" i="16" s="1"/>
  <c r="J39" i="16" l="1"/>
  <c r="J40" i="16" s="1"/>
  <c r="J41" i="16" s="1"/>
  <c r="J42" i="16" s="1"/>
  <c r="J43" i="16" s="1"/>
  <c r="J44" i="16" s="1"/>
  <c r="J45" i="16" s="1"/>
  <c r="J46" i="16" s="1"/>
  <c r="J47" i="16" s="1"/>
  <c r="J48" i="16" s="1"/>
  <c r="J49" i="16" s="1"/>
  <c r="J50" i="16" s="1"/>
  <c r="J51" i="16" s="1"/>
  <c r="J52" i="16" s="1"/>
  <c r="J53" i="16" s="1"/>
  <c r="J54" i="16" s="1"/>
  <c r="J55" i="16" s="1"/>
  <c r="J56" i="16" s="1"/>
  <c r="J57" i="16" s="1"/>
  <c r="J58" i="16" s="1"/>
  <c r="J59" i="16" s="1"/>
  <c r="J60" i="16" s="1"/>
  <c r="J61" i="16" s="1"/>
  <c r="J62" i="16" s="1"/>
  <c r="J63" i="16" s="1"/>
  <c r="J64" i="16" s="1"/>
  <c r="J65" i="16" s="1"/>
  <c r="J66" i="16" s="1"/>
  <c r="J67" i="16" s="1"/>
  <c r="J68" i="16" s="1"/>
  <c r="J69" i="16" s="1"/>
  <c r="J70" i="16" s="1"/>
  <c r="J71" i="16" s="1"/>
  <c r="J72" i="16" s="1"/>
  <c r="J73" i="16" s="1"/>
  <c r="J74" i="16" s="1"/>
  <c r="J75" i="16" s="1"/>
  <c r="J76" i="16" s="1"/>
  <c r="L5" i="9"/>
  <c r="L6" i="9" s="1"/>
  <c r="J77" i="16" l="1"/>
  <c r="J78" i="16" s="1"/>
  <c r="J79" i="16" s="1"/>
  <c r="J80" i="16" s="1"/>
  <c r="J81" i="16" s="1"/>
  <c r="J82" i="16" s="1"/>
  <c r="J83" i="16" s="1"/>
  <c r="J84" i="16" s="1"/>
  <c r="J85" i="16" s="1"/>
  <c r="J86" i="16" s="1"/>
  <c r="J87" i="16" s="1"/>
  <c r="J88" i="16" s="1"/>
  <c r="J89" i="16" s="1"/>
  <c r="J90" i="16" s="1"/>
  <c r="J91" i="16" s="1"/>
  <c r="J92" i="16" s="1"/>
  <c r="J93" i="16" s="1"/>
  <c r="J94" i="16" s="1"/>
  <c r="J95" i="16" s="1"/>
  <c r="J96" i="16" s="1"/>
  <c r="J97" i="16" s="1"/>
  <c r="J98" i="16" s="1"/>
  <c r="J99" i="16" s="1"/>
  <c r="J100" i="16" s="1"/>
  <c r="J101" i="16" s="1"/>
  <c r="J102" i="16" s="1"/>
  <c r="J103" i="16" s="1"/>
  <c r="J104" i="16" s="1"/>
  <c r="J105" i="16" s="1"/>
  <c r="J106" i="16" s="1"/>
  <c r="J107" i="16" s="1"/>
  <c r="J108" i="16" s="1"/>
  <c r="J109" i="16" s="1"/>
  <c r="J110" i="16" s="1"/>
  <c r="J111" i="16" s="1"/>
  <c r="J112" i="16" s="1"/>
  <c r="J113" i="16" s="1"/>
  <c r="J114" i="16" l="1"/>
  <c r="J115" i="16" s="1"/>
  <c r="J116" i="16" s="1"/>
  <c r="J117" i="16" s="1"/>
  <c r="J118" i="16" s="1"/>
  <c r="J119" i="16" s="1"/>
  <c r="J120" i="16" s="1"/>
  <c r="J121" i="16" s="1"/>
  <c r="J122" i="16" s="1"/>
  <c r="J123" i="16" s="1"/>
  <c r="J124" i="16" s="1"/>
  <c r="J125" i="16" s="1"/>
  <c r="J126" i="16" s="1"/>
  <c r="J127" i="16" s="1"/>
  <c r="J128" i="16" s="1"/>
  <c r="J129" i="16" s="1"/>
  <c r="J130" i="16" s="1"/>
  <c r="J131" i="16" s="1"/>
  <c r="J132" i="16" s="1"/>
  <c r="J133" i="16" s="1"/>
  <c r="J134" i="16" s="1"/>
  <c r="J135" i="16" s="1"/>
  <c r="J136" i="16" l="1"/>
  <c r="J137" i="16" s="1"/>
  <c r="J138" i="16" s="1"/>
  <c r="J139" i="16" s="1"/>
  <c r="J140" i="16" s="1"/>
  <c r="J141" i="16" s="1"/>
  <c r="M5" i="9"/>
  <c r="M6" i="9" s="1"/>
  <c r="H142" i="16" l="1"/>
  <c r="J142" i="16" l="1"/>
  <c r="J143" i="16" s="1"/>
  <c r="I157" i="16" s="1"/>
  <c r="N5" i="9" l="1"/>
  <c r="O5" i="9" s="1"/>
  <c r="O6" i="9" s="1"/>
  <c r="P52" i="9" l="1"/>
  <c r="N6" i="9"/>
  <c r="O9" i="9"/>
  <c r="P7" i="9"/>
  <c r="Q10" i="9" l="1"/>
  <c r="M23" i="9" l="1"/>
  <c r="M49" i="9" s="1"/>
  <c r="O23" i="9"/>
  <c r="O49" i="9" s="1"/>
  <c r="O51" i="9" s="1"/>
  <c r="P51" i="9" s="1"/>
  <c r="P53" i="9" s="1"/>
  <c r="H36" i="21" l="1"/>
  <c r="J36" i="21" s="1"/>
  <c r="J8" i="21"/>
  <c r="J9" i="21" s="1"/>
  <c r="J10" i="21" s="1"/>
  <c r="J11" i="21" s="1"/>
  <c r="J12" i="21" s="1"/>
  <c r="J13" i="21" s="1"/>
  <c r="J14" i="21" s="1"/>
  <c r="J15" i="21" s="1"/>
  <c r="J16" i="21" s="1"/>
  <c r="J17" i="21" s="1"/>
  <c r="J18" i="21" s="1"/>
  <c r="J19" i="21" s="1"/>
  <c r="J20" i="21" s="1"/>
  <c r="J21" i="21" s="1"/>
  <c r="J22" i="21" s="1"/>
  <c r="J23" i="21" s="1"/>
  <c r="J24" i="21" s="1"/>
  <c r="J25" i="21" s="1"/>
  <c r="J26" i="21" s="1"/>
  <c r="J27" i="21" s="1"/>
  <c r="J28" i="21" s="1"/>
  <c r="J29" i="21" s="1"/>
  <c r="J30" i="21" s="1"/>
  <c r="J31" i="21" s="1"/>
  <c r="J32" i="21" s="1"/>
  <c r="J33" i="21" s="1"/>
  <c r="J34" i="21" s="1"/>
  <c r="J35" i="21" s="1"/>
  <c r="J37" i="2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MELE PCG09</author>
  </authors>
  <commentList>
    <comment ref="E34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INGRESAR EL SALDO DE CAJA CONTABLE</t>
        </r>
      </text>
    </comment>
  </commentList>
</comments>
</file>

<file path=xl/sharedStrings.xml><?xml version="1.0" encoding="utf-8"?>
<sst xmlns="http://schemas.openxmlformats.org/spreadsheetml/2006/main" count="850" uniqueCount="474">
  <si>
    <t>FLUJO DE CAJA</t>
  </si>
  <si>
    <t>DEPOSITO</t>
  </si>
  <si>
    <t>Nº</t>
  </si>
  <si>
    <t xml:space="preserve">FECHA </t>
  </si>
  <si>
    <t>Nota Ingreso y salida de caja</t>
  </si>
  <si>
    <t>Solicitante</t>
  </si>
  <si>
    <t>DESCRIPCIÓN</t>
  </si>
  <si>
    <t>RESPALDO</t>
  </si>
  <si>
    <t>INGRESOS</t>
  </si>
  <si>
    <t>GASTOS</t>
  </si>
  <si>
    <t>SALDO</t>
  </si>
  <si>
    <t>BANCO UNION</t>
  </si>
  <si>
    <t>BANCO NACIONAL</t>
  </si>
  <si>
    <t>SALDO INICIAL</t>
  </si>
  <si>
    <t>TOTAL  CAJA</t>
  </si>
  <si>
    <t>SALDO CAJA</t>
  </si>
  <si>
    <t>Maria Limachi</t>
  </si>
  <si>
    <t>Ernesto Aguilar</t>
  </si>
  <si>
    <t>Gonzalo Mostacedo</t>
  </si>
  <si>
    <t>S/R</t>
  </si>
  <si>
    <t>DETALLE DE BILLETES</t>
  </si>
  <si>
    <t>CORTE</t>
  </si>
  <si>
    <t>CANTIDAD</t>
  </si>
  <si>
    <t>TOTAL</t>
  </si>
  <si>
    <t>OTROS</t>
  </si>
  <si>
    <t>Combustible y Lubricantes</t>
  </si>
  <si>
    <t>Flete y Transporte</t>
  </si>
  <si>
    <t>Te y Refrigerio</t>
  </si>
  <si>
    <t>Servicios Basicos</t>
  </si>
  <si>
    <t>Beneficios Sociales Finiquito</t>
  </si>
  <si>
    <t>Sueldos y Salarios</t>
  </si>
  <si>
    <t>Otros Gastos</t>
  </si>
  <si>
    <t>Repuestos y Accesorios</t>
  </si>
  <si>
    <t>Viaticos</t>
  </si>
  <si>
    <t>Courier</t>
  </si>
  <si>
    <t>Pasajes</t>
  </si>
  <si>
    <t>Encomiendas</t>
  </si>
  <si>
    <t>Tramites ministerio</t>
  </si>
  <si>
    <t>Matto. De maquinaria y equipo</t>
  </si>
  <si>
    <t>Matto. de Vehiculo</t>
  </si>
  <si>
    <t>Tramites GAMS</t>
  </si>
  <si>
    <t>Formularios de caja Cordes</t>
  </si>
  <si>
    <t>Compra de materiales</t>
  </si>
  <si>
    <t>Anticipo de Sueldos</t>
  </si>
  <si>
    <t>Material de limpieza</t>
  </si>
  <si>
    <t>GESTORA</t>
  </si>
  <si>
    <t>Material de escritorio</t>
  </si>
  <si>
    <t>Refrigerio pasantes</t>
  </si>
  <si>
    <t>Compra de dólar</t>
  </si>
  <si>
    <t>Fotocopias</t>
  </si>
  <si>
    <t>GASTO EN GENERAL</t>
  </si>
  <si>
    <t>Código</t>
  </si>
  <si>
    <t>Descripción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</si>
  <si>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</si>
  <si>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</si>
  <si>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</si>
  <si>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</si>
  <si>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</si>
  <si>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</si>
  <si>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</si>
  <si>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</si>
  <si>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</si>
  <si>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TOTALES</t>
  </si>
  <si>
    <t>CAJA</t>
  </si>
  <si>
    <r>
      <rPr>
        <sz val="9"/>
        <color rgb="FF000000"/>
        <rFont val="Century Gothic"/>
        <family val="2"/>
      </rPr>
      <t>Caja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Century Gothic"/>
        <family val="2"/>
      </rPr>
      <t>Moneda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Century Gothic"/>
        <family val="2"/>
      </rPr>
      <t>Nacional</t>
    </r>
  </si>
  <si>
    <t>BANCOS</t>
  </si>
  <si>
    <r>
      <rPr>
        <sz val="9"/>
        <color rgb="FF000000"/>
        <rFont val="Century Gothic"/>
        <family val="2"/>
      </rPr>
      <t>Banco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Century Gothic"/>
        <family val="2"/>
      </rPr>
      <t>Nacional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Century Gothic"/>
        <family val="2"/>
      </rPr>
      <t>de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Century Gothic"/>
        <family val="2"/>
      </rPr>
      <t>Bolivia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Century Gothic"/>
        <family val="2"/>
      </rPr>
      <t>S.A.</t>
    </r>
  </si>
  <si>
    <r>
      <rPr>
        <sz val="9"/>
        <color rgb="FF000000"/>
        <rFont val="Century Gothic"/>
        <family val="2"/>
      </rPr>
      <t>Banco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Century Gothic"/>
        <family val="2"/>
      </rPr>
      <t>Union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Century Gothic"/>
        <family val="2"/>
      </rPr>
      <t>S.A.</t>
    </r>
  </si>
  <si>
    <t>Ruth Carrillo</t>
  </si>
  <si>
    <t>SC241204</t>
  </si>
  <si>
    <t>Seguros
SOAT</t>
  </si>
  <si>
    <t>Seguro SOAT</t>
  </si>
  <si>
    <t>INGRESO DE EFECTIVO</t>
  </si>
  <si>
    <t>Genilda Rivera</t>
  </si>
  <si>
    <t>FECHA:</t>
  </si>
  <si>
    <t xml:space="preserve">NOMBRE: </t>
  </si>
  <si>
    <t xml:space="preserve">CARGO: </t>
  </si>
  <si>
    <t xml:space="preserve">MONTO SOLICITADO </t>
  </si>
  <si>
    <t xml:space="preserve">DESTINO/JUSTIFICACION </t>
  </si>
  <si>
    <t>Se retira Bs50.- de caja chica por la compra arrocillo y menudo para un mes, para la alimentacion de la mascota Lazar, mes de Diciembre.</t>
  </si>
  <si>
    <t xml:space="preserve">ENTREGADO POR: </t>
  </si>
  <si>
    <t xml:space="preserve">SOLICITUD DE CAJA CHICA </t>
  </si>
  <si>
    <t>Genilda de Aguilar</t>
  </si>
  <si>
    <t>Porteria</t>
  </si>
  <si>
    <t xml:space="preserve">APROBACION POR: </t>
  </si>
  <si>
    <t>GERENCIA GENERAL</t>
  </si>
  <si>
    <t>N°</t>
  </si>
  <si>
    <t xml:space="preserve">FIRMA </t>
  </si>
  <si>
    <t>Medicamentos</t>
  </si>
  <si>
    <t>N° 231101</t>
  </si>
  <si>
    <t>RESUMEN ARQUEO DE CAJA</t>
  </si>
  <si>
    <t>FECHA</t>
  </si>
  <si>
    <t>HORA DE INCIO</t>
  </si>
  <si>
    <t>HORA TÉRMINO</t>
  </si>
  <si>
    <t xml:space="preserve">SALDO INICIAL </t>
  </si>
  <si>
    <t xml:space="preserve">TOTAL INGRESOS </t>
  </si>
  <si>
    <t>TOTAL EGRESOS</t>
  </si>
  <si>
    <t>EFECTIVO DISPONIBLE</t>
  </si>
  <si>
    <t>MONEDAS</t>
  </si>
  <si>
    <t>BILLETES</t>
  </si>
  <si>
    <t>Valor</t>
  </si>
  <si>
    <t>Cantidad</t>
  </si>
  <si>
    <t>Total</t>
  </si>
  <si>
    <t>Total Billetes</t>
  </si>
  <si>
    <t>Total Monedas</t>
  </si>
  <si>
    <t>TOTAL EFECTIVO DISPONIBLE</t>
  </si>
  <si>
    <t>DETERMINACION DE LA DIFERENCIA</t>
  </si>
  <si>
    <t>Saldo según arqueo</t>
  </si>
  <si>
    <t>Saldo según libros</t>
  </si>
  <si>
    <t>DIFERENCIA</t>
  </si>
  <si>
    <t xml:space="preserve">OBSERVACIONES: </t>
  </si>
  <si>
    <t>ELABORADO POR</t>
  </si>
  <si>
    <t xml:space="preserve">APROBADO POR: </t>
  </si>
  <si>
    <t>LIC. RUTH KAREN CARRILLO C.</t>
  </si>
  <si>
    <t xml:space="preserve">LIC. OSVALDO TELLEZ </t>
  </si>
  <si>
    <t>CONTADORA SHEMA ASOCIADOS SRL</t>
  </si>
  <si>
    <t>GERENTE GENERAL SHEMA ASOCIADOS SRL</t>
  </si>
  <si>
    <t>varios</t>
  </si>
  <si>
    <t>Enero</t>
  </si>
  <si>
    <t>Febrero</t>
  </si>
  <si>
    <t>Marzo</t>
  </si>
  <si>
    <t>SALIDAS DE EFECTIVO A BANCO</t>
  </si>
  <si>
    <t>Recibo 942</t>
  </si>
  <si>
    <t>Carlos Mendez</t>
  </si>
  <si>
    <t>Mirian Carbajal</t>
  </si>
  <si>
    <t>Comprobante de pago</t>
  </si>
  <si>
    <t>Alex Limachi</t>
  </si>
  <si>
    <t>monedas</t>
  </si>
  <si>
    <t>Lesli Carrasco</t>
  </si>
  <si>
    <t>Se retira Bs14.- de caja por la compra de agua purificada, 1 botellon de 20ltrs.</t>
  </si>
  <si>
    <t>Victor Vela Esquivel</t>
  </si>
  <si>
    <t>MES NOVIEMBRE 2025</t>
  </si>
  <si>
    <t>billtes</t>
  </si>
  <si>
    <t>-</t>
  </si>
  <si>
    <t>Beatriz Chintari</t>
  </si>
  <si>
    <t>billte</t>
  </si>
  <si>
    <t>Inocencio Cruz</t>
  </si>
  <si>
    <t>Ingreso a caja, por la venta de productos en mercados del día 01/12/25</t>
  </si>
  <si>
    <t>Recibo 1208</t>
  </si>
  <si>
    <t>Ruth Zarate</t>
  </si>
  <si>
    <t>Recibo 1210</t>
  </si>
  <si>
    <t>Ingreso a caja, por la venta de productos en mercados del día 29/11/25</t>
  </si>
  <si>
    <t>Recibo 1211</t>
  </si>
  <si>
    <t>Recibo 1212</t>
  </si>
  <si>
    <t>Ingreso a caja, por la venta de productos en mercados del día 02/12/25 y cobro de creditos del dia 25/11/25.</t>
  </si>
  <si>
    <t>Recibo 1214</t>
  </si>
  <si>
    <t>Fact. 61318
Fact. 435596
Fact. 27</t>
  </si>
  <si>
    <t>Se retira Bs158.- de caja por la compra de combustible bs98.-, envio de caja (colita de la ovejita) bs20.- y envio de 2 cajas de cinta de embalaje bs40.-</t>
  </si>
  <si>
    <t>Recibo 1215</t>
  </si>
  <si>
    <t>Ingreso a caja, por la venta de productos en mercados del día 02/12/25</t>
  </si>
  <si>
    <t>Recibo 1216</t>
  </si>
  <si>
    <t>Ingreso a caja, por la venta de productos en mercados del día 03/12/25</t>
  </si>
  <si>
    <t>Recibo 1217</t>
  </si>
  <si>
    <t>Recibo 1218</t>
  </si>
  <si>
    <t>Recibo 1219</t>
  </si>
  <si>
    <t>Ingreso a caja, por la venta de productos en mercados a cuenta de dias anterior.</t>
  </si>
  <si>
    <t>Recibo 1224</t>
  </si>
  <si>
    <t>Ingreso a caja, por la venta de productos en mercados del día 04/12/25</t>
  </si>
  <si>
    <t>Recibo 1242</t>
  </si>
  <si>
    <t>Recibo 1243</t>
  </si>
  <si>
    <t>Ingreso a caja, por la venta de productos en mercados del día 05/12/25</t>
  </si>
  <si>
    <t>Recibo 1244</t>
  </si>
  <si>
    <t>Recibo 1245</t>
  </si>
  <si>
    <t>Recibo 1246</t>
  </si>
  <si>
    <t>Ingreso a caja, por la venta de productos en mercados a cuenta, cerrando semana de 01 al 06/12/2025</t>
  </si>
  <si>
    <t>Recibo 1247</t>
  </si>
  <si>
    <t>Ingreso a caja, por la venta de productos en mercados del día 06/12/25</t>
  </si>
  <si>
    <t>Recibo 1248</t>
  </si>
  <si>
    <t>Recibo 1250</t>
  </si>
  <si>
    <t>Ingreso a caja, por el cobro de creditos de la venta de productos en mercados, de la 1ra semana de 01 al 06/12/2025</t>
  </si>
  <si>
    <t>Ingreso a caja, por la venta de productos en mercados del día 08/12/25</t>
  </si>
  <si>
    <t>Recibo 1251</t>
  </si>
  <si>
    <t>Fact. 66078</t>
  </si>
  <si>
    <t>Se retira Bs133.-por la compra de combustible para la camioneta bs110.- y compra de una plancha de papel higienico Super Economico bs23.-</t>
  </si>
  <si>
    <t>Se retira Bs20.-por la compra de una plancha de papel higienico Super Junior, para producción.</t>
  </si>
  <si>
    <t>Se retira Bs60.-por la compra de un sello personalizado para Lesli Carrasco mas su maquinita.</t>
  </si>
  <si>
    <t>Recibo 137</t>
  </si>
  <si>
    <t>Dep. 50432786</t>
  </si>
  <si>
    <t>Se retira bs520.- de caja, para el viaje de 4 personas, en comisión sobre impulzación en Potosí de, Según detalle:
      4 Pasaje Sucre-Potosi   = bs280.-
      4 Platos de almuerzo    = bs130.-.
      2 Pasaje Potosi-Sucre    = bs110.-</t>
  </si>
  <si>
    <t>Fact. 126384</t>
  </si>
  <si>
    <t>Recibo 1249
Guia 1468</t>
  </si>
  <si>
    <t>Ingreso a caja, por la venta de productos en mercados a cuenta, a cuenta de la nota del dia 08/12/2025.</t>
  </si>
  <si>
    <t>Recibo 1253</t>
  </si>
  <si>
    <t>Recibo 1252</t>
  </si>
  <si>
    <t>Ingreso a caja, por la venta de productos en mercados, cerrando semana de 01 al 06/12/2025</t>
  </si>
  <si>
    <r>
      <t xml:space="preserve">Se retira Bs220.- de caja por la actividad - Dia del hombre 19/11/25, Según detalle:
</t>
    </r>
    <r>
      <rPr>
        <b/>
        <sz val="11"/>
        <color theme="1"/>
        <rFont val="Perpetua"/>
        <family val="1"/>
      </rPr>
      <t xml:space="preserve">  10 detalles
(botellin de cerveza decorado)=  bs500.-</t>
    </r>
    <r>
      <rPr>
        <b/>
        <u/>
        <sz val="11"/>
        <color theme="1"/>
        <rFont val="Perpetua"/>
        <family val="1"/>
      </rPr>
      <t xml:space="preserve"> 
</t>
    </r>
    <r>
      <rPr>
        <b/>
        <sz val="11"/>
        <color theme="1"/>
        <rFont val="Perpetua"/>
        <family val="1"/>
      </rPr>
      <t xml:space="preserve">     </t>
    </r>
    <r>
      <rPr>
        <i/>
        <u/>
        <sz val="11"/>
        <color theme="1"/>
        <rFont val="Perpetua"/>
        <family val="1"/>
      </rPr>
      <t>Aporte de 8 chicas a bs35 c/u = bs280.-</t>
    </r>
    <r>
      <rPr>
        <u/>
        <sz val="11"/>
        <color theme="1"/>
        <rFont val="Perpetua"/>
        <family val="1"/>
      </rPr>
      <t xml:space="preserve">
</t>
    </r>
    <r>
      <rPr>
        <b/>
        <sz val="11"/>
        <color theme="1"/>
        <rFont val="Perpetua"/>
        <family val="1"/>
      </rPr>
      <t xml:space="preserve">          </t>
    </r>
    <r>
      <rPr>
        <b/>
        <sz val="14"/>
        <color theme="1"/>
        <rFont val="Perpetua"/>
        <family val="1"/>
      </rPr>
      <t xml:space="preserve">  Salida de caja bs220.-</t>
    </r>
  </si>
  <si>
    <t>Se retira Bs33.- de caja para el depósito al Ministerio de Trabajo declaracion de planilla de sueldos Noviembre/2025 y pasaje en motito al banco Union, pora deposito y entraga de nota a la asesora de creditos bs7.-</t>
  </si>
  <si>
    <t>Se retira Bs900.- de caja, para el flete de 42pqts de bolsas pacas de la empresa COLMAFLEX de La Paz al Sr. Lucio Dorado - Llampa</t>
  </si>
  <si>
    <t>Ingreso a caja, por la venta de productos en mercados del día 09/12/25</t>
  </si>
  <si>
    <t>Recibo 1254</t>
  </si>
  <si>
    <t>Recibo 1255</t>
  </si>
  <si>
    <t>Ingreso a caja, por la venta de productos en mercados a cuenta, a cuenta de la nota del dia 08 y 09/12/2025.</t>
  </si>
  <si>
    <t>Recibo 1256</t>
  </si>
  <si>
    <t>Se retira Bs122.- de caja, por la compra de combustible para la camioneta.</t>
  </si>
  <si>
    <t>Se retira Bs8.- de caja, por el pago de servicio de peaje Ckochis - Yamparaez.</t>
  </si>
  <si>
    <t>Fact. 71207</t>
  </si>
  <si>
    <t>Ticket N° 71534</t>
  </si>
  <si>
    <t>Ingreso a caja, por la venta de productos en mercados del día 10/12/25</t>
  </si>
  <si>
    <t>Recibo 1257</t>
  </si>
  <si>
    <t>Ingreso a caja, por la venta de productos en mercados a cuenta, a cuenta de la nota del dia 09/12/2025.</t>
  </si>
  <si>
    <t>Recibo 1259</t>
  </si>
  <si>
    <t>Recibo 1258</t>
  </si>
  <si>
    <t>Recibo 1260</t>
  </si>
  <si>
    <t>Recibo 1261</t>
  </si>
  <si>
    <t>Se retira bs105.5.- de caja, por la compra de combustible para la camioneta.</t>
  </si>
  <si>
    <t>Ingreso a caja, por la venta de productos en mercados del día 11/12/25</t>
  </si>
  <si>
    <t>Recibo 1262</t>
  </si>
  <si>
    <t>Ingreso a caja, por la venta de productos en mercados a cuenta, de la semana 2 del mes diciembre.</t>
  </si>
  <si>
    <t>Ronal Yupanqui</t>
  </si>
  <si>
    <t>Se retira Bs150.- de caja, por anticipo de sueldo del mes de Diciembre a Ronald Yupanqui.</t>
  </si>
  <si>
    <t>Recibo 1263</t>
  </si>
  <si>
    <t>Recibo 1264</t>
  </si>
  <si>
    <t>Ingreso a caja, por la venta de productos en mercados del día 12/12/25</t>
  </si>
  <si>
    <t>Boleto 4898252
4898253
4898254</t>
  </si>
  <si>
    <t>Boleto 735141
735142</t>
  </si>
  <si>
    <t>Se retira Bs6.- de caja, por el pago de servicio de peaje Zapatera, viaje al Valle en fecha 11/12/25</t>
  </si>
  <si>
    <t>Se retira Bs6.- de caja, por el pago de servicio de peaje Yotala en fecha 08/12/25</t>
  </si>
  <si>
    <t>Se retira Bs141,50.- de caja, por la compra de material de escritorio (marcadores, yurex, isocola, tijeras lapiz, estilet y lavandina).</t>
  </si>
  <si>
    <t>Factura 166727</t>
  </si>
  <si>
    <t>Fact. 69981</t>
  </si>
  <si>
    <t>SC251201</t>
  </si>
  <si>
    <t>SC251202</t>
  </si>
  <si>
    <t>SC251204</t>
  </si>
  <si>
    <t>SC251203</t>
  </si>
  <si>
    <t>SC251205</t>
  </si>
  <si>
    <t>SC251206</t>
  </si>
  <si>
    <t>SC251207</t>
  </si>
  <si>
    <t>SC251208</t>
  </si>
  <si>
    <t>SC251209</t>
  </si>
  <si>
    <t>SC251210</t>
  </si>
  <si>
    <t>SC251211</t>
  </si>
  <si>
    <t>SC251212</t>
  </si>
  <si>
    <t>SC251213</t>
  </si>
  <si>
    <t>SC251214</t>
  </si>
  <si>
    <t>SC251215</t>
  </si>
  <si>
    <t>SC251216</t>
  </si>
  <si>
    <t>SC251217</t>
  </si>
  <si>
    <t>SC251218</t>
  </si>
  <si>
    <r>
      <t xml:space="preserve">Ingreso a caja de Bs70.- por la actividad - Cumple de Beatriz Chintari 08/12/25 , Según detalle:
               </t>
    </r>
    <r>
      <rPr>
        <b/>
        <sz val="11"/>
        <color theme="1"/>
        <rFont val="Perpetua"/>
        <family val="1"/>
      </rPr>
      <t xml:space="preserve">       1 sodas  =  bs20.-
        </t>
    </r>
    <r>
      <rPr>
        <b/>
        <u/>
        <sz val="11"/>
        <color theme="1"/>
        <rFont val="Perpetua"/>
        <family val="1"/>
      </rPr>
      <t xml:space="preserve">Taxi pedido torta = bs30 
</t>
    </r>
    <r>
      <rPr>
        <b/>
        <sz val="11"/>
        <color theme="1"/>
        <rFont val="Perpetua"/>
        <family val="1"/>
      </rPr>
      <t xml:space="preserve">                         TOTAL bs50</t>
    </r>
    <r>
      <rPr>
        <b/>
        <u/>
        <sz val="11"/>
        <color theme="1"/>
        <rFont val="Perpetua"/>
        <family val="1"/>
      </rPr>
      <t xml:space="preserve">
</t>
    </r>
    <r>
      <rPr>
        <b/>
        <sz val="11"/>
        <color theme="1"/>
        <rFont val="Perpetua"/>
        <family val="1"/>
      </rPr>
      <t xml:space="preserve">     </t>
    </r>
    <r>
      <rPr>
        <i/>
        <u/>
        <sz val="11"/>
        <color theme="1"/>
        <rFont val="Perpetua"/>
        <family val="1"/>
      </rPr>
      <t>Aporte de 15 personas bs8 c/u = bs120.-</t>
    </r>
    <r>
      <rPr>
        <u/>
        <sz val="11"/>
        <color theme="1"/>
        <rFont val="Perpetua"/>
        <family val="1"/>
      </rPr>
      <t xml:space="preserve">
</t>
    </r>
    <r>
      <rPr>
        <b/>
        <sz val="11"/>
        <color theme="1"/>
        <rFont val="Perpetua"/>
        <family val="1"/>
      </rPr>
      <t xml:space="preserve">          </t>
    </r>
    <r>
      <rPr>
        <b/>
        <sz val="14"/>
        <color theme="1"/>
        <rFont val="Perpetua"/>
        <family val="1"/>
      </rPr>
      <t xml:space="preserve"> Ingreso a caja bs70.-</t>
    </r>
  </si>
  <si>
    <t>Se retira Bs110.- de caja, por la compra de combustible para la camioneta.</t>
  </si>
  <si>
    <t>Ingreso a caja, por la venta de productos en mercados, a cuenta de la semana 2 del mes diciembre.</t>
  </si>
  <si>
    <t>Recibo 1265</t>
  </si>
  <si>
    <t>Recibo 1266</t>
  </si>
  <si>
    <t>Ingreso a caja, por la venta de productos en mercados del día 10 y 11/12/25</t>
  </si>
  <si>
    <t>Recibo 1267</t>
  </si>
  <si>
    <t>Recibo 1268</t>
  </si>
  <si>
    <t>Ingreso a caja, por la venta de productos en mercados del día 13/12/25</t>
  </si>
  <si>
    <t>Recibo 1269</t>
  </si>
  <si>
    <t>Ingreso a caja, por la venta de productos en mercados, a cuenta de la semana 2 del mes diciembre al 13/12/2025 - saldado</t>
  </si>
  <si>
    <t>Recibo 1270</t>
  </si>
  <si>
    <t>Ingreso a caja, por la venta de productos en mercados del día 15/12/25</t>
  </si>
  <si>
    <t>Recibo 1271</t>
  </si>
  <si>
    <t>SC251219</t>
  </si>
  <si>
    <t>SC251220</t>
  </si>
  <si>
    <t>Se retira Bs32.- de caja para el depósito al Ministerio de Trabajo declaracion de planilla de sueldos Noviembre/2025 rectificatoria bs28.- y pasaje en micro bs4</t>
  </si>
  <si>
    <t>Dep. 51105392</t>
  </si>
  <si>
    <t>SC251221</t>
  </si>
  <si>
    <t>Se retira bs4.- de caja para pasaje en micro de Paola, Ronald y Ruth para el registro en la Gestora.</t>
  </si>
  <si>
    <r>
      <t xml:space="preserve">Ingreso a caja de Bs16.- por la actividad - Cumple de Eulogia Sayhua 01/12/25 , Según detalle:
               </t>
    </r>
    <r>
      <rPr>
        <b/>
        <sz val="11"/>
        <color theme="1"/>
        <rFont val="Perpetua"/>
        <family val="1"/>
      </rPr>
      <t xml:space="preserve">       2 sodas  =  bs42.-
        </t>
    </r>
    <r>
      <rPr>
        <b/>
        <u/>
        <sz val="11"/>
        <color theme="1"/>
        <rFont val="Perpetua"/>
        <family val="1"/>
      </rPr>
      <t xml:space="preserve">Taxi pedido torta = bs30 
</t>
    </r>
    <r>
      <rPr>
        <b/>
        <sz val="11"/>
        <color theme="1"/>
        <rFont val="Perpetua"/>
        <family val="1"/>
      </rPr>
      <t xml:space="preserve">                         TOTAL bs72</t>
    </r>
    <r>
      <rPr>
        <b/>
        <u/>
        <sz val="11"/>
        <color theme="1"/>
        <rFont val="Perpetua"/>
        <family val="1"/>
      </rPr>
      <t xml:space="preserve">
</t>
    </r>
    <r>
      <rPr>
        <b/>
        <sz val="11"/>
        <color theme="1"/>
        <rFont val="Perpetua"/>
        <family val="1"/>
      </rPr>
      <t xml:space="preserve">     </t>
    </r>
    <r>
      <rPr>
        <i/>
        <u/>
        <sz val="11"/>
        <color theme="1"/>
        <rFont val="Perpetua"/>
        <family val="1"/>
      </rPr>
      <t>Aporte de 11 personas bs8 c/u = bs88.-</t>
    </r>
    <r>
      <rPr>
        <u/>
        <sz val="11"/>
        <color theme="1"/>
        <rFont val="Perpetua"/>
        <family val="1"/>
      </rPr>
      <t xml:space="preserve">
</t>
    </r>
    <r>
      <rPr>
        <b/>
        <sz val="11"/>
        <color theme="1"/>
        <rFont val="Perpetua"/>
        <family val="1"/>
      </rPr>
      <t xml:space="preserve">          </t>
    </r>
    <r>
      <rPr>
        <b/>
        <sz val="14"/>
        <color theme="1"/>
        <rFont val="Perpetua"/>
        <family val="1"/>
      </rPr>
      <t xml:space="preserve"> Ingreso a caja bs16.-</t>
    </r>
  </si>
  <si>
    <t>Recibo 1273</t>
  </si>
  <si>
    <t>Recibo 1274</t>
  </si>
  <si>
    <t>Ingreso a caja, por la venta de productos en mercados, del dia 15/12/2025</t>
  </si>
  <si>
    <t>Recibo 1275</t>
  </si>
  <si>
    <t>Ingreso a caja, por la venta de productos a Cooperativa de Transporte Nacional e Internacional 30 de Julio - Artlis R.L.</t>
  </si>
  <si>
    <t>Recibo 1277</t>
  </si>
  <si>
    <t>Ingreso a caja, por la venta de productos en mercados del día 16/12/25</t>
  </si>
  <si>
    <t>Recibo 1278</t>
  </si>
  <si>
    <t>Ingreso a caja por la venta de los productos en fabrica, total efectivo bs3.900.- recibo 1279.</t>
  </si>
  <si>
    <t>NE. 
NV. 2512</t>
  </si>
  <si>
    <t>Ingreso a caja, por la venta de productos en mercados del día 17/12/25</t>
  </si>
  <si>
    <t>Recibo 1280</t>
  </si>
  <si>
    <t>Ingreso a caja, por la venta de productos en mercados del día 15 y 16/12/25</t>
  </si>
  <si>
    <t>Recibo 1281</t>
  </si>
  <si>
    <t>Ingreso a caja, por la venta de productos en mercados, a cuenta de la 3ra semana de diciembre.</t>
  </si>
  <si>
    <t>Recibo 1282</t>
  </si>
  <si>
    <t>Recibo 1283</t>
  </si>
  <si>
    <t>Venta de papel a Farmacia San Agustín Supermercados Okis</t>
  </si>
  <si>
    <t>Recibo 1284</t>
  </si>
  <si>
    <t>Ingreso a caja por la venta de los productos en fabrica, total efectivo bs3.995.- recibo 1286</t>
  </si>
  <si>
    <t>Recibo 1286</t>
  </si>
  <si>
    <t>Recibo 1287</t>
  </si>
  <si>
    <t>Recibo 1288</t>
  </si>
  <si>
    <t>Recibo 1289</t>
  </si>
  <si>
    <t>Recibo 1290</t>
  </si>
  <si>
    <t>Ingreso a caja, por la venta de productos en mercados del día 19/12/25</t>
  </si>
  <si>
    <t>Recibo 1291</t>
  </si>
  <si>
    <t>Ingreso a caja, por la venta de productos en mercados del día 20/12/25</t>
  </si>
  <si>
    <t>Recibo 1292</t>
  </si>
  <si>
    <t>Ingreso a caja, por la venta de productos en mercados, cobro de creditos de Eduardo bs1200.- Paceña bs2600.-</t>
  </si>
  <si>
    <t>Recibo 1293</t>
  </si>
  <si>
    <t>RUTH</t>
  </si>
  <si>
    <t>LESLI</t>
  </si>
  <si>
    <t>MARIA</t>
  </si>
  <si>
    <t>MIRIAN</t>
  </si>
  <si>
    <t>CARLOS</t>
  </si>
  <si>
    <t>ERNESTO</t>
  </si>
  <si>
    <t>VICTOR</t>
  </si>
  <si>
    <t>ALEX</t>
  </si>
  <si>
    <t>Recibo 1294</t>
  </si>
  <si>
    <t>Dep N°568203</t>
  </si>
  <si>
    <t>Se retira bs65.000.- de caja para el deposito al banco Bisa cuenta de Sr. Faustino Choque por la compra de dolares t/c10.-</t>
  </si>
  <si>
    <t>Dep N°568193</t>
  </si>
  <si>
    <t>Dep N°391786</t>
  </si>
  <si>
    <t>Dep N°568199</t>
  </si>
  <si>
    <t>Dep N°391789</t>
  </si>
  <si>
    <t>Se retira bs60.000.- de caja para el deposito al banco Bisa cuenta de Sr. Faustino Choque por la compra de dolares t/c10.-</t>
  </si>
  <si>
    <t>Dep N°568207</t>
  </si>
  <si>
    <t>Dep N°391784</t>
  </si>
  <si>
    <t>Fact. 73258</t>
  </si>
  <si>
    <t>Se retira Bs100.- de caja, por la compra de combustible para la camioneta.</t>
  </si>
  <si>
    <t>Fact. 77275</t>
  </si>
  <si>
    <t>Se retira Bs175.- de caja, por la compra de combustible para la camioneta.</t>
  </si>
  <si>
    <t>Fact. 75715</t>
  </si>
  <si>
    <t>Ingreso a caja, por la venta de productos en mercados del día 22/12/25</t>
  </si>
  <si>
    <t>Recibo 1295</t>
  </si>
  <si>
    <t>Ingreso a caja, por la venta de productos en mercados, cobro de creditos - Valentin</t>
  </si>
  <si>
    <t>Recibo 1296</t>
  </si>
  <si>
    <t>Recibo 1297</t>
  </si>
  <si>
    <t>Recibo 1298</t>
  </si>
  <si>
    <t>Se retira Bs210.- de caja, por la compra de combustible para la camioneta.</t>
  </si>
  <si>
    <t>Fact. 144079</t>
  </si>
  <si>
    <t>Ingreso a caja, por la venta de productos en mercados del día 23/12/25</t>
  </si>
  <si>
    <t>Recibo 1299</t>
  </si>
  <si>
    <t>Recibo 1300</t>
  </si>
  <si>
    <t>Ingreso a caja, por la venta de productos en mercados, cobro de creditos - Eduardo Gutierres</t>
  </si>
  <si>
    <t>Ingreso a caja, por la venta de productos en mercados del día 24/12/25</t>
  </si>
  <si>
    <t>Recibo 1301</t>
  </si>
  <si>
    <t>Recibo 1302</t>
  </si>
  <si>
    <t>Cristian Ortiz</t>
  </si>
  <si>
    <t>Recibo 1303</t>
  </si>
  <si>
    <t>Guia 110-CT-61909</t>
  </si>
  <si>
    <t>Se retira Bs70.- de caja, por el envio de una caja de paquetes de papel higienico como muestra a la ciudad de La Paz.</t>
  </si>
  <si>
    <t>Se retira Bs200.- de caja, por anticipo de sueldo del mes de Diciembre a Gonzalo Mostacedo.</t>
  </si>
  <si>
    <t>Se retira Bs500.- de caja, por anticipo de sueldo del mes de Diciembre a Cristian Ortiz.</t>
  </si>
  <si>
    <t>Ingreso a caja, por la venta de productos en mercados, a cuenta de la 4ta semana de diciembre.</t>
  </si>
  <si>
    <t>Recibo 1320</t>
  </si>
  <si>
    <t>Ingreso a caja, por la venta de productos en mercados del día 27/12/25</t>
  </si>
  <si>
    <t>Recibo 1321</t>
  </si>
  <si>
    <t>Recibo 1322</t>
  </si>
  <si>
    <t>Ingreso a caja, por el cobro de creditos de la venta de productos a Valentin</t>
  </si>
  <si>
    <t>Ingreso a caja, por la venta de productos de 2da al personal - Mirian</t>
  </si>
  <si>
    <t>Recibo 1323</t>
  </si>
  <si>
    <t>Ingreso a caja, por la venta de productos de 2da a Inocencio Cruz.</t>
  </si>
  <si>
    <t>Recibo 1324</t>
  </si>
  <si>
    <t>Ingreso a caja, por la venta de productos en mercados, a cuenta de la 3ra y 4ta semana de diciembre.</t>
  </si>
  <si>
    <t>Recibo 1325</t>
  </si>
  <si>
    <t>Ingreso a caja, por la venta de productos en mercados del día 29/12/25</t>
  </si>
  <si>
    <t>Recibo 1326</t>
  </si>
  <si>
    <t>Recibo 1327</t>
  </si>
  <si>
    <t>Ingreso a caja, por la venta de productos de 2da a un auto rojo.</t>
  </si>
  <si>
    <t>Ingreso a caja, por la venta de productos de papel de 2da.</t>
  </si>
  <si>
    <t>Recibo 1328</t>
  </si>
  <si>
    <t>Recibo 1329</t>
  </si>
  <si>
    <t>Ingreso a caja, por la venta de productos de 2da a la Sra. Lety.</t>
  </si>
  <si>
    <r>
      <t xml:space="preserve">Ingreso a caja de Bs26.- por la actividad - Cumple de Ivana Salanova 22/12/25 , Según detalle:
                     </t>
    </r>
    <r>
      <rPr>
        <b/>
        <sz val="11"/>
        <color theme="1"/>
        <rFont val="Perpetua"/>
        <family val="1"/>
      </rPr>
      <t xml:space="preserve">  </t>
    </r>
    <r>
      <rPr>
        <u/>
        <sz val="11"/>
        <color theme="1"/>
        <rFont val="Perpetua"/>
        <family val="1"/>
      </rPr>
      <t xml:space="preserve">   Torta  =  bs224.- por Qr.</t>
    </r>
    <r>
      <rPr>
        <b/>
        <sz val="11"/>
        <color theme="1"/>
        <rFont val="Perpetua"/>
        <family val="1"/>
      </rPr>
      <t xml:space="preserve">
                        2 sodas  =  bs40.-
        </t>
    </r>
    <r>
      <rPr>
        <b/>
        <u/>
        <sz val="11"/>
        <color theme="1"/>
        <rFont val="Perpetua"/>
        <family val="1"/>
      </rPr>
      <t xml:space="preserve">Taxi pedido torta = bs30 
</t>
    </r>
    <r>
      <rPr>
        <b/>
        <sz val="11"/>
        <color theme="1"/>
        <rFont val="Perpetua"/>
        <family val="1"/>
      </rPr>
      <t xml:space="preserve">                         TOTAL bs70</t>
    </r>
    <r>
      <rPr>
        <b/>
        <u/>
        <sz val="11"/>
        <color theme="1"/>
        <rFont val="Perpetua"/>
        <family val="1"/>
      </rPr>
      <t xml:space="preserve">
</t>
    </r>
    <r>
      <rPr>
        <b/>
        <sz val="11"/>
        <color theme="1"/>
        <rFont val="Perpetua"/>
        <family val="1"/>
      </rPr>
      <t xml:space="preserve">     </t>
    </r>
    <r>
      <rPr>
        <i/>
        <u/>
        <sz val="11"/>
        <color theme="1"/>
        <rFont val="Perpetua"/>
        <family val="1"/>
      </rPr>
      <t>Aporte de 12 personas bs8 c/u = bs96.-</t>
    </r>
    <r>
      <rPr>
        <u/>
        <sz val="11"/>
        <color theme="1"/>
        <rFont val="Perpetua"/>
        <family val="1"/>
      </rPr>
      <t xml:space="preserve">
</t>
    </r>
    <r>
      <rPr>
        <b/>
        <sz val="11"/>
        <color theme="1"/>
        <rFont val="Perpetua"/>
        <family val="1"/>
      </rPr>
      <t xml:space="preserve">          </t>
    </r>
    <r>
      <rPr>
        <b/>
        <sz val="14"/>
        <color theme="1"/>
        <rFont val="Perpetua"/>
        <family val="1"/>
      </rPr>
      <t xml:space="preserve"> Ingreso a caja bs26.-</t>
    </r>
  </si>
  <si>
    <r>
      <t xml:space="preserve">Se retira Bs228.- de caja por la actividad - Cumple de Maria Limachi 13/12/25 , Según detalle:
      </t>
    </r>
    <r>
      <rPr>
        <b/>
        <sz val="11"/>
        <color theme="1"/>
        <rFont val="Perpetua"/>
        <family val="1"/>
      </rPr>
      <t xml:space="preserve">       18 Sandwich  =  bs306.-</t>
    </r>
    <r>
      <rPr>
        <b/>
        <u/>
        <sz val="11"/>
        <color theme="1"/>
        <rFont val="Perpetua"/>
        <family val="1"/>
      </rPr>
      <t xml:space="preserve"> 
</t>
    </r>
    <r>
      <rPr>
        <b/>
        <sz val="11"/>
        <color theme="1"/>
        <rFont val="Perpetua"/>
        <family val="1"/>
      </rPr>
      <t xml:space="preserve">                     2 sodas   =  bs40
       </t>
    </r>
    <r>
      <rPr>
        <b/>
        <u/>
        <sz val="11"/>
        <color theme="1"/>
        <rFont val="Perpetua"/>
        <family val="1"/>
      </rPr>
      <t xml:space="preserve">   1pqt de vasos   =  bs10
</t>
    </r>
    <r>
      <rPr>
        <b/>
        <sz val="11"/>
        <color theme="1"/>
        <rFont val="Perpetua"/>
        <family val="1"/>
      </rPr>
      <t xml:space="preserve">                          Total bs356.-</t>
    </r>
    <r>
      <rPr>
        <b/>
        <u/>
        <sz val="11"/>
        <color theme="1"/>
        <rFont val="Perpetua"/>
        <family val="1"/>
      </rPr>
      <t xml:space="preserve">
</t>
    </r>
    <r>
      <rPr>
        <b/>
        <sz val="11"/>
        <color theme="1"/>
        <rFont val="Perpetua"/>
        <family val="1"/>
      </rPr>
      <t xml:space="preserve">     </t>
    </r>
    <r>
      <rPr>
        <i/>
        <u/>
        <sz val="11"/>
        <color theme="1"/>
        <rFont val="Perpetua"/>
        <family val="1"/>
      </rPr>
      <t>Aporte de 16 personas bs8 c/u = bs128.-</t>
    </r>
    <r>
      <rPr>
        <u/>
        <sz val="11"/>
        <color theme="1"/>
        <rFont val="Perpetua"/>
        <family val="1"/>
      </rPr>
      <t xml:space="preserve">
</t>
    </r>
    <r>
      <rPr>
        <b/>
        <sz val="11"/>
        <color theme="1"/>
        <rFont val="Perpetua"/>
        <family val="1"/>
      </rPr>
      <t xml:space="preserve">          </t>
    </r>
    <r>
      <rPr>
        <b/>
        <sz val="14"/>
        <color theme="1"/>
        <rFont val="Perpetua"/>
        <family val="1"/>
      </rPr>
      <t xml:space="preserve">  Salida de caja bs228.-</t>
    </r>
  </si>
  <si>
    <t>Se retira Bs83.- de caja para el depósito al Ministerio de Trabajo declaracion de planilla de aguinaldo 2025 bs77.- y pasaje en micro bs6.- al Banco y Caja Cordes para el sellado de planillas.</t>
  </si>
  <si>
    <t>Se retira Bs434,60.- Para el pago de Servicios Basicos (domiciliario y fabrica) correspondiente al mes de Noviembre bs431,60 y pasaje en micro bs3.-</t>
  </si>
  <si>
    <t>Fact.700248
Fact.225065
Fact.238003
Fact.238041
Fact.5773904
Fact.5773794</t>
  </si>
  <si>
    <t>Se retira Bs573.- de caja, para los gastos de inspección tecnica de la camioneta según detalle:
    Cambio de Aceite = 388.-
    Compra de foquitos y guineador = 35.-
    Servicio electrico =  20.-
    Servicio mecánico - frenos  =  100.-
    Depósito para inspeccion tecnica = 30.-</t>
  </si>
  <si>
    <t>Nota de Venta 1474
Proforma 3881
Nota de Venta 40
Comprobante 65644056</t>
  </si>
  <si>
    <t>Dep. 52891636</t>
  </si>
  <si>
    <t>SC251222</t>
  </si>
  <si>
    <t>SC251223</t>
  </si>
  <si>
    <t>SC251224</t>
  </si>
  <si>
    <t>SC251225</t>
  </si>
  <si>
    <t>SC251226</t>
  </si>
  <si>
    <t>SC251227</t>
  </si>
  <si>
    <t>SC251228</t>
  </si>
  <si>
    <t>SC251229</t>
  </si>
  <si>
    <t>SC251230</t>
  </si>
  <si>
    <t>SC251231</t>
  </si>
  <si>
    <t>SC251232</t>
  </si>
  <si>
    <t>SC251233</t>
  </si>
  <si>
    <t>SC251234</t>
  </si>
  <si>
    <t>SC251235</t>
  </si>
  <si>
    <t>SC251236</t>
  </si>
  <si>
    <t>SC251237</t>
  </si>
  <si>
    <t>SC251238</t>
  </si>
  <si>
    <t>SC251239</t>
  </si>
  <si>
    <t>Ingreso a caja, por la venta de productos en mercados del día 30/12/25</t>
  </si>
  <si>
    <t>Recibo 1330</t>
  </si>
  <si>
    <t>Recibo 1331</t>
  </si>
  <si>
    <t>Ingreso a caja, cobro de credito por la venta de productos a Eduardo Gutierrez del día 20/12/25</t>
  </si>
  <si>
    <t>SC251240</t>
  </si>
  <si>
    <t>Se retira Bs58.- por la compra de paneton para el canaston del Sr. Eduardo Gutierrez bs36.- y compra de hilo de pescar para los colgantes publicitarios bs22.-</t>
  </si>
  <si>
    <t xml:space="preserve">Nota de Venta </t>
  </si>
  <si>
    <t>Ingreso a caja por la venta de los productos en fabrica, total efectivo bs7.725.- recibo 1332.</t>
  </si>
  <si>
    <t>Fact. 82583</t>
  </si>
  <si>
    <t>SC251241</t>
  </si>
  <si>
    <t>Se retira Bs70.- por la compra de 4 cajas de barbijos para producción.</t>
  </si>
  <si>
    <t>Recibo 1333</t>
  </si>
  <si>
    <t>Recibo 1334</t>
  </si>
  <si>
    <t>Ingreso a caja, por la venta de productos en mercados, a cuenta de la 3ra semana de diciembre y al 27/12/2025</t>
  </si>
  <si>
    <t>Ingreso a caja, por la venta de productos en mercados, pago total al 31/12/2025.</t>
  </si>
  <si>
    <t>Recibo 1335</t>
  </si>
  <si>
    <t>Ingreso a caja, por la venta de productos en mercados del día 31/12/25</t>
  </si>
  <si>
    <t>Recibo 1336</t>
  </si>
  <si>
    <t>SC251242</t>
  </si>
  <si>
    <t>Recibo 1337</t>
  </si>
  <si>
    <t>Se retira Bs13.434,60 para el pago de comisión del 5% por la venta de productos combinados en el mes de Diciembre 2025 al Sr. Inocencio Cruz.</t>
  </si>
  <si>
    <t>Recibo 1338</t>
  </si>
  <si>
    <t>SC251243</t>
  </si>
  <si>
    <t>SC251244</t>
  </si>
  <si>
    <t>Se retira Bs235.- de caja, por la compra de combustible para la camioneta.</t>
  </si>
  <si>
    <t>Fact. 153878
Fact. 153880</t>
  </si>
  <si>
    <t>Se retira Bs235.- de caja para el pago de Finiquito del 22/08/25 al 21/08/25 de Bs3.621,34.- y de fechas 22/08/25 al 19/12/25 de bs1.802,78 a Ronald Yupanqui.</t>
  </si>
  <si>
    <t>Recibo 1339
Recibo 1340</t>
  </si>
  <si>
    <t>Kevin Garcia</t>
  </si>
  <si>
    <t>Carlos Vargas</t>
  </si>
  <si>
    <t>Favio Yucra</t>
  </si>
  <si>
    <t>MES AGOSTO 2026</t>
  </si>
  <si>
    <t>Ingreso a caja ventas del 31/07/2026 en efectivo 6.235 bs.-;QR 2.926.-</t>
  </si>
  <si>
    <t>Se retira de caja 300 bs para compra de combustible según fact 1130252</t>
  </si>
  <si>
    <t>Recibo 773</t>
  </si>
  <si>
    <t>Recibo 774</t>
  </si>
  <si>
    <t>Recibo 775</t>
  </si>
  <si>
    <t>Recibo 776</t>
  </si>
  <si>
    <t>Recibo 777</t>
  </si>
  <si>
    <t>Recibo 778</t>
  </si>
  <si>
    <t>Recibo 779</t>
  </si>
  <si>
    <t>Ingreso a caja venta de 150 paquetes de papel de segunda a 17 bs c/u el 01/08/2026 en efectivo 2.550 bs.-</t>
  </si>
  <si>
    <t>Ingreso a caja ventas del mes Julio de nota 536 y nota 540 en efectivo 12.344 bs.</t>
  </si>
  <si>
    <t>Ingreso a caja ventas del mes Julio de notas 541,547 y 553 en efectivo 4.538 bs,QR 17.000.-</t>
  </si>
  <si>
    <t>Ingreso a caja ventas del mes de Junio  en efectivo 4.029.50 bs.</t>
  </si>
  <si>
    <t>Gastos de mantenimiento del camion el 27/06/2026,según detalle adjunto</t>
  </si>
  <si>
    <t>Recibo 780</t>
  </si>
  <si>
    <t>Recibo 781</t>
  </si>
  <si>
    <t>Ingreso a caja ventas del 03/08/2026 en efectivo 3.096 bs.-;QR 462.-</t>
  </si>
  <si>
    <t>Recibo 782</t>
  </si>
  <si>
    <t>Ingreso a caja ventas del 04/08/2026 en efectivo 3.944 bs.-;QR 1.348.-</t>
  </si>
  <si>
    <t>Recibo 783</t>
  </si>
  <si>
    <t>Se retira de caja 285.70 bs para compra de combustible según fact 6620</t>
  </si>
  <si>
    <t>Recibo 784</t>
  </si>
  <si>
    <t>Se retira de caja 247.230 bs para deposito a la cuenta de la empresa según comprobante Nro 75095469</t>
  </si>
  <si>
    <t>Recibo 785</t>
  </si>
  <si>
    <t>Ingreso a caja ventas del 05/08/2026 en efectivo 2.536 bs.-;QR 968.-</t>
  </si>
  <si>
    <t>Recibo 786</t>
  </si>
  <si>
    <t>Ingreso a caja ventas del 23/07/2026 en efectivo 7.666 bs.-;QR 2.810.-</t>
  </si>
  <si>
    <t>Recibo 787</t>
  </si>
  <si>
    <t>Ingreso a caja ventas de Julio en efectivo 840 bs</t>
  </si>
  <si>
    <t>Recibo 788</t>
  </si>
  <si>
    <t>Ingreso a caja ventas del 07/08/2026 en efectivo 6.434 bs.-</t>
  </si>
  <si>
    <t>Recibo 789</t>
  </si>
  <si>
    <t>Ingreso a caja cancelacion notas de venta 537 (3.630 bs );513 (1.800 bs) total en efectivo 5.430 bs.-</t>
  </si>
  <si>
    <t>Recibo 790</t>
  </si>
  <si>
    <t>Ingreso a caja ventas del 08/08/2026 en efectivo 2.068 bs.-,QR 2.130 bs</t>
  </si>
  <si>
    <t>Recibo 791</t>
  </si>
  <si>
    <t>Se retira de caja 30 bs para compra de 3 cintas de embalaje, según rec.82024</t>
  </si>
  <si>
    <t>Recibo 792</t>
  </si>
  <si>
    <t>Ingreso a caja ventas de Julio en efectivo 392 bs</t>
  </si>
  <si>
    <t>Recibo 793</t>
  </si>
  <si>
    <t>Ingreso a caja cancelacion nota de venta 554 efectivo 255 bs</t>
  </si>
  <si>
    <t>Recibo 795</t>
  </si>
  <si>
    <t>Se retira de caja 7.000 bs para pago flete de transporte de 2 envios c/u a 3.500 bs correspondiente a Notas de venta 557 y 558, según rec.795</t>
  </si>
  <si>
    <t>Recibo 796</t>
  </si>
  <si>
    <t>Ingreso a caja cancelación notas de venta 557 (53.851 bs);558 (47.849 bs) en  efectivo 93.000 bs,QR 8.700 bs</t>
  </si>
  <si>
    <t>Recibo 797</t>
  </si>
  <si>
    <t>Ingreso a caja ventas del mes Julio en efectivo 7.723 bs</t>
  </si>
  <si>
    <t>Recibo 798</t>
  </si>
  <si>
    <t>Se retira de caja 7.723 bs por la cancelación de comision en ventas de Julio al vendedor Inocencio Cruz, según rec.798</t>
  </si>
  <si>
    <t>Recibo 799</t>
  </si>
  <si>
    <t>Ingreso a caja pago a cuenta del mes Julio en efectivo 4.411 bs</t>
  </si>
  <si>
    <t>Recibo 800</t>
  </si>
  <si>
    <t>Ingreso a caja pago a cuenta del mes Agosto en efectivo 25.990 bs,QR 13.000 bs</t>
  </si>
  <si>
    <t>Recibo 801</t>
  </si>
  <si>
    <t>Ingreso a caja ventas de Agosto en efectivo 1.390 bs</t>
  </si>
  <si>
    <t>SC260801</t>
  </si>
  <si>
    <t>SC260802</t>
  </si>
  <si>
    <t>SC260803</t>
  </si>
  <si>
    <t>SC260804</t>
  </si>
  <si>
    <t>SC260805</t>
  </si>
  <si>
    <t>SC260806</t>
  </si>
  <si>
    <t>SC260807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</si>
</sst>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Bs&quot;* #,##0.00_-;\-&quot;Bs&quot;* #,##0.00_-;_-&quot;Bs&quot;* &quot;-&quot;??_-;_-@_-"/>
    <numFmt numFmtId="43" formatCode="_-* #,##0.00_-;\-* #,##0.00_-;_-* &quot;-&quot;??_-;_-@_-"/>
    <numFmt numFmtId="164" formatCode="_-* #,##0.00\ _€_-;\-* #,##0.00\ _€_-;_-* &quot;-&quot;??\ _€_-;_-@_-"/>
    <numFmt numFmtId="166" formatCode="#,##0.0000000000"/>
    <numFmt numFmtId="167" formatCode="d\-m\-yy\ h:mm;@"/>
    <numFmt numFmtId="168" formatCode="_ * #,##0.00_ ;_ * \-#,##0.00_ ;_ * &quot;-&quot;??_ ;_ @_ "/>
    <numFmt numFmtId="169" formatCode="dd/mm/yy;@"/>
    <numFmt numFmtId="170" formatCode="#,##0.000000000000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Perpetua"/>
      <family val="1"/>
    </font>
    <font>
      <b/>
      <sz val="22"/>
      <color theme="1"/>
      <name val="Perpetua"/>
      <family val="1"/>
    </font>
    <font>
      <b/>
      <sz val="18"/>
      <color theme="1"/>
      <name val="Perpetua"/>
      <family val="1"/>
    </font>
    <font>
      <b/>
      <sz val="11"/>
      <color theme="7" tint="0.39997558519241921"/>
      <name val="Perpetua"/>
      <family val="1"/>
    </font>
    <font>
      <b/>
      <sz val="11"/>
      <color theme="7" tint="0.79998168889431442"/>
      <name val="Perpetua"/>
      <family val="1"/>
    </font>
    <font>
      <b/>
      <sz val="11"/>
      <color theme="1"/>
      <name val="Perpetua"/>
      <family val="1"/>
    </font>
    <font>
      <sz val="11"/>
      <name val="Perpetua"/>
      <family val="1"/>
    </font>
    <font>
      <sz val="8"/>
      <name val="Calibri"/>
      <family val="2"/>
      <scheme val="minor"/>
    </font>
    <font>
      <u/>
      <sz val="11"/>
      <color theme="1"/>
      <name val="Perpetua"/>
      <family val="1"/>
    </font>
    <font>
      <i/>
      <u/>
      <sz val="11"/>
      <color theme="1"/>
      <name val="Perpetua"/>
      <family val="1"/>
    </font>
    <font>
      <i/>
      <sz val="11"/>
      <color theme="1"/>
      <name val="Perpetua"/>
      <family val="1"/>
    </font>
    <font>
      <b/>
      <u/>
      <sz val="11"/>
      <color theme="1"/>
      <name val="Perpetua"/>
      <family val="1"/>
    </font>
    <font>
      <b/>
      <sz val="14"/>
      <color theme="1"/>
      <name val="Perpetua"/>
      <family val="1"/>
    </font>
    <font>
      <sz val="11"/>
      <color theme="1"/>
      <name val="Calibri"/>
      <family val="2"/>
      <scheme val="minor"/>
    </font>
    <font>
      <b/>
      <sz val="12"/>
      <color theme="1"/>
      <name val="Perpetua"/>
      <family val="1"/>
    </font>
    <font>
      <b/>
      <sz val="11"/>
      <color theme="1"/>
      <name val="Calibri"/>
      <family val="2"/>
      <scheme val="minor"/>
    </font>
    <font>
      <b/>
      <sz val="22"/>
      <color rgb="FF000000"/>
      <name val="Calibri"/>
      <family val="2"/>
    </font>
    <font>
      <b/>
      <i/>
      <sz val="11"/>
      <color rgb="FF000000"/>
      <name val="Century Gothic"/>
      <family val="2"/>
    </font>
    <font>
      <sz val="9"/>
      <color rgb="FF000000"/>
      <name val="Century Gothic"/>
      <family val="2"/>
    </font>
    <font>
      <sz val="9"/>
      <color rgb="FF000000"/>
      <name val="Times New Roman"/>
      <family val="1"/>
    </font>
    <font>
      <b/>
      <sz val="9"/>
      <color rgb="FF000000"/>
      <name val="Century Gothic"/>
      <family val="2"/>
    </font>
    <font>
      <b/>
      <sz val="11"/>
      <color rgb="FF000000"/>
      <name val="Calibri"/>
      <family val="2"/>
    </font>
    <font>
      <b/>
      <sz val="11"/>
      <color rgb="FF000000"/>
      <name val="Century Gothic"/>
      <family val="2"/>
    </font>
    <font>
      <b/>
      <sz val="11"/>
      <color rgb="FF000000"/>
      <name val="Calibri"/>
      <family val="2"/>
      <charset val="204"/>
    </font>
    <font>
      <b/>
      <sz val="12"/>
      <color rgb="FF000000"/>
      <name val="Century Gothic"/>
      <family val="2"/>
    </font>
    <font>
      <b/>
      <sz val="12"/>
      <color rgb="FF000000"/>
      <name val="Calibri"/>
      <family val="2"/>
    </font>
    <font>
      <sz val="10"/>
      <name val="Arial"/>
      <family val="2"/>
    </font>
    <font>
      <sz val="11"/>
      <name val="Bookman Old Style"/>
      <family val="1"/>
    </font>
    <font>
      <b/>
      <sz val="10.5"/>
      <name val="Bookman Old Style"/>
      <family val="1"/>
    </font>
    <font>
      <sz val="14"/>
      <name val="Bookman Old Style"/>
      <family val="1"/>
    </font>
    <font>
      <b/>
      <sz val="14"/>
      <name val="Bookman Old Style"/>
      <family val="1"/>
    </font>
    <font>
      <sz val="12"/>
      <name val="Bookman Old Style"/>
      <family val="1"/>
    </font>
    <font>
      <sz val="10.5"/>
      <name val="Bookman Old Style"/>
      <family val="1"/>
    </font>
    <font>
      <b/>
      <i/>
      <sz val="12"/>
      <color rgb="FFFF6600"/>
      <name val="Bookman Old Style"/>
      <family val="1"/>
    </font>
    <font>
      <b/>
      <sz val="11"/>
      <name val="Bookman Old Style"/>
      <family val="1"/>
    </font>
    <font>
      <b/>
      <sz val="12"/>
      <name val="Aharoni"/>
    </font>
    <font>
      <b/>
      <sz val="11"/>
      <color theme="1"/>
      <name val="Aharoni"/>
    </font>
    <font>
      <b/>
      <i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9"/>
      <name val="Calibri"/>
      <family val="2"/>
      <scheme val="minor"/>
    </font>
    <font>
      <sz val="12"/>
      <name val="Calibri Light"/>
      <family val="2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theme="7" tint="0.39997558519241921"/>
      <name val="Perpetua"/>
      <family val="1"/>
    </font>
    <font>
      <b/>
      <sz val="9"/>
      <color theme="7" tint="0.79998168889431442"/>
      <name val="Perpetua"/>
      <family val="1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D685FF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3" fontId="14" fillId="0" borderId="0" applyFont="0" applyFill="0" applyBorder="0" applyAlignment="0" applyProtection="0"/>
    <xf numFmtId="0" fontId="27" fillId="0" borderId="0"/>
    <xf numFmtId="164" fontId="14" fillId="0" borderId="0" applyFont="0" applyFill="0" applyBorder="0" applyAlignment="0" applyProtection="0"/>
    <xf numFmtId="168" fontId="14" fillId="0" borderId="0" applyFont="0" applyFill="0" applyBorder="0" applyAlignment="0" applyProtection="0"/>
  </cellStyleXfs>
  <cellXfs count="218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43" fontId="1" fillId="2" borderId="3" xfId="0" applyNumberFormat="1" applyFont="1" applyFill="1" applyBorder="1" applyAlignment="1">
      <alignment vertical="center"/>
    </xf>
    <xf numFmtId="43" fontId="6" fillId="2" borderId="3" xfId="0" applyNumberFormat="1" applyFont="1" applyFill="1" applyBorder="1" applyAlignment="1">
      <alignment vertical="center"/>
    </xf>
    <xf numFmtId="4" fontId="1" fillId="2" borderId="3" xfId="0" applyNumberFormat="1" applyFont="1" applyFill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4" fontId="1" fillId="0" borderId="3" xfId="0" applyNumberFormat="1" applyFont="1" applyBorder="1" applyAlignment="1">
      <alignment vertical="center"/>
    </xf>
    <xf numFmtId="0" fontId="7" fillId="2" borderId="3" xfId="0" applyFont="1" applyFill="1" applyBorder="1" applyAlignment="1">
      <alignment vertical="center" wrapText="1"/>
    </xf>
    <xf numFmtId="43" fontId="6" fillId="6" borderId="3" xfId="0" applyNumberFormat="1" applyFont="1" applyFill="1" applyBorder="1" applyAlignment="1">
      <alignment vertical="center"/>
    </xf>
    <xf numFmtId="4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vertical="center"/>
    </xf>
    <xf numFmtId="43" fontId="1" fillId="0" borderId="3" xfId="0" applyNumberFormat="1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vertical="top" wrapText="1"/>
    </xf>
    <xf numFmtId="0" fontId="4" fillId="3" borderId="2" xfId="0" applyFont="1" applyFill="1" applyBorder="1" applyAlignment="1">
      <alignment horizontal="center" vertical="center" wrapText="1"/>
    </xf>
    <xf numFmtId="14" fontId="1" fillId="2" borderId="3" xfId="0" applyNumberFormat="1" applyFont="1" applyFill="1" applyBorder="1" applyAlignment="1">
      <alignment vertical="center"/>
    </xf>
    <xf numFmtId="4" fontId="1" fillId="0" borderId="0" xfId="0" applyNumberFormat="1" applyFont="1" applyAlignment="1">
      <alignment vertical="center"/>
    </xf>
    <xf numFmtId="4" fontId="1" fillId="0" borderId="0" xfId="0" applyNumberFormat="1" applyFont="1" applyAlignment="1">
      <alignment vertical="center" wrapText="1"/>
    </xf>
    <xf numFmtId="4" fontId="1" fillId="0" borderId="3" xfId="0" applyNumberFormat="1" applyFont="1" applyBorder="1" applyAlignment="1">
      <alignment vertical="center" wrapText="1"/>
    </xf>
    <xf numFmtId="4" fontId="1" fillId="0" borderId="6" xfId="0" applyNumberFormat="1" applyFont="1" applyBorder="1" applyAlignment="1">
      <alignment vertical="center" wrapText="1"/>
    </xf>
    <xf numFmtId="4" fontId="1" fillId="0" borderId="6" xfId="0" applyNumberFormat="1" applyFont="1" applyBorder="1" applyAlignment="1">
      <alignment vertical="center"/>
    </xf>
    <xf numFmtId="0" fontId="1" fillId="7" borderId="3" xfId="0" applyFont="1" applyFill="1" applyBorder="1" applyAlignment="1">
      <alignment horizontal="center" vertical="center" wrapText="1"/>
    </xf>
    <xf numFmtId="4" fontId="15" fillId="6" borderId="0" xfId="0" applyNumberFormat="1" applyFont="1" applyFill="1" applyAlignment="1">
      <alignment vertical="center"/>
    </xf>
    <xf numFmtId="14" fontId="1" fillId="0" borderId="2" xfId="0" applyNumberFormat="1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top" wrapText="1"/>
    </xf>
    <xf numFmtId="43" fontId="6" fillId="8" borderId="3" xfId="0" applyNumberFormat="1" applyFont="1" applyFill="1" applyBorder="1" applyAlignment="1">
      <alignment vertical="center"/>
    </xf>
    <xf numFmtId="0" fontId="0" fillId="0" borderId="0" xfId="0" applyAlignment="1">
      <alignment horizontal="left"/>
    </xf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0" fontId="19" fillId="9" borderId="3" xfId="0" applyFont="1" applyFill="1" applyBorder="1" applyAlignment="1">
      <alignment vertical="top"/>
    </xf>
    <xf numFmtId="0" fontId="19" fillId="0" borderId="3" xfId="0" applyFont="1" applyBorder="1" applyAlignment="1">
      <alignment vertical="top"/>
    </xf>
    <xf numFmtId="4" fontId="0" fillId="0" borderId="3" xfId="0" applyNumberFormat="1" applyBorder="1"/>
    <xf numFmtId="0" fontId="0" fillId="0" borderId="3" xfId="0" applyBorder="1"/>
    <xf numFmtId="4" fontId="16" fillId="0" borderId="3" xfId="0" applyNumberFormat="1" applyFont="1" applyBorder="1"/>
    <xf numFmtId="0" fontId="19" fillId="10" borderId="3" xfId="0" applyFont="1" applyFill="1" applyBorder="1" applyAlignment="1">
      <alignment vertical="top"/>
    </xf>
    <xf numFmtId="0" fontId="21" fillId="0" borderId="3" xfId="0" applyFont="1" applyBorder="1" applyAlignment="1">
      <alignment vertical="top"/>
    </xf>
    <xf numFmtId="0" fontId="19" fillId="11" borderId="3" xfId="0" applyFont="1" applyFill="1" applyBorder="1" applyAlignment="1">
      <alignment vertical="top"/>
    </xf>
    <xf numFmtId="0" fontId="19" fillId="10" borderId="3" xfId="0" applyFont="1" applyFill="1" applyBorder="1" applyAlignment="1">
      <alignment vertical="top" wrapText="1"/>
    </xf>
    <xf numFmtId="0" fontId="19" fillId="10" borderId="3" xfId="0" applyFont="1" applyFill="1" applyBorder="1" applyAlignment="1">
      <alignment horizontal="right" vertical="top"/>
    </xf>
    <xf numFmtId="4" fontId="22" fillId="0" borderId="3" xfId="0" applyNumberFormat="1" applyFont="1" applyBorder="1"/>
    <xf numFmtId="43" fontId="24" fillId="12" borderId="3" xfId="0" applyNumberFormat="1" applyFont="1" applyFill="1" applyBorder="1"/>
    <xf numFmtId="0" fontId="25" fillId="0" borderId="3" xfId="0" applyFont="1" applyBorder="1" applyAlignment="1">
      <alignment vertical="top"/>
    </xf>
    <xf numFmtId="4" fontId="26" fillId="0" borderId="3" xfId="0" applyNumberFormat="1" applyFont="1" applyBorder="1"/>
    <xf numFmtId="0" fontId="19" fillId="13" borderId="3" xfId="0" applyFont="1" applyFill="1" applyBorder="1" applyAlignment="1">
      <alignment vertical="top"/>
    </xf>
    <xf numFmtId="4" fontId="0" fillId="0" borderId="0" xfId="0" applyNumberFormat="1"/>
    <xf numFmtId="43" fontId="0" fillId="0" borderId="3" xfId="0" applyNumberFormat="1" applyBorder="1"/>
    <xf numFmtId="43" fontId="0" fillId="0" borderId="0" xfId="0" applyNumberFormat="1"/>
    <xf numFmtId="164" fontId="0" fillId="0" borderId="0" xfId="0" applyNumberFormat="1"/>
    <xf numFmtId="43" fontId="1" fillId="0" borderId="0" xfId="1" applyFont="1" applyAlignment="1">
      <alignment vertical="center" wrapText="1"/>
    </xf>
    <xf numFmtId="43" fontId="6" fillId="0" borderId="0" xfId="1" applyFont="1" applyAlignment="1">
      <alignment vertical="center" wrapText="1"/>
    </xf>
    <xf numFmtId="14" fontId="1" fillId="0" borderId="0" xfId="0" applyNumberFormat="1" applyFont="1" applyAlignment="1">
      <alignment vertical="center"/>
    </xf>
    <xf numFmtId="43" fontId="1" fillId="0" borderId="0" xfId="0" applyNumberFormat="1" applyFont="1" applyAlignment="1">
      <alignment vertical="center" wrapText="1"/>
    </xf>
    <xf numFmtId="14" fontId="1" fillId="2" borderId="3" xfId="0" applyNumberFormat="1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vertical="center" wrapText="1"/>
    </xf>
    <xf numFmtId="14" fontId="1" fillId="2" borderId="3" xfId="0" applyNumberFormat="1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vertical="top"/>
    </xf>
    <xf numFmtId="0" fontId="19" fillId="0" borderId="2" xfId="0" applyFont="1" applyBorder="1" applyAlignment="1">
      <alignment vertical="top"/>
    </xf>
    <xf numFmtId="0" fontId="28" fillId="2" borderId="0" xfId="2" applyFont="1" applyFill="1"/>
    <xf numFmtId="0" fontId="28" fillId="2" borderId="0" xfId="2" applyFont="1" applyFill="1" applyAlignment="1">
      <alignment vertical="center"/>
    </xf>
    <xf numFmtId="0" fontId="28" fillId="2" borderId="0" xfId="2" applyFont="1" applyFill="1" applyAlignment="1">
      <alignment horizontal="left"/>
    </xf>
    <xf numFmtId="0" fontId="29" fillId="2" borderId="0" xfId="2" applyFont="1" applyFill="1" applyAlignment="1">
      <alignment horizontal="left" vertical="center"/>
    </xf>
    <xf numFmtId="0" fontId="30" fillId="2" borderId="8" xfId="2" applyFont="1" applyFill="1" applyBorder="1" applyAlignment="1">
      <alignment vertical="top" wrapText="1"/>
    </xf>
    <xf numFmtId="0" fontId="28" fillId="2" borderId="0" xfId="2" applyFont="1" applyFill="1" applyAlignment="1">
      <alignment horizontal="left" vertical="top" wrapText="1"/>
    </xf>
    <xf numFmtId="0" fontId="30" fillId="2" borderId="13" xfId="2" applyFont="1" applyFill="1" applyBorder="1" applyAlignment="1">
      <alignment vertical="top" wrapText="1"/>
    </xf>
    <xf numFmtId="0" fontId="33" fillId="2" borderId="0" xfId="2" applyFont="1" applyFill="1" applyAlignment="1">
      <alignment vertical="center"/>
    </xf>
    <xf numFmtId="0" fontId="32" fillId="2" borderId="0" xfId="2" applyFont="1" applyFill="1" applyAlignment="1">
      <alignment horizontal="left" vertical="center"/>
    </xf>
    <xf numFmtId="0" fontId="34" fillId="2" borderId="0" xfId="2" applyFont="1" applyFill="1" applyAlignment="1">
      <alignment horizontal="right"/>
    </xf>
    <xf numFmtId="0" fontId="35" fillId="2" borderId="0" xfId="2" applyFont="1" applyFill="1"/>
    <xf numFmtId="0" fontId="30" fillId="2" borderId="17" xfId="2" applyFont="1" applyFill="1" applyBorder="1" applyAlignment="1">
      <alignment vertical="top" wrapText="1"/>
    </xf>
    <xf numFmtId="166" fontId="1" fillId="0" borderId="3" xfId="0" applyNumberFormat="1" applyFont="1" applyBorder="1" applyAlignment="1">
      <alignment vertical="center"/>
    </xf>
    <xf numFmtId="0" fontId="0" fillId="2" borderId="0" xfId="0" applyFill="1"/>
    <xf numFmtId="0" fontId="36" fillId="2" borderId="0" xfId="0" applyFont="1" applyFill="1" applyAlignment="1">
      <alignment horizontal="left" vertical="center"/>
    </xf>
    <xf numFmtId="0" fontId="37" fillId="2" borderId="0" xfId="0" applyFont="1" applyFill="1" applyAlignment="1">
      <alignment horizontal="left" vertical="center"/>
    </xf>
    <xf numFmtId="0" fontId="39" fillId="2" borderId="0" xfId="0" applyFont="1" applyFill="1"/>
    <xf numFmtId="0" fontId="40" fillId="2" borderId="0" xfId="0" applyFont="1" applyFill="1" applyAlignment="1">
      <alignment horizontal="center" vertical="center"/>
    </xf>
    <xf numFmtId="14" fontId="43" fillId="2" borderId="0" xfId="0" applyNumberFormat="1" applyFont="1" applyFill="1" applyAlignment="1">
      <alignment horizontal="left" vertical="center"/>
    </xf>
    <xf numFmtId="20" fontId="39" fillId="2" borderId="14" xfId="0" applyNumberFormat="1" applyFont="1" applyFill="1" applyBorder="1" applyAlignment="1">
      <alignment horizontal="left"/>
    </xf>
    <xf numFmtId="0" fontId="41" fillId="2" borderId="14" xfId="0" applyFont="1" applyFill="1" applyBorder="1" applyAlignment="1">
      <alignment horizontal="right"/>
    </xf>
    <xf numFmtId="20" fontId="39" fillId="2" borderId="14" xfId="0" applyNumberFormat="1" applyFont="1" applyFill="1" applyBorder="1"/>
    <xf numFmtId="18" fontId="43" fillId="2" borderId="0" xfId="0" applyNumberFormat="1" applyFont="1" applyFill="1" applyAlignment="1">
      <alignment horizontal="left" vertical="center"/>
    </xf>
    <xf numFmtId="0" fontId="44" fillId="2" borderId="0" xfId="0" applyFont="1" applyFill="1" applyAlignment="1">
      <alignment horizontal="center" vertical="center"/>
    </xf>
    <xf numFmtId="18" fontId="39" fillId="2" borderId="0" xfId="0" applyNumberFormat="1" applyFont="1" applyFill="1" applyAlignment="1">
      <alignment horizontal="right" vertical="center"/>
    </xf>
    <xf numFmtId="164" fontId="39" fillId="2" borderId="0" xfId="3" applyFont="1" applyFill="1" applyBorder="1"/>
    <xf numFmtId="2" fontId="39" fillId="2" borderId="0" xfId="0" applyNumberFormat="1" applyFont="1" applyFill="1" applyAlignment="1">
      <alignment horizontal="right" vertical="center"/>
    </xf>
    <xf numFmtId="0" fontId="44" fillId="2" borderId="0" xfId="0" applyFont="1" applyFill="1" applyAlignment="1">
      <alignment horizontal="left"/>
    </xf>
    <xf numFmtId="0" fontId="44" fillId="2" borderId="0" xfId="0" applyFont="1" applyFill="1"/>
    <xf numFmtId="164" fontId="39" fillId="2" borderId="0" xfId="3" applyFont="1" applyFill="1" applyBorder="1" applyAlignment="1">
      <alignment horizontal="right"/>
    </xf>
    <xf numFmtId="164" fontId="39" fillId="6" borderId="0" xfId="3" applyFont="1" applyFill="1"/>
    <xf numFmtId="0" fontId="44" fillId="2" borderId="24" xfId="0" applyFont="1" applyFill="1" applyBorder="1" applyAlignment="1">
      <alignment horizontal="center" vertical="center"/>
    </xf>
    <xf numFmtId="0" fontId="44" fillId="2" borderId="25" xfId="0" applyFont="1" applyFill="1" applyBorder="1" applyAlignment="1">
      <alignment horizontal="center" vertical="center"/>
    </xf>
    <xf numFmtId="0" fontId="44" fillId="2" borderId="26" xfId="0" applyFont="1" applyFill="1" applyBorder="1" applyAlignment="1">
      <alignment horizontal="center" vertical="center"/>
    </xf>
    <xf numFmtId="168" fontId="39" fillId="2" borderId="27" xfId="4" applyFont="1" applyFill="1" applyBorder="1" applyAlignment="1">
      <alignment horizontal="center" vertical="center"/>
    </xf>
    <xf numFmtId="0" fontId="39" fillId="2" borderId="3" xfId="0" applyFont="1" applyFill="1" applyBorder="1" applyAlignment="1">
      <alignment horizontal="center"/>
    </xf>
    <xf numFmtId="168" fontId="39" fillId="2" borderId="28" xfId="0" applyNumberFormat="1" applyFont="1" applyFill="1" applyBorder="1"/>
    <xf numFmtId="168" fontId="39" fillId="2" borderId="27" xfId="4" applyFont="1" applyFill="1" applyBorder="1"/>
    <xf numFmtId="168" fontId="39" fillId="2" borderId="29" xfId="4" applyFont="1" applyFill="1" applyBorder="1" applyAlignment="1">
      <alignment horizontal="center" vertical="center"/>
    </xf>
    <xf numFmtId="0" fontId="39" fillId="2" borderId="5" xfId="0" applyFont="1" applyFill="1" applyBorder="1" applyAlignment="1">
      <alignment horizontal="center"/>
    </xf>
    <xf numFmtId="168" fontId="39" fillId="2" borderId="30" xfId="0" applyNumberFormat="1" applyFont="1" applyFill="1" applyBorder="1"/>
    <xf numFmtId="168" fontId="39" fillId="2" borderId="33" xfId="0" applyNumberFormat="1" applyFont="1" applyFill="1" applyBorder="1"/>
    <xf numFmtId="0" fontId="39" fillId="2" borderId="0" xfId="0" applyFont="1" applyFill="1" applyAlignment="1">
      <alignment horizontal="left" vertical="center"/>
    </xf>
    <xf numFmtId="0" fontId="44" fillId="2" borderId="0" xfId="0" applyFont="1" applyFill="1" applyAlignment="1">
      <alignment vertical="center" wrapText="1"/>
    </xf>
    <xf numFmtId="44" fontId="39" fillId="2" borderId="0" xfId="0" applyNumberFormat="1" applyFont="1" applyFill="1" applyAlignment="1">
      <alignment horizontal="right" vertical="center"/>
    </xf>
    <xf numFmtId="44" fontId="39" fillId="6" borderId="4" xfId="0" applyNumberFormat="1" applyFont="1" applyFill="1" applyBorder="1" applyAlignment="1">
      <alignment horizontal="right" vertical="center"/>
    </xf>
    <xf numFmtId="44" fontId="44" fillId="2" borderId="0" xfId="0" applyNumberFormat="1" applyFont="1" applyFill="1"/>
    <xf numFmtId="168" fontId="44" fillId="2" borderId="0" xfId="0" applyNumberFormat="1" applyFont="1" applyFill="1"/>
    <xf numFmtId="0" fontId="44" fillId="2" borderId="34" xfId="0" applyFont="1" applyFill="1" applyBorder="1"/>
    <xf numFmtId="0" fontId="39" fillId="2" borderId="34" xfId="0" applyFont="1" applyFill="1" applyBorder="1"/>
    <xf numFmtId="0" fontId="39" fillId="2" borderId="35" xfId="0" applyFont="1" applyFill="1" applyBorder="1"/>
    <xf numFmtId="168" fontId="45" fillId="2" borderId="34" xfId="0" applyNumberFormat="1" applyFont="1" applyFill="1" applyBorder="1"/>
    <xf numFmtId="0" fontId="44" fillId="2" borderId="0" xfId="0" applyFont="1" applyFill="1" applyAlignment="1">
      <alignment horizontal="right" vertical="center"/>
    </xf>
    <xf numFmtId="0" fontId="16" fillId="2" borderId="0" xfId="0" applyFont="1" applyFill="1"/>
    <xf numFmtId="168" fontId="39" fillId="2" borderId="0" xfId="0" applyNumberFormat="1" applyFont="1" applyFill="1"/>
    <xf numFmtId="0" fontId="1" fillId="6" borderId="4" xfId="0" applyFont="1" applyFill="1" applyBorder="1" applyAlignment="1">
      <alignment vertical="center"/>
    </xf>
    <xf numFmtId="0" fontId="48" fillId="3" borderId="2" xfId="0" applyFont="1" applyFill="1" applyBorder="1" applyAlignment="1">
      <alignment horizontal="center" vertical="center" wrapText="1"/>
    </xf>
    <xf numFmtId="169" fontId="1" fillId="2" borderId="2" xfId="0" applyNumberFormat="1" applyFont="1" applyFill="1" applyBorder="1" applyAlignment="1">
      <alignment horizontal="center" vertical="center"/>
    </xf>
    <xf numFmtId="0" fontId="49" fillId="4" borderId="3" xfId="0" applyFont="1" applyFill="1" applyBorder="1" applyAlignment="1">
      <alignment horizontal="center" vertical="center" wrapText="1"/>
    </xf>
    <xf numFmtId="0" fontId="49" fillId="5" borderId="3" xfId="0" applyFont="1" applyFill="1" applyBorder="1" applyAlignment="1">
      <alignment horizontal="center" vertical="center" wrapText="1"/>
    </xf>
    <xf numFmtId="169" fontId="1" fillId="2" borderId="3" xfId="0" applyNumberFormat="1" applyFont="1" applyFill="1" applyBorder="1" applyAlignment="1">
      <alignment vertical="center"/>
    </xf>
    <xf numFmtId="169" fontId="1" fillId="2" borderId="3" xfId="0" applyNumberFormat="1" applyFont="1" applyFill="1" applyBorder="1" applyAlignment="1">
      <alignment horizontal="center" vertical="center"/>
    </xf>
    <xf numFmtId="0" fontId="19" fillId="15" borderId="3" xfId="0" applyFont="1" applyFill="1" applyBorder="1" applyAlignment="1">
      <alignment vertical="top"/>
    </xf>
    <xf numFmtId="4" fontId="0" fillId="15" borderId="3" xfId="0" applyNumberFormat="1" applyFill="1" applyBorder="1"/>
    <xf numFmtId="43" fontId="0" fillId="15" borderId="3" xfId="0" applyNumberFormat="1" applyFill="1" applyBorder="1"/>
    <xf numFmtId="4" fontId="16" fillId="15" borderId="3" xfId="0" applyNumberFormat="1" applyFont="1" applyFill="1" applyBorder="1"/>
    <xf numFmtId="0" fontId="0" fillId="15" borderId="0" xfId="0" applyFill="1"/>
    <xf numFmtId="170" fontId="1" fillId="0" borderId="0" xfId="0" applyNumberFormat="1" applyFont="1" applyAlignment="1">
      <alignment vertical="center"/>
    </xf>
    <xf numFmtId="169" fontId="1" fillId="2" borderId="3" xfId="0" applyNumberFormat="1" applyFont="1" applyFill="1" applyBorder="1" applyAlignment="1">
      <alignment horizontal="center" vertical="center" wrapText="1"/>
    </xf>
    <xf numFmtId="4" fontId="11" fillId="0" borderId="6" xfId="0" applyNumberFormat="1" applyFont="1" applyBorder="1" applyAlignment="1">
      <alignment vertical="center"/>
    </xf>
    <xf numFmtId="4" fontId="11" fillId="0" borderId="3" xfId="0" applyNumberFormat="1" applyFont="1" applyBorder="1" applyAlignment="1">
      <alignment vertical="center"/>
    </xf>
    <xf numFmtId="4" fontId="1" fillId="16" borderId="3" xfId="0" applyNumberFormat="1" applyFont="1" applyFill="1" applyBorder="1" applyAlignment="1">
      <alignment vertical="center"/>
    </xf>
    <xf numFmtId="169" fontId="1" fillId="2" borderId="3" xfId="0" applyNumberFormat="1" applyFont="1" applyFill="1" applyBorder="1" applyAlignment="1">
      <alignment vertical="center" wrapText="1"/>
    </xf>
    <xf numFmtId="0" fontId="0" fillId="17" borderId="0" xfId="0" applyFill="1"/>
    <xf numFmtId="0" fontId="4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1" fillId="0" borderId="3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9" fontId="1" fillId="2" borderId="5" xfId="0" applyNumberFormat="1" applyFont="1" applyFill="1" applyBorder="1" applyAlignment="1">
      <alignment horizontal="center" vertical="center"/>
    </xf>
    <xf numFmtId="169" fontId="1" fillId="2" borderId="7" xfId="0" applyNumberFormat="1" applyFont="1" applyFill="1" applyBorder="1" applyAlignment="1">
      <alignment horizontal="center" vertical="center"/>
    </xf>
    <xf numFmtId="169" fontId="1" fillId="2" borderId="6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14" fontId="1" fillId="2" borderId="5" xfId="0" applyNumberFormat="1" applyFont="1" applyFill="1" applyBorder="1" applyAlignment="1">
      <alignment horizontal="left" vertical="center" wrapText="1"/>
    </xf>
    <xf numFmtId="14" fontId="1" fillId="2" borderId="7" xfId="0" applyNumberFormat="1" applyFont="1" applyFill="1" applyBorder="1" applyAlignment="1">
      <alignment horizontal="left" vertical="center" wrapText="1"/>
    </xf>
    <xf numFmtId="14" fontId="1" fillId="2" borderId="6" xfId="0" applyNumberFormat="1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23" fillId="12" borderId="1" xfId="0" applyFont="1" applyFill="1" applyBorder="1" applyAlignment="1">
      <alignment horizontal="center" vertical="top"/>
    </xf>
    <xf numFmtId="0" fontId="23" fillId="12" borderId="2" xfId="0" applyFont="1" applyFill="1" applyBorder="1" applyAlignment="1">
      <alignment horizontal="center" vertical="top"/>
    </xf>
    <xf numFmtId="0" fontId="17" fillId="0" borderId="0" xfId="0" applyFont="1" applyAlignment="1">
      <alignment horizontal="right"/>
    </xf>
    <xf numFmtId="0" fontId="44" fillId="2" borderId="0" xfId="0" applyFont="1" applyFill="1" applyAlignment="1">
      <alignment horizontal="center"/>
    </xf>
    <xf numFmtId="0" fontId="46" fillId="2" borderId="0" xfId="0" applyFont="1" applyFill="1" applyAlignment="1">
      <alignment horizontal="center" vertical="top" wrapText="1"/>
    </xf>
    <xf numFmtId="0" fontId="44" fillId="2" borderId="8" xfId="0" applyFont="1" applyFill="1" applyBorder="1" applyAlignment="1">
      <alignment horizontal="left" vertical="top"/>
    </xf>
    <xf numFmtId="0" fontId="44" fillId="2" borderId="13" xfId="0" applyFont="1" applyFill="1" applyBorder="1" applyAlignment="1">
      <alignment horizontal="left" vertical="top"/>
    </xf>
    <xf numFmtId="0" fontId="44" fillId="2" borderId="17" xfId="0" applyFont="1" applyFill="1" applyBorder="1" applyAlignment="1">
      <alignment horizontal="left" vertical="top"/>
    </xf>
    <xf numFmtId="0" fontId="44" fillId="2" borderId="10" xfId="0" applyFont="1" applyFill="1" applyBorder="1" applyAlignment="1">
      <alignment horizontal="left" vertical="top"/>
    </xf>
    <xf numFmtId="0" fontId="44" fillId="2" borderId="14" xfId="0" applyFont="1" applyFill="1" applyBorder="1" applyAlignment="1">
      <alignment horizontal="left" vertical="top"/>
    </xf>
    <xf numFmtId="0" fontId="44" fillId="2" borderId="19" xfId="0" applyFont="1" applyFill="1" applyBorder="1" applyAlignment="1">
      <alignment horizontal="left" vertical="top"/>
    </xf>
    <xf numFmtId="0" fontId="0" fillId="2" borderId="0" xfId="0" applyFill="1" applyAlignment="1">
      <alignment horizontal="left"/>
    </xf>
    <xf numFmtId="0" fontId="38" fillId="2" borderId="0" xfId="0" applyFont="1" applyFill="1" applyAlignment="1">
      <alignment horizontal="center"/>
    </xf>
    <xf numFmtId="0" fontId="40" fillId="2" borderId="0" xfId="0" applyFont="1" applyFill="1" applyAlignment="1">
      <alignment horizontal="center"/>
    </xf>
    <xf numFmtId="0" fontId="41" fillId="2" borderId="0" xfId="0" applyFont="1" applyFill="1" applyAlignment="1">
      <alignment horizontal="left" vertical="center"/>
    </xf>
    <xf numFmtId="167" fontId="42" fillId="2" borderId="20" xfId="2" applyNumberFormat="1" applyFont="1" applyFill="1" applyBorder="1" applyAlignment="1">
      <alignment horizontal="left" vertical="center"/>
    </xf>
    <xf numFmtId="0" fontId="41" fillId="2" borderId="14" xfId="0" applyFont="1" applyFill="1" applyBorder="1" applyAlignment="1">
      <alignment horizontal="left"/>
    </xf>
    <xf numFmtId="0" fontId="44" fillId="2" borderId="0" xfId="0" applyFont="1" applyFill="1" applyAlignment="1">
      <alignment horizontal="left"/>
    </xf>
    <xf numFmtId="0" fontId="44" fillId="14" borderId="21" xfId="0" applyFont="1" applyFill="1" applyBorder="1" applyAlignment="1">
      <alignment horizontal="center" vertical="center"/>
    </xf>
    <xf numFmtId="0" fontId="44" fillId="14" borderId="22" xfId="0" applyFont="1" applyFill="1" applyBorder="1" applyAlignment="1">
      <alignment horizontal="center" vertical="center"/>
    </xf>
    <xf numFmtId="0" fontId="44" fillId="14" borderId="23" xfId="0" applyFont="1" applyFill="1" applyBorder="1" applyAlignment="1">
      <alignment horizontal="center" vertical="center"/>
    </xf>
    <xf numFmtId="0" fontId="44" fillId="2" borderId="31" xfId="0" applyFont="1" applyFill="1" applyBorder="1" applyAlignment="1">
      <alignment horizontal="right" vertical="center"/>
    </xf>
    <xf numFmtId="0" fontId="44" fillId="2" borderId="32" xfId="0" applyFont="1" applyFill="1" applyBorder="1" applyAlignment="1">
      <alignment horizontal="right" vertical="center"/>
    </xf>
    <xf numFmtId="0" fontId="29" fillId="2" borderId="0" xfId="2" applyFont="1" applyFill="1" applyAlignment="1">
      <alignment horizontal="left" vertical="center"/>
    </xf>
    <xf numFmtId="0" fontId="28" fillId="2" borderId="0" xfId="2" applyFont="1" applyFill="1" applyAlignment="1">
      <alignment horizontal="center"/>
    </xf>
    <xf numFmtId="0" fontId="34" fillId="2" borderId="0" xfId="2" applyFont="1" applyFill="1" applyAlignment="1">
      <alignment horizontal="left"/>
    </xf>
    <xf numFmtId="0" fontId="31" fillId="2" borderId="0" xfId="2" applyFont="1" applyFill="1" applyAlignment="1">
      <alignment horizontal="center" vertical="center"/>
    </xf>
    <xf numFmtId="14" fontId="32" fillId="2" borderId="15" xfId="2" applyNumberFormat="1" applyFont="1" applyFill="1" applyBorder="1" applyAlignment="1">
      <alignment horizontal="left" vertical="center"/>
    </xf>
    <xf numFmtId="0" fontId="32" fillId="2" borderId="16" xfId="2" applyFont="1" applyFill="1" applyBorder="1" applyAlignment="1">
      <alignment horizontal="left" vertical="center"/>
    </xf>
    <xf numFmtId="0" fontId="29" fillId="2" borderId="12" xfId="2" applyFont="1" applyFill="1" applyBorder="1" applyAlignment="1">
      <alignment horizontal="left" vertical="center"/>
    </xf>
    <xf numFmtId="0" fontId="32" fillId="2" borderId="1" xfId="2" applyFont="1" applyFill="1" applyBorder="1" applyAlignment="1">
      <alignment horizontal="left" vertical="center"/>
    </xf>
    <xf numFmtId="0" fontId="32" fillId="2" borderId="4" xfId="2" applyFont="1" applyFill="1" applyBorder="1" applyAlignment="1">
      <alignment horizontal="left" vertical="center"/>
    </xf>
    <xf numFmtId="0" fontId="32" fillId="2" borderId="2" xfId="2" applyFont="1" applyFill="1" applyBorder="1" applyAlignment="1">
      <alignment horizontal="left" vertical="center"/>
    </xf>
    <xf numFmtId="0" fontId="28" fillId="2" borderId="15" xfId="2" applyFont="1" applyFill="1" applyBorder="1" applyAlignment="1">
      <alignment horizontal="center" vertical="center"/>
    </xf>
    <xf numFmtId="0" fontId="28" fillId="2" borderId="11" xfId="2" applyFont="1" applyFill="1" applyBorder="1" applyAlignment="1">
      <alignment horizontal="center" vertical="center"/>
    </xf>
    <xf numFmtId="43" fontId="32" fillId="2" borderId="1" xfId="1" applyFont="1" applyFill="1" applyBorder="1" applyAlignment="1">
      <alignment horizontal="left" vertical="center"/>
    </xf>
    <xf numFmtId="43" fontId="32" fillId="2" borderId="2" xfId="1" applyFont="1" applyFill="1" applyBorder="1" applyAlignment="1">
      <alignment horizontal="left" vertical="center"/>
    </xf>
    <xf numFmtId="0" fontId="30" fillId="2" borderId="9" xfId="2" applyFont="1" applyFill="1" applyBorder="1" applyAlignment="1">
      <alignment horizontal="left" vertical="top" wrapText="1" indent="2"/>
    </xf>
    <xf numFmtId="0" fontId="30" fillId="2" borderId="0" xfId="2" applyFont="1" applyFill="1" applyAlignment="1">
      <alignment horizontal="left" vertical="top" wrapText="1" indent="2"/>
    </xf>
    <xf numFmtId="0" fontId="30" fillId="2" borderId="18" xfId="2" applyFont="1" applyFill="1" applyBorder="1" applyAlignment="1">
      <alignment horizontal="left" vertical="top" wrapText="1" indent="2"/>
    </xf>
    <xf numFmtId="0" fontId="30" fillId="2" borderId="10" xfId="2" applyFont="1" applyFill="1" applyBorder="1" applyAlignment="1">
      <alignment horizontal="left" vertical="top" wrapText="1" indent="2"/>
    </xf>
    <xf numFmtId="0" fontId="30" fillId="2" borderId="14" xfId="2" applyFont="1" applyFill="1" applyBorder="1" applyAlignment="1">
      <alignment horizontal="left" vertical="top" wrapText="1" indent="2"/>
    </xf>
    <xf numFmtId="0" fontId="30" fillId="2" borderId="19" xfId="2" applyFont="1" applyFill="1" applyBorder="1" applyAlignment="1">
      <alignment horizontal="left" vertical="top" wrapText="1" indent="2"/>
    </xf>
    <xf numFmtId="0" fontId="28" fillId="2" borderId="11" xfId="2" applyFont="1" applyFill="1" applyBorder="1" applyAlignment="1">
      <alignment horizontal="center"/>
    </xf>
    <xf numFmtId="0" fontId="28" fillId="2" borderId="0" xfId="2" applyFont="1" applyFill="1" applyAlignment="1">
      <alignment horizontal="center" vertical="center"/>
    </xf>
  </cellXfs>
  <cellStyles count="5">
    <cellStyle name="Millares" xfId="1" builtinId="3"/>
    <cellStyle name="Millares 2" xfId="3" xr:uid="{00000000-0005-0000-0000-000001000000}"/>
    <cellStyle name="Millares 2 2" xfId="4" xr:uid="{00000000-0005-0000-0000-000002000000}"/>
    <cellStyle name="Normal" xfId="0" builtinId="0"/>
    <cellStyle name="Normal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84665</xdr:colOff>
      <xdr:row>0</xdr:row>
      <xdr:rowOff>169334</xdr:rowOff>
    </xdr:from>
    <xdr:ext cx="1895724" cy="920750"/>
    <xdr:pic>
      <xdr:nvPicPr>
        <xdr:cNvPr id="2" name="Imagen 10">
          <a:extLst>
            <a:ext uri="{FF2B5EF4-FFF2-40B4-BE49-F238E27FC236}">
              <a16:creationId xmlns:a16="http://schemas.microsoft.com/office/drawing/2014/main" id="{5864F0B5-438F-451D-BC76-CAE81D925E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398990" y="169334"/>
          <a:ext cx="1895724" cy="920750"/>
        </a:xfrm>
        <a:prstGeom prst="rect">
          <a:avLst/>
        </a:prstGeom>
      </xdr:spPr>
    </xdr:pic>
    <xdr:clientData/>
  </xdr:oneCellAnchor>
  <xdr:oneCellAnchor>
    <xdr:from>
      <xdr:col>8</xdr:col>
      <xdr:colOff>287965</xdr:colOff>
      <xdr:row>0</xdr:row>
      <xdr:rowOff>191486</xdr:rowOff>
    </xdr:from>
    <xdr:ext cx="1125736" cy="920750"/>
    <xdr:pic>
      <xdr:nvPicPr>
        <xdr:cNvPr id="3" name="Imagen 4">
          <a:extLst>
            <a:ext uri="{FF2B5EF4-FFF2-40B4-BE49-F238E27FC236}">
              <a16:creationId xmlns:a16="http://schemas.microsoft.com/office/drawing/2014/main" id="{15B97E13-95A3-4499-8427-B3B121254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8340" y="191486"/>
          <a:ext cx="1125736" cy="920750"/>
        </a:xfrm>
        <a:prstGeom prst="rect">
          <a:avLst/>
        </a:prstGeom>
        <a:noFill/>
        <a:ln>
          <a:noFill/>
        </a:ln>
        <a:effectLst>
          <a:glow>
            <a:schemeClr val="bg1">
              <a:alpha val="63000"/>
            </a:schemeClr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84665</xdr:colOff>
      <xdr:row>0</xdr:row>
      <xdr:rowOff>169334</xdr:rowOff>
    </xdr:from>
    <xdr:ext cx="1895724" cy="920750"/>
    <xdr:pic>
      <xdr:nvPicPr>
        <xdr:cNvPr id="2" name="Imagen 10">
          <a:extLst>
            <a:ext uri="{FF2B5EF4-FFF2-40B4-BE49-F238E27FC236}">
              <a16:creationId xmlns:a16="http://schemas.microsoft.com/office/drawing/2014/main" id="{7CEA9355-D0BF-4CA6-892C-C0E752FA9A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398990" y="169334"/>
          <a:ext cx="1895724" cy="920750"/>
        </a:xfrm>
        <a:prstGeom prst="rect">
          <a:avLst/>
        </a:prstGeom>
      </xdr:spPr>
    </xdr:pic>
    <xdr:clientData/>
  </xdr:oneCellAnchor>
  <xdr:oneCellAnchor>
    <xdr:from>
      <xdr:col>8</xdr:col>
      <xdr:colOff>287965</xdr:colOff>
      <xdr:row>0</xdr:row>
      <xdr:rowOff>191486</xdr:rowOff>
    </xdr:from>
    <xdr:ext cx="1125736" cy="920750"/>
    <xdr:pic>
      <xdr:nvPicPr>
        <xdr:cNvPr id="3" name="Imagen 4">
          <a:extLst>
            <a:ext uri="{FF2B5EF4-FFF2-40B4-BE49-F238E27FC236}">
              <a16:creationId xmlns:a16="http://schemas.microsoft.com/office/drawing/2014/main" id="{C4ED5B7E-3939-473C-801C-E8236855A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9740" y="191486"/>
          <a:ext cx="1125736" cy="920750"/>
        </a:xfrm>
        <a:prstGeom prst="rect">
          <a:avLst/>
        </a:prstGeom>
        <a:noFill/>
        <a:ln>
          <a:noFill/>
        </a:ln>
        <a:effectLst>
          <a:glow>
            <a:schemeClr val="bg1">
              <a:alpha val="63000"/>
            </a:schemeClr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209551</xdr:colOff>
      <xdr:row>1</xdr:row>
      <xdr:rowOff>19051</xdr:rowOff>
    </xdr:from>
    <xdr:ext cx="1314450" cy="638426"/>
    <xdr:pic>
      <xdr:nvPicPr>
        <xdr:cNvPr id="2" name="Imagen 10">
          <a:extLst>
            <a:ext uri="{FF2B5EF4-FFF2-40B4-BE49-F238E27FC236}">
              <a16:creationId xmlns:a16="http://schemas.microsoft.com/office/drawing/2014/main" id="{9574F598-3752-4DBB-B8E1-9FC6A95C50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232" t="29109" r="69336" b="53425"/>
        <a:stretch/>
      </xdr:blipFill>
      <xdr:spPr>
        <a:xfrm>
          <a:off x="209551" y="209551"/>
          <a:ext cx="1314450" cy="638426"/>
        </a:xfrm>
        <a:prstGeom prst="rect">
          <a:avLst/>
        </a:prstGeom>
      </xdr:spPr>
    </xdr:pic>
    <xdr:clientData/>
  </xdr:oneCellAnchor>
  <xdr:oneCellAnchor>
    <xdr:from>
      <xdr:col>7</xdr:col>
      <xdr:colOff>254820</xdr:colOff>
      <xdr:row>1</xdr:row>
      <xdr:rowOff>19052</xdr:rowOff>
    </xdr:from>
    <xdr:ext cx="756959" cy="619124"/>
    <xdr:pic>
      <xdr:nvPicPr>
        <xdr:cNvPr id="3" name="Imagen 4">
          <a:extLst>
            <a:ext uri="{FF2B5EF4-FFF2-40B4-BE49-F238E27FC236}">
              <a16:creationId xmlns:a16="http://schemas.microsoft.com/office/drawing/2014/main" id="{6CC5DB5D-6DFE-4131-9166-4AF113930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8770" y="209552"/>
          <a:ext cx="756959" cy="619124"/>
        </a:xfrm>
        <a:prstGeom prst="rect">
          <a:avLst/>
        </a:prstGeom>
        <a:noFill/>
        <a:ln>
          <a:noFill/>
        </a:ln>
        <a:effectLst>
          <a:glow>
            <a:schemeClr val="bg1">
              <a:alpha val="63000"/>
            </a:schemeClr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1</xdr:row>
      <xdr:rowOff>104775</xdr:rowOff>
    </xdr:from>
    <xdr:ext cx="1963381" cy="990600"/>
    <xdr:pic>
      <xdr:nvPicPr>
        <xdr:cNvPr id="3" name="Imagen 2">
          <a:extLst>
            <a:ext uri="{FF2B5EF4-FFF2-40B4-BE49-F238E27FC236}">
              <a16:creationId xmlns:a16="http://schemas.microsoft.com/office/drawing/2014/main" id="{106BD7B2-8D67-42C6-8D06-CF3D61D55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04775"/>
          <a:ext cx="1963381" cy="9906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ema%20Asociados%20SRL/1_GESTION%2009-2023/CAJA%20CHICA/DETALLE%20DE%20CAJA%202023-2024/Flujo%20de%20Caja%20y%20Caja%20Chica%20DICIEMBRE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NDICION DE CAJA CHICA"/>
      <sheetName val="ARQUEO DE CAJA"/>
      <sheetName val="CONTROL CAJA"/>
      <sheetName val="Viaje La Paz"/>
      <sheetName val="Hoja2"/>
      <sheetName val="desfile chocolatada"/>
      <sheetName val="PESO DE MALETA 24R"/>
    </sheetNames>
    <sheetDataSet>
      <sheetData sheetId="0">
        <row r="9">
          <cell r="J9">
            <v>233.52</v>
          </cell>
        </row>
        <row r="28">
          <cell r="H28">
            <v>2000</v>
          </cell>
          <cell r="I28">
            <v>2233.52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7C398-B19B-49EC-8AFF-2C52BD1AC35B}">
  <sheetPr codeName="Hoja11"/>
  <dimension ref="A1:AK167"/>
  <sheetViews>
    <sheetView topLeftCell="B6" zoomScale="90" zoomScaleNormal="90" workbookViewId="0">
      <pane xSplit="9" ySplit="1" topLeftCell="K138" activePane="bottomRight" state="frozen"/>
      <selection activeCell="B6" sqref="B6"/>
      <selection pane="topRight" activeCell="K6" sqref="K6"/>
      <selection pane="bottomLeft" activeCell="B7" sqref="B7"/>
      <selection pane="bottomRight" activeCell="B142" sqref="B142:G142"/>
    </sheetView>
  </sheetViews>
  <sheetFormatPr baseColWidth="10" defaultColWidth="11.42578125" defaultRowHeight="15.75" x14ac:dyDescent="0.25"/>
  <cols>
    <col min="1" max="1" width="4.7109375" style="4" customWidth="1"/>
    <col min="2" max="2" width="4.28515625" style="4" customWidth="1"/>
    <col min="3" max="3" width="9.42578125" style="23" customWidth="1"/>
    <col min="4" max="4" width="10.42578125" style="23" customWidth="1"/>
    <col min="5" max="5" width="12.140625" style="9" customWidth="1"/>
    <col min="6" max="6" width="36.7109375" style="22" customWidth="1"/>
    <col min="7" max="7" width="14.140625" style="22" customWidth="1"/>
    <col min="8" max="8" width="10.28515625" style="4" customWidth="1"/>
    <col min="9" max="9" width="11.42578125" style="4" customWidth="1"/>
    <col min="10" max="10" width="11.85546875" style="4" customWidth="1"/>
    <col min="11" max="12" width="9" style="22" customWidth="1"/>
    <col min="13" max="13" width="11.85546875" style="4" customWidth="1"/>
    <col min="14" max="14" width="10.85546875" style="4" customWidth="1"/>
    <col min="15" max="15" width="9.85546875" style="4" customWidth="1"/>
    <col min="16" max="19" width="9.7109375" style="4" customWidth="1"/>
    <col min="20" max="21" width="0" style="4" hidden="1" customWidth="1"/>
    <col min="22" max="22" width="10" style="4" customWidth="1"/>
    <col min="23" max="24" width="0" style="4" hidden="1" customWidth="1"/>
    <col min="25" max="25" width="9.5703125" style="4" customWidth="1"/>
    <col min="26" max="26" width="0" style="4" hidden="1" customWidth="1"/>
    <col min="27" max="29" width="9.28515625" style="4" customWidth="1"/>
    <col min="30" max="30" width="0" style="4" hidden="1" customWidth="1"/>
    <col min="31" max="31" width="8.5703125" style="4" customWidth="1"/>
    <col min="32" max="32" width="10.7109375" style="4" customWidth="1"/>
    <col min="33" max="33" width="9.28515625" style="4" customWidth="1"/>
    <col min="34" max="34" width="9.42578125" style="4" customWidth="1"/>
    <col min="35" max="35" width="11.42578125" style="4"/>
    <col min="36" max="36" width="0" style="4" hidden="1" customWidth="1"/>
    <col min="37" max="16384" width="11.42578125" style="4"/>
  </cols>
  <sheetData>
    <row r="1" spans="1:37" x14ac:dyDescent="0.25">
      <c r="A1" s="1"/>
      <c r="B1" s="1"/>
      <c r="C1" s="2"/>
      <c r="D1" s="2"/>
      <c r="E1" s="5"/>
      <c r="F1" s="3"/>
      <c r="G1" s="3"/>
      <c r="H1" s="1"/>
      <c r="I1" s="1"/>
      <c r="J1" s="1"/>
      <c r="K1" s="3"/>
      <c r="L1" s="3"/>
    </row>
    <row r="2" spans="1:37" x14ac:dyDescent="0.25">
      <c r="A2" s="1"/>
      <c r="B2" s="1"/>
      <c r="C2" s="2"/>
      <c r="D2" s="2"/>
      <c r="E2" s="5"/>
      <c r="F2" s="3"/>
      <c r="G2" s="3"/>
      <c r="H2" s="1"/>
      <c r="I2" s="1"/>
      <c r="J2" s="1"/>
      <c r="K2" s="3"/>
      <c r="L2" s="3"/>
    </row>
    <row r="3" spans="1:37" ht="29.25" x14ac:dyDescent="0.25">
      <c r="A3" s="1"/>
      <c r="B3" s="153" t="s">
        <v>0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</row>
    <row r="4" spans="1:37" ht="24.75" x14ac:dyDescent="0.25">
      <c r="A4" s="1"/>
      <c r="B4" s="152" t="s">
        <v>131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</row>
    <row r="5" spans="1:37" x14ac:dyDescent="0.25">
      <c r="A5" s="1"/>
      <c r="B5" s="1"/>
      <c r="C5" s="2"/>
      <c r="D5" s="2"/>
      <c r="E5" s="5"/>
      <c r="F5" s="3"/>
      <c r="G5" s="3"/>
      <c r="H5" s="1"/>
      <c r="I5" s="1"/>
      <c r="J5" s="1"/>
      <c r="K5" s="154" t="s">
        <v>1</v>
      </c>
      <c r="L5" s="155"/>
    </row>
    <row r="6" spans="1:37" s="9" customFormat="1" ht="45.75" customHeight="1" x14ac:dyDescent="0.25">
      <c r="A6" s="5"/>
      <c r="B6" s="6" t="s">
        <v>2</v>
      </c>
      <c r="C6" s="29" t="s">
        <v>3</v>
      </c>
      <c r="D6" s="128" t="s">
        <v>4</v>
      </c>
      <c r="E6" s="29" t="s">
        <v>5</v>
      </c>
      <c r="F6" s="6" t="s">
        <v>6</v>
      </c>
      <c r="G6" s="6" t="s">
        <v>7</v>
      </c>
      <c r="H6" s="6" t="s">
        <v>8</v>
      </c>
      <c r="I6" s="6" t="s">
        <v>9</v>
      </c>
      <c r="J6" s="6" t="s">
        <v>10</v>
      </c>
      <c r="K6" s="130" t="s">
        <v>11</v>
      </c>
      <c r="L6" s="131" t="s">
        <v>12</v>
      </c>
      <c r="M6" s="6" t="s">
        <v>48</v>
      </c>
      <c r="N6" s="6" t="s">
        <v>25</v>
      </c>
      <c r="O6" s="6" t="s">
        <v>42</v>
      </c>
      <c r="P6" s="6" t="s">
        <v>26</v>
      </c>
      <c r="Q6" s="6" t="s">
        <v>27</v>
      </c>
      <c r="R6" s="6" t="s">
        <v>47</v>
      </c>
      <c r="S6" s="6" t="s">
        <v>43</v>
      </c>
      <c r="T6" s="6" t="s">
        <v>28</v>
      </c>
      <c r="U6" s="6" t="s">
        <v>46</v>
      </c>
      <c r="V6" s="6" t="s">
        <v>44</v>
      </c>
      <c r="W6" s="39" t="s">
        <v>29</v>
      </c>
      <c r="X6" s="6" t="s">
        <v>30</v>
      </c>
      <c r="Y6" s="6" t="s">
        <v>37</v>
      </c>
      <c r="Z6" s="6" t="s">
        <v>45</v>
      </c>
      <c r="AA6" s="6" t="s">
        <v>36</v>
      </c>
      <c r="AB6" s="6" t="s">
        <v>34</v>
      </c>
      <c r="AC6" s="6" t="s">
        <v>35</v>
      </c>
      <c r="AD6" s="6" t="s">
        <v>49</v>
      </c>
      <c r="AE6" s="39" t="s">
        <v>31</v>
      </c>
      <c r="AF6" s="39" t="s">
        <v>32</v>
      </c>
      <c r="AG6" s="39" t="s">
        <v>40</v>
      </c>
      <c r="AH6" s="39" t="s">
        <v>39</v>
      </c>
      <c r="AI6" s="39" t="s">
        <v>38</v>
      </c>
      <c r="AJ6" s="39" t="s">
        <v>41</v>
      </c>
      <c r="AK6" s="39" t="s">
        <v>33</v>
      </c>
    </row>
    <row r="7" spans="1:37" x14ac:dyDescent="0.25">
      <c r="A7" s="1"/>
      <c r="B7" s="10">
        <v>1</v>
      </c>
      <c r="C7" s="129">
        <v>45992</v>
      </c>
      <c r="D7" s="11"/>
      <c r="E7" s="38"/>
      <c r="F7" s="12" t="s">
        <v>13</v>
      </c>
      <c r="G7" s="13"/>
      <c r="H7" s="25"/>
      <c r="I7" s="14"/>
      <c r="J7" s="15" t="e">
        <f>#REF!</f>
        <v>#REF!</v>
      </c>
      <c r="K7" s="13"/>
      <c r="L7" s="13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</row>
    <row r="8" spans="1:37" ht="31.5" x14ac:dyDescent="0.25">
      <c r="A8" s="1"/>
      <c r="B8" s="10">
        <f>B7+1</f>
        <v>2</v>
      </c>
      <c r="C8" s="129">
        <v>45993</v>
      </c>
      <c r="D8" s="133" t="s">
        <v>133</v>
      </c>
      <c r="E8" s="26" t="s">
        <v>136</v>
      </c>
      <c r="F8" s="68" t="s">
        <v>137</v>
      </c>
      <c r="G8" s="17" t="s">
        <v>138</v>
      </c>
      <c r="H8" s="18">
        <v>11422</v>
      </c>
      <c r="I8" s="16"/>
      <c r="J8" s="14" t="e">
        <f>J7+H8-I8</f>
        <v>#REF!</v>
      </c>
      <c r="K8" s="13"/>
      <c r="L8" s="13"/>
      <c r="M8" s="24"/>
      <c r="N8" s="24"/>
      <c r="O8" s="18"/>
      <c r="P8" s="24"/>
      <c r="Q8" s="18"/>
      <c r="R8" s="18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</row>
    <row r="9" spans="1:37" ht="31.5" x14ac:dyDescent="0.25">
      <c r="A9" s="1"/>
      <c r="B9" s="10">
        <f t="shared" ref="B9:B102" si="0">B8+1</f>
        <v>3</v>
      </c>
      <c r="C9" s="129">
        <v>45993</v>
      </c>
      <c r="D9" s="133" t="s">
        <v>133</v>
      </c>
      <c r="E9" s="26" t="s">
        <v>139</v>
      </c>
      <c r="F9" s="68" t="s">
        <v>137</v>
      </c>
      <c r="G9" s="17" t="s">
        <v>140</v>
      </c>
      <c r="H9" s="18">
        <v>6660</v>
      </c>
      <c r="I9" s="16"/>
      <c r="J9" s="14" t="e">
        <f t="shared" ref="J9:J101" si="1">J8+H9-I9</f>
        <v>#REF!</v>
      </c>
      <c r="K9" s="13"/>
      <c r="L9" s="13"/>
      <c r="M9" s="24"/>
      <c r="N9" s="24"/>
      <c r="O9" s="24"/>
      <c r="P9" s="24"/>
      <c r="Q9" s="18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</row>
    <row r="10" spans="1:37" ht="31.5" x14ac:dyDescent="0.25">
      <c r="A10" s="1"/>
      <c r="B10" s="10">
        <f t="shared" si="0"/>
        <v>4</v>
      </c>
      <c r="C10" s="129">
        <v>45993</v>
      </c>
      <c r="D10" s="133" t="s">
        <v>133</v>
      </c>
      <c r="E10" s="26" t="s">
        <v>126</v>
      </c>
      <c r="F10" s="68" t="s">
        <v>141</v>
      </c>
      <c r="G10" s="17" t="s">
        <v>142</v>
      </c>
      <c r="H10" s="18">
        <v>4362</v>
      </c>
      <c r="I10" s="16"/>
      <c r="J10" s="14" t="e">
        <f t="shared" si="1"/>
        <v>#REF!</v>
      </c>
      <c r="K10" s="13"/>
      <c r="L10" s="1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</row>
    <row r="11" spans="1:37" ht="31.5" x14ac:dyDescent="0.25">
      <c r="A11" s="1"/>
      <c r="B11" s="10">
        <f t="shared" si="0"/>
        <v>5</v>
      </c>
      <c r="C11" s="129">
        <v>45993</v>
      </c>
      <c r="D11" s="133" t="s">
        <v>133</v>
      </c>
      <c r="E11" s="26" t="s">
        <v>126</v>
      </c>
      <c r="F11" s="68" t="s">
        <v>137</v>
      </c>
      <c r="G11" s="17" t="s">
        <v>143</v>
      </c>
      <c r="H11" s="18">
        <v>8939</v>
      </c>
      <c r="I11" s="16"/>
      <c r="J11" s="14" t="e">
        <f t="shared" si="1"/>
        <v>#REF!</v>
      </c>
      <c r="K11" s="13"/>
      <c r="L11" s="13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18"/>
      <c r="AC11" s="24"/>
      <c r="AD11" s="24"/>
      <c r="AE11" s="24"/>
      <c r="AF11" s="24"/>
      <c r="AG11" s="24"/>
      <c r="AH11" s="24"/>
      <c r="AI11" s="24"/>
      <c r="AJ11" s="24"/>
      <c r="AK11" s="24"/>
    </row>
    <row r="12" spans="1:37" ht="47.25" x14ac:dyDescent="0.25">
      <c r="A12" s="1"/>
      <c r="B12" s="10">
        <f t="shared" si="0"/>
        <v>6</v>
      </c>
      <c r="C12" s="129">
        <v>45994</v>
      </c>
      <c r="D12" s="133" t="s">
        <v>133</v>
      </c>
      <c r="E12" s="26" t="s">
        <v>126</v>
      </c>
      <c r="F12" s="68" t="s">
        <v>144</v>
      </c>
      <c r="G12" s="17" t="s">
        <v>145</v>
      </c>
      <c r="H12" s="18">
        <v>2612</v>
      </c>
      <c r="I12" s="16"/>
      <c r="J12" s="14" t="e">
        <f t="shared" si="1"/>
        <v>#REF!</v>
      </c>
      <c r="K12" s="13"/>
      <c r="L12" s="13"/>
      <c r="M12" s="24"/>
      <c r="N12" s="16"/>
      <c r="O12" s="24"/>
      <c r="P12" s="24"/>
      <c r="Q12" s="24"/>
      <c r="R12" s="18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</row>
    <row r="13" spans="1:37" ht="63" x14ac:dyDescent="0.25">
      <c r="A13" s="1"/>
      <c r="B13" s="10">
        <f t="shared" si="0"/>
        <v>7</v>
      </c>
      <c r="C13" s="129">
        <v>45994</v>
      </c>
      <c r="D13" s="10" t="s">
        <v>220</v>
      </c>
      <c r="E13" s="26" t="s">
        <v>126</v>
      </c>
      <c r="F13" s="68" t="s">
        <v>147</v>
      </c>
      <c r="G13" s="17" t="s">
        <v>146</v>
      </c>
      <c r="H13" s="18"/>
      <c r="I13" s="16">
        <f>98+20+40</f>
        <v>158</v>
      </c>
      <c r="J13" s="14" t="e">
        <f t="shared" si="1"/>
        <v>#REF!</v>
      </c>
      <c r="K13" s="13"/>
      <c r="L13" s="13"/>
      <c r="M13" s="24"/>
      <c r="N13" s="16"/>
      <c r="O13" s="24"/>
      <c r="P13" s="18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</row>
    <row r="14" spans="1:37" ht="31.5" x14ac:dyDescent="0.25">
      <c r="A14" s="1"/>
      <c r="B14" s="10">
        <f t="shared" si="0"/>
        <v>8</v>
      </c>
      <c r="C14" s="129">
        <v>45994</v>
      </c>
      <c r="D14" s="133" t="s">
        <v>133</v>
      </c>
      <c r="E14" s="26" t="s">
        <v>139</v>
      </c>
      <c r="F14" s="68" t="s">
        <v>149</v>
      </c>
      <c r="G14" s="17" t="s">
        <v>148</v>
      </c>
      <c r="H14" s="18">
        <v>11000</v>
      </c>
      <c r="I14" s="16"/>
      <c r="J14" s="14" t="e">
        <f t="shared" si="1"/>
        <v>#REF!</v>
      </c>
      <c r="K14" s="13"/>
      <c r="L14" s="13"/>
      <c r="M14" s="24"/>
      <c r="N14" s="24"/>
      <c r="O14" s="24"/>
      <c r="P14" s="24"/>
      <c r="Q14" s="24"/>
      <c r="R14" s="18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</row>
    <row r="15" spans="1:37" ht="31.5" x14ac:dyDescent="0.25">
      <c r="A15" s="1"/>
      <c r="B15" s="10">
        <f t="shared" si="0"/>
        <v>9</v>
      </c>
      <c r="C15" s="129">
        <v>45994</v>
      </c>
      <c r="D15" s="133" t="s">
        <v>133</v>
      </c>
      <c r="E15" s="26" t="s">
        <v>136</v>
      </c>
      <c r="F15" s="68" t="s">
        <v>149</v>
      </c>
      <c r="G15" s="17" t="s">
        <v>150</v>
      </c>
      <c r="H15" s="18">
        <v>10096</v>
      </c>
      <c r="I15" s="16"/>
      <c r="J15" s="14" t="e">
        <f t="shared" si="1"/>
        <v>#REF!</v>
      </c>
      <c r="K15" s="13"/>
      <c r="L15" s="13"/>
      <c r="M15" s="24"/>
      <c r="N15" s="24"/>
      <c r="O15" s="24"/>
      <c r="P15" s="24"/>
      <c r="Q15" s="24"/>
      <c r="R15" s="24"/>
      <c r="S15" s="24"/>
      <c r="T15" s="24"/>
      <c r="U15" s="24"/>
      <c r="V15" s="18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</row>
    <row r="16" spans="1:37" ht="31.5" x14ac:dyDescent="0.25">
      <c r="A16" s="1"/>
      <c r="B16" s="10">
        <f t="shared" si="0"/>
        <v>10</v>
      </c>
      <c r="C16" s="129">
        <v>45994</v>
      </c>
      <c r="D16" s="133" t="s">
        <v>133</v>
      </c>
      <c r="E16" s="26" t="s">
        <v>126</v>
      </c>
      <c r="F16" s="68" t="s">
        <v>151</v>
      </c>
      <c r="G16" s="17" t="s">
        <v>152</v>
      </c>
      <c r="H16" s="18">
        <v>3941</v>
      </c>
      <c r="I16" s="16"/>
      <c r="J16" s="14" t="e">
        <f t="shared" si="1"/>
        <v>#REF!</v>
      </c>
      <c r="K16" s="13"/>
      <c r="L16" s="13"/>
      <c r="M16" s="24"/>
      <c r="N16" s="24"/>
      <c r="O16" s="24"/>
      <c r="P16" s="24"/>
      <c r="Q16" s="24"/>
      <c r="R16" s="18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</row>
    <row r="17" spans="1:37" ht="31.5" x14ac:dyDescent="0.25">
      <c r="A17" s="1"/>
      <c r="B17" s="10">
        <f t="shared" si="0"/>
        <v>11</v>
      </c>
      <c r="C17" s="129">
        <v>45995</v>
      </c>
      <c r="D17" s="133" t="s">
        <v>133</v>
      </c>
      <c r="E17" s="26" t="s">
        <v>136</v>
      </c>
      <c r="F17" s="68" t="s">
        <v>149</v>
      </c>
      <c r="G17" s="17" t="s">
        <v>153</v>
      </c>
      <c r="H17" s="16">
        <v>2130</v>
      </c>
      <c r="I17" s="16"/>
      <c r="J17" s="14" t="e">
        <f t="shared" si="1"/>
        <v>#REF!</v>
      </c>
      <c r="K17" s="13"/>
      <c r="L17" s="13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18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</row>
    <row r="18" spans="1:37" ht="31.5" x14ac:dyDescent="0.25">
      <c r="A18" s="1"/>
      <c r="B18" s="10">
        <f t="shared" si="0"/>
        <v>12</v>
      </c>
      <c r="C18" s="129">
        <v>45995</v>
      </c>
      <c r="D18" s="133" t="s">
        <v>133</v>
      </c>
      <c r="E18" s="26" t="s">
        <v>136</v>
      </c>
      <c r="F18" s="68" t="s">
        <v>151</v>
      </c>
      <c r="G18" s="17" t="s">
        <v>154</v>
      </c>
      <c r="H18" s="16">
        <v>6816</v>
      </c>
      <c r="I18" s="16"/>
      <c r="J18" s="14" t="e">
        <f t="shared" si="1"/>
        <v>#REF!</v>
      </c>
      <c r="K18" s="13"/>
      <c r="L18" s="13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</row>
    <row r="19" spans="1:37" ht="31.5" x14ac:dyDescent="0.25">
      <c r="A19" s="1"/>
      <c r="B19" s="10">
        <f t="shared" si="0"/>
        <v>13</v>
      </c>
      <c r="C19" s="129">
        <v>45995</v>
      </c>
      <c r="D19" s="133" t="s">
        <v>133</v>
      </c>
      <c r="E19" s="26" t="s">
        <v>139</v>
      </c>
      <c r="F19" s="68" t="s">
        <v>155</v>
      </c>
      <c r="G19" s="17" t="s">
        <v>156</v>
      </c>
      <c r="H19" s="16">
        <v>6600</v>
      </c>
      <c r="I19" s="16"/>
      <c r="J19" s="14" t="e">
        <f t="shared" si="1"/>
        <v>#REF!</v>
      </c>
      <c r="K19" s="13"/>
      <c r="L19" s="13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</row>
    <row r="20" spans="1:37" ht="31.5" x14ac:dyDescent="0.25">
      <c r="A20" s="1"/>
      <c r="B20" s="10">
        <f t="shared" si="0"/>
        <v>14</v>
      </c>
      <c r="C20" s="129">
        <v>45996</v>
      </c>
      <c r="D20" s="133" t="s">
        <v>133</v>
      </c>
      <c r="E20" s="26" t="s">
        <v>126</v>
      </c>
      <c r="F20" s="68" t="s">
        <v>157</v>
      </c>
      <c r="G20" s="17" t="s">
        <v>158</v>
      </c>
      <c r="H20" s="16">
        <v>1596</v>
      </c>
      <c r="I20" s="16"/>
      <c r="J20" s="14" t="e">
        <f t="shared" si="1"/>
        <v>#REF!</v>
      </c>
      <c r="K20" s="13"/>
      <c r="L20" s="1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</row>
    <row r="21" spans="1:37" ht="63" x14ac:dyDescent="0.25">
      <c r="A21" s="1"/>
      <c r="B21" s="10">
        <f t="shared" si="0"/>
        <v>15</v>
      </c>
      <c r="C21" s="129">
        <v>45996</v>
      </c>
      <c r="D21" s="10" t="s">
        <v>221</v>
      </c>
      <c r="E21" s="26" t="s">
        <v>126</v>
      </c>
      <c r="F21" s="68" t="s">
        <v>173</v>
      </c>
      <c r="G21" s="17" t="s">
        <v>172</v>
      </c>
      <c r="H21" s="18"/>
      <c r="I21" s="16">
        <f>110+23</f>
        <v>133</v>
      </c>
      <c r="J21" s="14" t="e">
        <f t="shared" si="1"/>
        <v>#REF!</v>
      </c>
      <c r="K21" s="13"/>
      <c r="L21" s="1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</row>
    <row r="22" spans="1:37" ht="47.25" x14ac:dyDescent="0.25">
      <c r="A22" s="1"/>
      <c r="B22" s="10"/>
      <c r="C22" s="129">
        <v>45996</v>
      </c>
      <c r="D22" s="10" t="s">
        <v>223</v>
      </c>
      <c r="E22" s="26" t="s">
        <v>130</v>
      </c>
      <c r="F22" s="68" t="s">
        <v>174</v>
      </c>
      <c r="G22" s="17" t="s">
        <v>19</v>
      </c>
      <c r="H22" s="18"/>
      <c r="I22" s="16">
        <v>20</v>
      </c>
      <c r="J22" s="14" t="e">
        <f t="shared" si="1"/>
        <v>#REF!</v>
      </c>
      <c r="K22" s="13"/>
      <c r="L22" s="13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</row>
    <row r="23" spans="1:37" ht="47.25" x14ac:dyDescent="0.25">
      <c r="A23" s="1"/>
      <c r="B23" s="10">
        <f>B21+1</f>
        <v>16</v>
      </c>
      <c r="C23" s="129">
        <v>45996</v>
      </c>
      <c r="D23" s="10" t="s">
        <v>222</v>
      </c>
      <c r="E23" s="27" t="s">
        <v>128</v>
      </c>
      <c r="F23" s="68" t="s">
        <v>175</v>
      </c>
      <c r="G23" s="17" t="s">
        <v>176</v>
      </c>
      <c r="H23" s="16"/>
      <c r="I23" s="16">
        <v>60</v>
      </c>
      <c r="J23" s="14" t="e">
        <f t="shared" si="1"/>
        <v>#REF!</v>
      </c>
      <c r="K23" s="13"/>
      <c r="L23" s="13"/>
      <c r="M23" s="24"/>
      <c r="N23" s="24"/>
      <c r="O23" s="24"/>
      <c r="P23" s="24"/>
      <c r="Q23" s="24"/>
      <c r="R23" s="18"/>
      <c r="S23" s="24"/>
      <c r="T23" s="24"/>
      <c r="U23" s="24"/>
      <c r="V23" s="24"/>
      <c r="W23" s="24"/>
      <c r="X23" s="24"/>
      <c r="Y23" s="18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</row>
    <row r="24" spans="1:37" ht="31.5" x14ac:dyDescent="0.25">
      <c r="A24" s="1"/>
      <c r="B24" s="10">
        <f t="shared" si="0"/>
        <v>17</v>
      </c>
      <c r="C24" s="129">
        <v>45996</v>
      </c>
      <c r="D24" s="10" t="s">
        <v>224</v>
      </c>
      <c r="E24" s="26" t="s">
        <v>68</v>
      </c>
      <c r="F24" s="17" t="s">
        <v>129</v>
      </c>
      <c r="G24" s="17" t="s">
        <v>122</v>
      </c>
      <c r="H24" s="18"/>
      <c r="I24" s="16">
        <v>14</v>
      </c>
      <c r="J24" s="14" t="e">
        <f t="shared" si="1"/>
        <v>#REF!</v>
      </c>
      <c r="K24" s="13"/>
      <c r="L24" s="13"/>
      <c r="M24" s="24"/>
      <c r="N24" s="24"/>
      <c r="O24" s="24"/>
      <c r="P24" s="24"/>
      <c r="Q24" s="18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18"/>
      <c r="AF24" s="24"/>
      <c r="AG24" s="24"/>
      <c r="AH24" s="24"/>
      <c r="AI24" s="24"/>
      <c r="AJ24" s="24"/>
      <c r="AK24" s="24"/>
    </row>
    <row r="25" spans="1:37" ht="108" customHeight="1" x14ac:dyDescent="0.25">
      <c r="A25" s="1"/>
      <c r="B25" s="10"/>
      <c r="C25" s="129">
        <v>45996</v>
      </c>
      <c r="D25" s="10" t="s">
        <v>225</v>
      </c>
      <c r="E25" s="26" t="s">
        <v>123</v>
      </c>
      <c r="F25" s="17" t="s">
        <v>178</v>
      </c>
      <c r="G25" s="17" t="s">
        <v>19</v>
      </c>
      <c r="H25" s="18"/>
      <c r="I25" s="16">
        <v>520</v>
      </c>
      <c r="J25" s="14" t="e">
        <f t="shared" si="1"/>
        <v>#REF!</v>
      </c>
      <c r="K25" s="13"/>
      <c r="L25" s="13"/>
      <c r="M25" s="24"/>
      <c r="N25" s="24"/>
      <c r="O25" s="24"/>
      <c r="P25" s="24"/>
      <c r="Q25" s="18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18"/>
      <c r="AF25" s="24"/>
      <c r="AG25" s="24"/>
      <c r="AH25" s="24"/>
      <c r="AI25" s="24"/>
      <c r="AJ25" s="24"/>
      <c r="AK25" s="24"/>
    </row>
    <row r="26" spans="1:37" ht="78.75" x14ac:dyDescent="0.25">
      <c r="A26" s="1"/>
      <c r="B26" s="10">
        <f>B24+1</f>
        <v>18</v>
      </c>
      <c r="C26" s="129">
        <v>45996</v>
      </c>
      <c r="D26" s="10" t="s">
        <v>226</v>
      </c>
      <c r="E26" s="26" t="s">
        <v>68</v>
      </c>
      <c r="F26" s="13" t="s">
        <v>186</v>
      </c>
      <c r="G26" s="17" t="s">
        <v>177</v>
      </c>
      <c r="H26" s="18"/>
      <c r="I26" s="16">
        <f>27+7</f>
        <v>34</v>
      </c>
      <c r="J26" s="14" t="e">
        <f t="shared" si="1"/>
        <v>#REF!</v>
      </c>
      <c r="K26" s="13"/>
      <c r="L26" s="13"/>
      <c r="M26" s="24"/>
      <c r="N26" s="24"/>
      <c r="O26" s="24"/>
      <c r="P26" s="24"/>
      <c r="Q26" s="18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18"/>
      <c r="AF26" s="24"/>
      <c r="AG26" s="24"/>
      <c r="AH26" s="24"/>
      <c r="AI26" s="24"/>
      <c r="AJ26" s="24"/>
      <c r="AK26" s="24"/>
    </row>
    <row r="27" spans="1:37" ht="31.5" x14ac:dyDescent="0.25">
      <c r="A27" s="1"/>
      <c r="B27" s="10">
        <f t="shared" si="0"/>
        <v>19</v>
      </c>
      <c r="C27" s="129">
        <v>45996</v>
      </c>
      <c r="D27" s="133" t="s">
        <v>133</v>
      </c>
      <c r="E27" s="26" t="s">
        <v>136</v>
      </c>
      <c r="F27" s="68" t="s">
        <v>157</v>
      </c>
      <c r="G27" s="17" t="s">
        <v>159</v>
      </c>
      <c r="H27" s="18">
        <v>3040</v>
      </c>
      <c r="I27" s="16"/>
      <c r="J27" s="14" t="e">
        <f t="shared" si="1"/>
        <v>#REF!</v>
      </c>
      <c r="K27" s="13"/>
      <c r="L27" s="13"/>
      <c r="M27" s="24"/>
      <c r="N27" s="24"/>
      <c r="O27" s="24"/>
      <c r="P27" s="24"/>
      <c r="Q27" s="18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18"/>
      <c r="AF27" s="24"/>
      <c r="AG27" s="24"/>
      <c r="AH27" s="24"/>
      <c r="AI27" s="24"/>
      <c r="AJ27" s="24"/>
      <c r="AK27" s="24"/>
    </row>
    <row r="28" spans="1:37" ht="31.5" x14ac:dyDescent="0.25">
      <c r="A28" s="1"/>
      <c r="B28" s="10">
        <f t="shared" si="0"/>
        <v>20</v>
      </c>
      <c r="C28" s="129">
        <v>45997</v>
      </c>
      <c r="D28" s="133" t="s">
        <v>133</v>
      </c>
      <c r="E28" s="26" t="s">
        <v>126</v>
      </c>
      <c r="F28" s="68" t="s">
        <v>160</v>
      </c>
      <c r="G28" s="17" t="s">
        <v>161</v>
      </c>
      <c r="H28" s="18">
        <v>2590</v>
      </c>
      <c r="I28" s="16"/>
      <c r="J28" s="14" t="e">
        <f t="shared" si="1"/>
        <v>#REF!</v>
      </c>
      <c r="K28" s="13"/>
      <c r="L28" s="13"/>
      <c r="M28" s="24"/>
      <c r="N28" s="24"/>
      <c r="O28" s="24"/>
      <c r="P28" s="18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</row>
    <row r="29" spans="1:37" ht="31.5" x14ac:dyDescent="0.25">
      <c r="A29" s="1"/>
      <c r="B29" s="10">
        <f t="shared" si="0"/>
        <v>21</v>
      </c>
      <c r="C29" s="129">
        <v>45997</v>
      </c>
      <c r="D29" s="10" t="s">
        <v>227</v>
      </c>
      <c r="E29" s="26" t="s">
        <v>126</v>
      </c>
      <c r="F29" s="68" t="s">
        <v>204</v>
      </c>
      <c r="G29" s="17" t="s">
        <v>179</v>
      </c>
      <c r="H29" s="18"/>
      <c r="I29" s="16">
        <v>105.5</v>
      </c>
      <c r="J29" s="14" t="e">
        <f t="shared" si="1"/>
        <v>#REF!</v>
      </c>
      <c r="K29" s="13"/>
      <c r="L29" s="13"/>
      <c r="M29" s="24"/>
      <c r="N29" s="24"/>
      <c r="O29" s="24"/>
      <c r="P29" s="18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</row>
    <row r="30" spans="1:37" ht="31.5" x14ac:dyDescent="0.25">
      <c r="A30" s="1"/>
      <c r="B30" s="10">
        <f t="shared" si="0"/>
        <v>22</v>
      </c>
      <c r="C30" s="129">
        <v>45997</v>
      </c>
      <c r="D30" s="133" t="s">
        <v>133</v>
      </c>
      <c r="E30" s="26" t="s">
        <v>139</v>
      </c>
      <c r="F30" s="68" t="s">
        <v>155</v>
      </c>
      <c r="G30" s="17" t="s">
        <v>162</v>
      </c>
      <c r="H30" s="18">
        <v>8500</v>
      </c>
      <c r="I30" s="16"/>
      <c r="J30" s="14" t="e">
        <f t="shared" si="1"/>
        <v>#REF!</v>
      </c>
      <c r="K30" s="13"/>
      <c r="L30" s="13"/>
      <c r="M30" s="24"/>
      <c r="N30" s="24"/>
      <c r="O30" s="24"/>
      <c r="P30" s="18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</row>
    <row r="31" spans="1:37" ht="47.25" x14ac:dyDescent="0.25">
      <c r="A31" s="1"/>
      <c r="B31" s="10">
        <f t="shared" si="0"/>
        <v>23</v>
      </c>
      <c r="C31" s="129">
        <v>45997</v>
      </c>
      <c r="D31" s="133" t="s">
        <v>133</v>
      </c>
      <c r="E31" s="26" t="s">
        <v>139</v>
      </c>
      <c r="F31" s="68" t="s">
        <v>164</v>
      </c>
      <c r="G31" s="17" t="s">
        <v>163</v>
      </c>
      <c r="H31" s="18">
        <v>5000</v>
      </c>
      <c r="I31" s="16"/>
      <c r="J31" s="14" t="e">
        <f t="shared" si="1"/>
        <v>#REF!</v>
      </c>
      <c r="K31" s="13"/>
      <c r="L31" s="13"/>
      <c r="M31" s="24"/>
      <c r="N31" s="24"/>
      <c r="O31" s="24"/>
      <c r="P31" s="18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</row>
    <row r="32" spans="1:37" ht="47.25" x14ac:dyDescent="0.25">
      <c r="A32" s="1"/>
      <c r="B32" s="10">
        <f t="shared" si="0"/>
        <v>24</v>
      </c>
      <c r="C32" s="129">
        <v>45997</v>
      </c>
      <c r="D32" s="133" t="s">
        <v>133</v>
      </c>
      <c r="E32" s="26" t="s">
        <v>136</v>
      </c>
      <c r="F32" s="68" t="s">
        <v>164</v>
      </c>
      <c r="G32" s="17" t="s">
        <v>165</v>
      </c>
      <c r="H32" s="18">
        <v>9134</v>
      </c>
      <c r="I32" s="16"/>
      <c r="J32" s="14" t="e">
        <f t="shared" si="1"/>
        <v>#REF!</v>
      </c>
      <c r="K32" s="13"/>
      <c r="L32" s="13"/>
      <c r="M32" s="24"/>
      <c r="N32" s="24"/>
      <c r="O32" s="24"/>
      <c r="P32" s="18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</row>
    <row r="33" spans="1:37" ht="31.5" x14ac:dyDescent="0.25">
      <c r="A33" s="1"/>
      <c r="B33" s="10">
        <f t="shared" si="0"/>
        <v>25</v>
      </c>
      <c r="C33" s="129">
        <v>45999</v>
      </c>
      <c r="D33" s="133" t="s">
        <v>133</v>
      </c>
      <c r="E33" s="26" t="s">
        <v>126</v>
      </c>
      <c r="F33" s="68" t="s">
        <v>166</v>
      </c>
      <c r="G33" s="17" t="s">
        <v>167</v>
      </c>
      <c r="H33" s="18">
        <v>6380</v>
      </c>
      <c r="I33" s="16"/>
      <c r="J33" s="14" t="e">
        <f t="shared" si="1"/>
        <v>#REF!</v>
      </c>
      <c r="K33" s="13"/>
      <c r="L33" s="13"/>
      <c r="M33" s="24"/>
      <c r="N33" s="24"/>
      <c r="O33" s="24"/>
      <c r="P33" s="18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</row>
    <row r="34" spans="1:37" ht="63" x14ac:dyDescent="0.25">
      <c r="A34" s="1"/>
      <c r="B34" s="10">
        <f t="shared" si="0"/>
        <v>26</v>
      </c>
      <c r="C34" s="129">
        <v>45999</v>
      </c>
      <c r="D34" s="10" t="s">
        <v>228</v>
      </c>
      <c r="E34" s="26" t="s">
        <v>68</v>
      </c>
      <c r="F34" s="13" t="s">
        <v>187</v>
      </c>
      <c r="G34" s="13" t="s">
        <v>180</v>
      </c>
      <c r="H34" s="18"/>
      <c r="I34" s="16">
        <v>900</v>
      </c>
      <c r="J34" s="14" t="e">
        <f t="shared" si="1"/>
        <v>#REF!</v>
      </c>
      <c r="K34" s="13"/>
      <c r="L34" s="13"/>
      <c r="M34" s="24"/>
      <c r="N34" s="24"/>
      <c r="O34" s="24"/>
      <c r="P34" s="18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</row>
    <row r="35" spans="1:37" ht="47.25" x14ac:dyDescent="0.25">
      <c r="A35" s="1"/>
      <c r="B35" s="10">
        <f t="shared" si="0"/>
        <v>27</v>
      </c>
      <c r="C35" s="129">
        <v>45999</v>
      </c>
      <c r="D35" s="133" t="s">
        <v>133</v>
      </c>
      <c r="E35" s="26" t="s">
        <v>139</v>
      </c>
      <c r="F35" s="68" t="s">
        <v>169</v>
      </c>
      <c r="G35" s="17" t="s">
        <v>168</v>
      </c>
      <c r="H35" s="18">
        <v>2742</v>
      </c>
      <c r="I35" s="16"/>
      <c r="J35" s="14" t="e">
        <f t="shared" si="1"/>
        <v>#REF!</v>
      </c>
      <c r="K35" s="13"/>
      <c r="L35" s="13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</row>
    <row r="36" spans="1:37" ht="31.5" x14ac:dyDescent="0.25">
      <c r="A36" s="1"/>
      <c r="B36" s="10">
        <f t="shared" si="0"/>
        <v>28</v>
      </c>
      <c r="C36" s="129">
        <v>45999</v>
      </c>
      <c r="D36" s="133" t="s">
        <v>133</v>
      </c>
      <c r="E36" s="26" t="s">
        <v>126</v>
      </c>
      <c r="F36" s="68" t="s">
        <v>170</v>
      </c>
      <c r="G36" s="17" t="s">
        <v>171</v>
      </c>
      <c r="H36" s="18">
        <v>1853</v>
      </c>
      <c r="I36" s="16"/>
      <c r="J36" s="14" t="e">
        <f t="shared" si="1"/>
        <v>#REF!</v>
      </c>
      <c r="K36" s="13"/>
      <c r="L36" s="13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</row>
    <row r="37" spans="1:37" ht="47.25" x14ac:dyDescent="0.25">
      <c r="A37" s="1"/>
      <c r="B37" s="10">
        <f t="shared" si="0"/>
        <v>29</v>
      </c>
      <c r="C37" s="129">
        <v>46000</v>
      </c>
      <c r="D37" s="133" t="s">
        <v>133</v>
      </c>
      <c r="E37" s="26" t="s">
        <v>136</v>
      </c>
      <c r="F37" s="68" t="s">
        <v>184</v>
      </c>
      <c r="G37" s="17" t="s">
        <v>183</v>
      </c>
      <c r="H37" s="18">
        <v>6612</v>
      </c>
      <c r="I37" s="16"/>
      <c r="J37" s="14" t="e">
        <f t="shared" si="1"/>
        <v>#REF!</v>
      </c>
      <c r="K37" s="13"/>
      <c r="L37" s="13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</row>
    <row r="38" spans="1:37" ht="47.25" x14ac:dyDescent="0.25">
      <c r="A38" s="1"/>
      <c r="B38" s="10">
        <f t="shared" si="0"/>
        <v>30</v>
      </c>
      <c r="C38" s="129">
        <v>46000</v>
      </c>
      <c r="D38" s="133" t="s">
        <v>133</v>
      </c>
      <c r="E38" s="26" t="s">
        <v>139</v>
      </c>
      <c r="F38" s="68" t="s">
        <v>181</v>
      </c>
      <c r="G38" s="17" t="s">
        <v>182</v>
      </c>
      <c r="H38" s="18">
        <v>4900</v>
      </c>
      <c r="I38" s="16"/>
      <c r="J38" s="14" t="e">
        <f t="shared" si="1"/>
        <v>#REF!</v>
      </c>
      <c r="K38" s="13"/>
      <c r="L38" s="13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</row>
    <row r="39" spans="1:37" ht="104.25" customHeight="1" x14ac:dyDescent="0.25">
      <c r="A39" s="1"/>
      <c r="B39" s="10">
        <f t="shared" si="0"/>
        <v>31</v>
      </c>
      <c r="C39" s="129">
        <v>46000</v>
      </c>
      <c r="D39" s="10" t="s">
        <v>229</v>
      </c>
      <c r="E39" s="26" t="s">
        <v>16</v>
      </c>
      <c r="F39" s="28" t="s">
        <v>185</v>
      </c>
      <c r="G39" s="13" t="s">
        <v>19</v>
      </c>
      <c r="H39" s="18"/>
      <c r="I39" s="16">
        <v>220</v>
      </c>
      <c r="J39" s="14" t="e">
        <f t="shared" si="1"/>
        <v>#REF!</v>
      </c>
      <c r="K39" s="13"/>
      <c r="L39" s="13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</row>
    <row r="40" spans="1:37" ht="31.5" x14ac:dyDescent="0.25">
      <c r="A40" s="1"/>
      <c r="B40" s="10">
        <f t="shared" si="0"/>
        <v>32</v>
      </c>
      <c r="C40" s="129">
        <v>46001</v>
      </c>
      <c r="D40" s="133" t="s">
        <v>133</v>
      </c>
      <c r="E40" s="26" t="s">
        <v>126</v>
      </c>
      <c r="F40" s="13" t="s">
        <v>188</v>
      </c>
      <c r="G40" s="17" t="s">
        <v>189</v>
      </c>
      <c r="H40" s="18">
        <v>4152</v>
      </c>
      <c r="I40" s="16"/>
      <c r="J40" s="14" t="e">
        <f t="shared" si="1"/>
        <v>#REF!</v>
      </c>
      <c r="K40" s="13"/>
      <c r="L40" s="13"/>
      <c r="M40" s="24"/>
      <c r="N40" s="24"/>
      <c r="O40" s="24"/>
      <c r="P40" s="24"/>
      <c r="Q40" s="24"/>
      <c r="R40" s="18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</row>
    <row r="41" spans="1:37" ht="31.5" x14ac:dyDescent="0.25">
      <c r="A41" s="1"/>
      <c r="B41" s="10">
        <f t="shared" si="0"/>
        <v>33</v>
      </c>
      <c r="C41" s="129">
        <v>46001</v>
      </c>
      <c r="D41" s="133" t="s">
        <v>230</v>
      </c>
      <c r="E41" s="26" t="s">
        <v>126</v>
      </c>
      <c r="F41" s="68" t="s">
        <v>193</v>
      </c>
      <c r="G41" s="17" t="s">
        <v>195</v>
      </c>
      <c r="H41" s="18"/>
      <c r="I41" s="16">
        <v>122</v>
      </c>
      <c r="J41" s="14" t="e">
        <f t="shared" si="1"/>
        <v>#REF!</v>
      </c>
      <c r="K41" s="13"/>
      <c r="L41" s="13"/>
      <c r="M41" s="24"/>
      <c r="N41" s="24"/>
      <c r="O41" s="24"/>
      <c r="P41" s="24"/>
      <c r="Q41" s="24"/>
      <c r="R41" s="18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</row>
    <row r="42" spans="1:37" ht="31.5" x14ac:dyDescent="0.25">
      <c r="A42" s="1"/>
      <c r="B42" s="10">
        <f t="shared" si="0"/>
        <v>34</v>
      </c>
      <c r="C42" s="129">
        <v>46001</v>
      </c>
      <c r="D42" s="133" t="s">
        <v>133</v>
      </c>
      <c r="E42" s="26" t="s">
        <v>136</v>
      </c>
      <c r="F42" s="68" t="s">
        <v>170</v>
      </c>
      <c r="G42" s="17" t="s">
        <v>190</v>
      </c>
      <c r="H42" s="18">
        <v>7106</v>
      </c>
      <c r="I42" s="16"/>
      <c r="J42" s="14" t="e">
        <f t="shared" si="1"/>
        <v>#REF!</v>
      </c>
      <c r="K42" s="13"/>
      <c r="L42" s="13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18"/>
      <c r="AG42" s="24"/>
      <c r="AH42" s="24"/>
      <c r="AI42" s="24"/>
      <c r="AJ42" s="24"/>
      <c r="AK42" s="24"/>
    </row>
    <row r="43" spans="1:37" ht="47.25" x14ac:dyDescent="0.25">
      <c r="A43" s="1"/>
      <c r="B43" s="10">
        <f t="shared" si="0"/>
        <v>35</v>
      </c>
      <c r="C43" s="129">
        <v>46001</v>
      </c>
      <c r="D43" s="133" t="s">
        <v>133</v>
      </c>
      <c r="E43" s="26" t="s">
        <v>139</v>
      </c>
      <c r="F43" s="68" t="s">
        <v>191</v>
      </c>
      <c r="G43" s="17" t="s">
        <v>192</v>
      </c>
      <c r="H43" s="18">
        <v>4000</v>
      </c>
      <c r="I43" s="16"/>
      <c r="J43" s="14" t="e">
        <f t="shared" si="1"/>
        <v>#REF!</v>
      </c>
      <c r="K43" s="13"/>
      <c r="L43" s="13"/>
      <c r="M43" s="24"/>
      <c r="N43" s="24"/>
      <c r="O43" s="24"/>
      <c r="P43" s="18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</row>
    <row r="44" spans="1:37" ht="31.5" x14ac:dyDescent="0.25">
      <c r="A44" s="1"/>
      <c r="B44" s="10">
        <f t="shared" si="0"/>
        <v>36</v>
      </c>
      <c r="C44" s="129">
        <v>46001</v>
      </c>
      <c r="D44" s="133" t="s">
        <v>231</v>
      </c>
      <c r="E44" s="27" t="s">
        <v>130</v>
      </c>
      <c r="F44" s="68" t="s">
        <v>194</v>
      </c>
      <c r="G44" s="17" t="s">
        <v>196</v>
      </c>
      <c r="H44" s="18"/>
      <c r="I44" s="16">
        <v>8</v>
      </c>
      <c r="J44" s="14" t="e">
        <f t="shared" si="1"/>
        <v>#REF!</v>
      </c>
      <c r="K44" s="13"/>
      <c r="L44" s="13"/>
      <c r="M44" s="24"/>
      <c r="N44" s="24"/>
      <c r="O44" s="24"/>
      <c r="P44" s="18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</row>
    <row r="45" spans="1:37" ht="31.5" x14ac:dyDescent="0.25">
      <c r="A45" s="1"/>
      <c r="B45" s="10">
        <f t="shared" si="0"/>
        <v>37</v>
      </c>
      <c r="C45" s="129">
        <v>46002</v>
      </c>
      <c r="D45" s="133" t="s">
        <v>133</v>
      </c>
      <c r="E45" s="27" t="s">
        <v>130</v>
      </c>
      <c r="F45" s="13" t="s">
        <v>197</v>
      </c>
      <c r="G45" s="17" t="s">
        <v>198</v>
      </c>
      <c r="H45" s="18">
        <v>3558</v>
      </c>
      <c r="I45" s="16"/>
      <c r="J45" s="14" t="e">
        <f t="shared" si="1"/>
        <v>#REF!</v>
      </c>
      <c r="K45" s="13"/>
      <c r="L45" s="13"/>
      <c r="M45" s="18"/>
      <c r="N45" s="24"/>
      <c r="O45" s="24"/>
      <c r="P45" s="24"/>
      <c r="Q45" s="24"/>
      <c r="R45" s="18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</row>
    <row r="46" spans="1:37" ht="31.5" x14ac:dyDescent="0.25">
      <c r="A46" s="1"/>
      <c r="B46" s="10">
        <f t="shared" si="0"/>
        <v>38</v>
      </c>
      <c r="C46" s="129">
        <v>46002</v>
      </c>
      <c r="D46" s="133" t="s">
        <v>133</v>
      </c>
      <c r="E46" s="26" t="s">
        <v>136</v>
      </c>
      <c r="F46" s="68" t="s">
        <v>170</v>
      </c>
      <c r="G46" s="17" t="s">
        <v>201</v>
      </c>
      <c r="H46" s="18">
        <v>5904</v>
      </c>
      <c r="I46" s="16"/>
      <c r="J46" s="14" t="e">
        <f t="shared" si="1"/>
        <v>#REF!</v>
      </c>
      <c r="K46" s="13"/>
      <c r="L46" s="13"/>
      <c r="M46" s="18"/>
      <c r="N46" s="18"/>
      <c r="O46" s="18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</row>
    <row r="47" spans="1:37" ht="47.25" x14ac:dyDescent="0.25">
      <c r="A47" s="1"/>
      <c r="B47" s="10">
        <f t="shared" si="0"/>
        <v>39</v>
      </c>
      <c r="C47" s="129">
        <v>46002</v>
      </c>
      <c r="D47" s="133" t="s">
        <v>133</v>
      </c>
      <c r="E47" s="26" t="s">
        <v>139</v>
      </c>
      <c r="F47" s="68" t="s">
        <v>199</v>
      </c>
      <c r="G47" s="17" t="s">
        <v>200</v>
      </c>
      <c r="H47" s="18">
        <v>2100</v>
      </c>
      <c r="I47" s="16"/>
      <c r="J47" s="14" t="e">
        <f t="shared" si="1"/>
        <v>#REF!</v>
      </c>
      <c r="K47" s="13"/>
      <c r="L47" s="13"/>
      <c r="M47" s="18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</row>
    <row r="48" spans="1:37" ht="129.75" x14ac:dyDescent="0.25">
      <c r="A48" s="1"/>
      <c r="B48" s="10">
        <f t="shared" si="0"/>
        <v>40</v>
      </c>
      <c r="C48" s="129">
        <v>46002</v>
      </c>
      <c r="D48" s="133" t="s">
        <v>232</v>
      </c>
      <c r="E48" s="26" t="s">
        <v>16</v>
      </c>
      <c r="F48" s="28" t="s">
        <v>258</v>
      </c>
      <c r="G48" s="17" t="s">
        <v>19</v>
      </c>
      <c r="H48" s="18">
        <v>16</v>
      </c>
      <c r="I48" s="16"/>
      <c r="J48" s="14" t="e">
        <f t="shared" si="1"/>
        <v>#REF!</v>
      </c>
      <c r="K48" s="13"/>
      <c r="L48" s="13"/>
      <c r="M48" s="18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</row>
    <row r="49" spans="1:37" ht="129.75" x14ac:dyDescent="0.25">
      <c r="A49" s="1"/>
      <c r="B49" s="10">
        <f t="shared" si="0"/>
        <v>41</v>
      </c>
      <c r="C49" s="129">
        <v>46002</v>
      </c>
      <c r="D49" s="133" t="s">
        <v>233</v>
      </c>
      <c r="E49" s="26" t="s">
        <v>16</v>
      </c>
      <c r="F49" s="28" t="s">
        <v>238</v>
      </c>
      <c r="G49" s="17" t="s">
        <v>19</v>
      </c>
      <c r="H49" s="18">
        <v>70</v>
      </c>
      <c r="I49" s="16"/>
      <c r="J49" s="14" t="e">
        <f t="shared" si="1"/>
        <v>#REF!</v>
      </c>
      <c r="K49" s="13"/>
      <c r="L49" s="13"/>
      <c r="M49" s="18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</row>
    <row r="50" spans="1:37" ht="63" x14ac:dyDescent="0.25">
      <c r="A50" s="1"/>
      <c r="B50" s="10">
        <f t="shared" si="0"/>
        <v>42</v>
      </c>
      <c r="C50" s="129">
        <v>46002</v>
      </c>
      <c r="D50" s="133" t="s">
        <v>234</v>
      </c>
      <c r="E50" s="26" t="s">
        <v>68</v>
      </c>
      <c r="F50" s="13" t="s">
        <v>254</v>
      </c>
      <c r="G50" s="17" t="s">
        <v>255</v>
      </c>
      <c r="H50" s="18"/>
      <c r="I50" s="16">
        <v>32</v>
      </c>
      <c r="J50" s="14" t="e">
        <f t="shared" si="1"/>
        <v>#REF!</v>
      </c>
      <c r="K50" s="13"/>
      <c r="L50" s="13"/>
      <c r="M50" s="18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</row>
    <row r="51" spans="1:37" ht="31.5" x14ac:dyDescent="0.25">
      <c r="A51" s="1"/>
      <c r="B51" s="10">
        <f t="shared" si="0"/>
        <v>43</v>
      </c>
      <c r="C51" s="129">
        <v>46003</v>
      </c>
      <c r="D51" s="133" t="s">
        <v>133</v>
      </c>
      <c r="E51" s="27" t="s">
        <v>130</v>
      </c>
      <c r="F51" s="68" t="s">
        <v>205</v>
      </c>
      <c r="G51" s="17" t="s">
        <v>202</v>
      </c>
      <c r="H51" s="18">
        <v>1902</v>
      </c>
      <c r="I51" s="16"/>
      <c r="J51" s="14" t="e">
        <f t="shared" si="1"/>
        <v>#REF!</v>
      </c>
      <c r="K51" s="13"/>
      <c r="L51" s="13"/>
      <c r="M51" s="24"/>
      <c r="N51" s="24"/>
      <c r="O51" s="24"/>
      <c r="P51" s="24"/>
      <c r="Q51" s="18"/>
      <c r="R51" s="24"/>
      <c r="S51" s="24"/>
      <c r="T51" s="18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</row>
    <row r="52" spans="1:37" ht="47.25" x14ac:dyDescent="0.25">
      <c r="A52" s="1"/>
      <c r="B52" s="10">
        <f t="shared" si="0"/>
        <v>44</v>
      </c>
      <c r="C52" s="129">
        <v>46003</v>
      </c>
      <c r="D52" s="133" t="s">
        <v>235</v>
      </c>
      <c r="E52" s="27" t="s">
        <v>130</v>
      </c>
      <c r="F52" s="68" t="s">
        <v>215</v>
      </c>
      <c r="G52" s="17" t="s">
        <v>214</v>
      </c>
      <c r="H52" s="18"/>
      <c r="I52" s="16">
        <v>6</v>
      </c>
      <c r="J52" s="14" t="e">
        <f t="shared" si="1"/>
        <v>#REF!</v>
      </c>
      <c r="K52" s="13"/>
      <c r="L52" s="13"/>
      <c r="M52" s="24"/>
      <c r="N52" s="24"/>
      <c r="O52" s="24"/>
      <c r="P52" s="24"/>
      <c r="Q52" s="18"/>
      <c r="R52" s="24"/>
      <c r="S52" s="24"/>
      <c r="T52" s="18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</row>
    <row r="53" spans="1:37" ht="47.25" x14ac:dyDescent="0.25">
      <c r="A53" s="1"/>
      <c r="B53" s="10">
        <f t="shared" si="0"/>
        <v>45</v>
      </c>
      <c r="C53" s="129">
        <v>46003</v>
      </c>
      <c r="D53" s="133" t="s">
        <v>236</v>
      </c>
      <c r="E53" s="27" t="s">
        <v>130</v>
      </c>
      <c r="F53" s="68" t="s">
        <v>216</v>
      </c>
      <c r="G53" s="17" t="s">
        <v>213</v>
      </c>
      <c r="H53" s="18"/>
      <c r="I53" s="16">
        <v>6</v>
      </c>
      <c r="J53" s="14" t="e">
        <f t="shared" si="1"/>
        <v>#REF!</v>
      </c>
      <c r="K53" s="13"/>
      <c r="L53" s="13"/>
      <c r="M53" s="24"/>
      <c r="N53" s="24"/>
      <c r="O53" s="24"/>
      <c r="P53" s="24"/>
      <c r="Q53" s="18"/>
      <c r="R53" s="24"/>
      <c r="S53" s="24"/>
      <c r="T53" s="18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</row>
    <row r="54" spans="1:37" ht="47.25" x14ac:dyDescent="0.25">
      <c r="A54" s="1"/>
      <c r="B54" s="10">
        <f t="shared" si="0"/>
        <v>46</v>
      </c>
      <c r="C54" s="129">
        <v>46003</v>
      </c>
      <c r="D54" s="133" t="s">
        <v>237</v>
      </c>
      <c r="E54" s="27" t="s">
        <v>134</v>
      </c>
      <c r="F54" s="68" t="s">
        <v>217</v>
      </c>
      <c r="G54" s="17" t="s">
        <v>218</v>
      </c>
      <c r="H54" s="18"/>
      <c r="I54" s="16">
        <v>141.5</v>
      </c>
      <c r="J54" s="14" t="e">
        <f t="shared" si="1"/>
        <v>#REF!</v>
      </c>
      <c r="K54" s="13"/>
      <c r="L54" s="13"/>
      <c r="M54" s="24"/>
      <c r="N54" s="24"/>
      <c r="O54" s="24"/>
      <c r="P54" s="24"/>
      <c r="Q54" s="18"/>
      <c r="R54" s="24"/>
      <c r="S54" s="24"/>
      <c r="T54" s="18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</row>
    <row r="55" spans="1:37" ht="31.5" x14ac:dyDescent="0.25">
      <c r="A55" s="1"/>
      <c r="B55" s="10">
        <f t="shared" si="0"/>
        <v>47</v>
      </c>
      <c r="C55" s="129">
        <v>46003</v>
      </c>
      <c r="D55" s="133" t="s">
        <v>133</v>
      </c>
      <c r="E55" s="26" t="s">
        <v>136</v>
      </c>
      <c r="F55" s="68" t="s">
        <v>197</v>
      </c>
      <c r="G55" s="17" t="s">
        <v>203</v>
      </c>
      <c r="H55" s="18">
        <v>5870</v>
      </c>
      <c r="I55" s="16"/>
      <c r="J55" s="14" t="e">
        <f t="shared" si="1"/>
        <v>#REF!</v>
      </c>
      <c r="K55" s="13"/>
      <c r="L55" s="13"/>
      <c r="M55" s="24"/>
      <c r="N55" s="24"/>
      <c r="O55" s="24"/>
      <c r="P55" s="18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</row>
    <row r="56" spans="1:37" ht="47.25" x14ac:dyDescent="0.25">
      <c r="A56" s="1"/>
      <c r="B56" s="10">
        <f t="shared" si="0"/>
        <v>48</v>
      </c>
      <c r="C56" s="129">
        <v>46003</v>
      </c>
      <c r="D56" s="133" t="s">
        <v>133</v>
      </c>
      <c r="E56" s="26" t="s">
        <v>139</v>
      </c>
      <c r="F56" s="68" t="s">
        <v>207</v>
      </c>
      <c r="G56" s="17" t="s">
        <v>206</v>
      </c>
      <c r="H56" s="18">
        <v>4400</v>
      </c>
      <c r="I56" s="16"/>
      <c r="J56" s="14" t="e">
        <f t="shared" si="1"/>
        <v>#REF!</v>
      </c>
      <c r="K56" s="13"/>
      <c r="L56" s="13"/>
      <c r="M56" s="24"/>
      <c r="N56" s="24"/>
      <c r="O56" s="24"/>
      <c r="P56" s="24"/>
      <c r="Q56" s="18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18"/>
      <c r="AI56" s="24"/>
      <c r="AJ56" s="24"/>
      <c r="AK56" s="24"/>
    </row>
    <row r="57" spans="1:37" ht="47.25" x14ac:dyDescent="0.25">
      <c r="A57" s="1"/>
      <c r="B57" s="10">
        <f t="shared" si="0"/>
        <v>49</v>
      </c>
      <c r="C57" s="129">
        <v>46003</v>
      </c>
      <c r="D57" s="133" t="s">
        <v>252</v>
      </c>
      <c r="E57" s="27" t="s">
        <v>208</v>
      </c>
      <c r="F57" s="68" t="s">
        <v>209</v>
      </c>
      <c r="G57" s="17" t="s">
        <v>210</v>
      </c>
      <c r="H57" s="18"/>
      <c r="I57" s="16">
        <v>150</v>
      </c>
      <c r="J57" s="14" t="e">
        <f t="shared" si="1"/>
        <v>#REF!</v>
      </c>
      <c r="K57" s="13"/>
      <c r="L57" s="13"/>
      <c r="M57" s="24"/>
      <c r="N57" s="18"/>
      <c r="O57" s="24"/>
      <c r="P57" s="24"/>
      <c r="Q57" s="18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</row>
    <row r="58" spans="1:37" ht="31.5" x14ac:dyDescent="0.25">
      <c r="A58" s="1"/>
      <c r="B58" s="10">
        <f t="shared" si="0"/>
        <v>50</v>
      </c>
      <c r="C58" s="129">
        <v>46004</v>
      </c>
      <c r="D58" s="133" t="s">
        <v>133</v>
      </c>
      <c r="E58" s="27" t="s">
        <v>130</v>
      </c>
      <c r="F58" s="68" t="s">
        <v>212</v>
      </c>
      <c r="G58" s="17" t="s">
        <v>211</v>
      </c>
      <c r="H58" s="18">
        <v>2408</v>
      </c>
      <c r="I58" s="16"/>
      <c r="J58" s="14" t="e">
        <f t="shared" si="1"/>
        <v>#REF!</v>
      </c>
      <c r="K58" s="13"/>
      <c r="L58" s="13"/>
      <c r="M58" s="24"/>
      <c r="N58" s="24"/>
      <c r="O58" s="24"/>
      <c r="P58" s="24"/>
      <c r="Q58" s="24"/>
      <c r="R58" s="18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</row>
    <row r="59" spans="1:37" ht="31.5" x14ac:dyDescent="0.25">
      <c r="A59" s="1"/>
      <c r="B59" s="10">
        <f t="shared" si="0"/>
        <v>51</v>
      </c>
      <c r="C59" s="129">
        <v>46004</v>
      </c>
      <c r="D59" s="133" t="s">
        <v>253</v>
      </c>
      <c r="E59" s="27" t="s">
        <v>130</v>
      </c>
      <c r="F59" s="68" t="s">
        <v>239</v>
      </c>
      <c r="G59" s="17" t="s">
        <v>219</v>
      </c>
      <c r="H59" s="18"/>
      <c r="I59" s="16">
        <v>110</v>
      </c>
      <c r="J59" s="14" t="e">
        <f t="shared" si="1"/>
        <v>#REF!</v>
      </c>
      <c r="K59" s="13"/>
      <c r="L59" s="13"/>
      <c r="M59" s="24"/>
      <c r="N59" s="24"/>
      <c r="O59" s="24"/>
      <c r="P59" s="24"/>
      <c r="Q59" s="24"/>
      <c r="R59" s="24"/>
      <c r="S59" s="18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</row>
    <row r="60" spans="1:37" ht="47.25" x14ac:dyDescent="0.25">
      <c r="A60" s="1"/>
      <c r="B60" s="10">
        <f t="shared" si="0"/>
        <v>52</v>
      </c>
      <c r="C60" s="129">
        <v>46004</v>
      </c>
      <c r="D60" s="133" t="s">
        <v>133</v>
      </c>
      <c r="E60" s="26" t="s">
        <v>139</v>
      </c>
      <c r="F60" s="68" t="s">
        <v>240</v>
      </c>
      <c r="G60" s="17" t="s">
        <v>241</v>
      </c>
      <c r="H60" s="18">
        <v>3800</v>
      </c>
      <c r="I60" s="16"/>
      <c r="J60" s="14" t="e">
        <f t="shared" si="1"/>
        <v>#REF!</v>
      </c>
      <c r="K60" s="13"/>
      <c r="L60" s="13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18"/>
      <c r="AH60" s="24"/>
      <c r="AI60" s="24"/>
      <c r="AJ60" s="24"/>
      <c r="AK60" s="24"/>
    </row>
    <row r="61" spans="1:37" ht="47.25" x14ac:dyDescent="0.25">
      <c r="A61" s="1"/>
      <c r="B61" s="10">
        <f t="shared" si="0"/>
        <v>53</v>
      </c>
      <c r="C61" s="129">
        <v>46004</v>
      </c>
      <c r="D61" s="133" t="s">
        <v>133</v>
      </c>
      <c r="E61" s="26" t="s">
        <v>139</v>
      </c>
      <c r="F61" s="68" t="s">
        <v>240</v>
      </c>
      <c r="G61" s="17" t="s">
        <v>242</v>
      </c>
      <c r="H61" s="18">
        <v>1200</v>
      </c>
      <c r="I61" s="16"/>
      <c r="J61" s="14" t="e">
        <f t="shared" si="1"/>
        <v>#REF!</v>
      </c>
      <c r="K61" s="13"/>
      <c r="L61" s="13"/>
      <c r="M61" s="24"/>
      <c r="N61" s="18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</row>
    <row r="62" spans="1:37" ht="31.5" x14ac:dyDescent="0.25">
      <c r="A62" s="1"/>
      <c r="B62" s="10">
        <f t="shared" si="0"/>
        <v>54</v>
      </c>
      <c r="C62" s="129">
        <v>46004</v>
      </c>
      <c r="D62" s="133" t="s">
        <v>133</v>
      </c>
      <c r="E62" s="26" t="s">
        <v>136</v>
      </c>
      <c r="F62" s="68" t="s">
        <v>243</v>
      </c>
      <c r="G62" s="17" t="s">
        <v>244</v>
      </c>
      <c r="H62" s="18">
        <v>8874</v>
      </c>
      <c r="I62" s="16"/>
      <c r="J62" s="14" t="e">
        <f t="shared" si="1"/>
        <v>#REF!</v>
      </c>
      <c r="K62" s="13"/>
      <c r="L62" s="13"/>
      <c r="M62" s="24"/>
      <c r="N62" s="18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</row>
    <row r="63" spans="1:37" ht="31.5" x14ac:dyDescent="0.25">
      <c r="A63" s="1"/>
      <c r="B63" s="10">
        <f t="shared" si="0"/>
        <v>55</v>
      </c>
      <c r="C63" s="129">
        <v>46004</v>
      </c>
      <c r="D63" s="133" t="s">
        <v>133</v>
      </c>
      <c r="E63" s="26" t="s">
        <v>136</v>
      </c>
      <c r="F63" s="68" t="s">
        <v>212</v>
      </c>
      <c r="G63" s="17" t="s">
        <v>245</v>
      </c>
      <c r="H63" s="18">
        <v>1874</v>
      </c>
      <c r="I63" s="16"/>
      <c r="J63" s="14" t="e">
        <f t="shared" si="1"/>
        <v>#REF!</v>
      </c>
      <c r="K63" s="13"/>
      <c r="L63" s="13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</row>
    <row r="64" spans="1:37" ht="31.5" x14ac:dyDescent="0.25">
      <c r="A64" s="1"/>
      <c r="B64" s="10">
        <f t="shared" si="0"/>
        <v>56</v>
      </c>
      <c r="C64" s="129">
        <v>46006</v>
      </c>
      <c r="D64" s="133" t="s">
        <v>133</v>
      </c>
      <c r="E64" s="27" t="s">
        <v>130</v>
      </c>
      <c r="F64" s="68" t="s">
        <v>246</v>
      </c>
      <c r="G64" s="17" t="s">
        <v>247</v>
      </c>
      <c r="H64" s="18">
        <v>1905</v>
      </c>
      <c r="I64" s="16"/>
      <c r="J64" s="14" t="e">
        <f t="shared" si="1"/>
        <v>#REF!</v>
      </c>
      <c r="K64" s="13"/>
      <c r="L64" s="13"/>
      <c r="M64" s="24"/>
      <c r="N64" s="24"/>
      <c r="O64" s="24"/>
      <c r="P64" s="24"/>
      <c r="Q64" s="24"/>
      <c r="R64" s="18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18"/>
      <c r="AE64" s="24"/>
      <c r="AF64" s="24"/>
      <c r="AG64" s="24"/>
      <c r="AH64" s="24"/>
      <c r="AI64" s="24"/>
      <c r="AJ64" s="24"/>
      <c r="AK64" s="24"/>
    </row>
    <row r="65" spans="1:37" ht="47.25" x14ac:dyDescent="0.25">
      <c r="A65" s="1"/>
      <c r="B65" s="10">
        <f t="shared" si="0"/>
        <v>57</v>
      </c>
      <c r="C65" s="129">
        <v>46006</v>
      </c>
      <c r="D65" s="133" t="s">
        <v>133</v>
      </c>
      <c r="E65" s="26" t="s">
        <v>139</v>
      </c>
      <c r="F65" s="68" t="s">
        <v>248</v>
      </c>
      <c r="G65" s="17" t="s">
        <v>249</v>
      </c>
      <c r="H65" s="18">
        <v>4960</v>
      </c>
      <c r="I65" s="16"/>
      <c r="J65" s="14" t="e">
        <f t="shared" si="1"/>
        <v>#REF!</v>
      </c>
      <c r="K65" s="13"/>
      <c r="L65" s="13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</row>
    <row r="66" spans="1:37" ht="47.25" x14ac:dyDescent="0.25">
      <c r="A66" s="1"/>
      <c r="B66" s="10">
        <f t="shared" si="0"/>
        <v>58</v>
      </c>
      <c r="C66" s="129">
        <v>46006</v>
      </c>
      <c r="D66" s="133" t="s">
        <v>256</v>
      </c>
      <c r="E66" s="26" t="s">
        <v>68</v>
      </c>
      <c r="F66" s="68" t="s">
        <v>257</v>
      </c>
      <c r="G66" s="17" t="s">
        <v>19</v>
      </c>
      <c r="H66" s="18"/>
      <c r="I66" s="16">
        <v>4</v>
      </c>
      <c r="J66" s="14" t="e">
        <f t="shared" si="1"/>
        <v>#REF!</v>
      </c>
      <c r="K66" s="13"/>
      <c r="L66" s="13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</row>
    <row r="67" spans="1:37" ht="31.5" x14ac:dyDescent="0.25">
      <c r="A67" s="1"/>
      <c r="B67" s="10">
        <f t="shared" si="0"/>
        <v>59</v>
      </c>
      <c r="C67" s="132">
        <v>46007</v>
      </c>
      <c r="D67" s="133" t="s">
        <v>133</v>
      </c>
      <c r="E67" s="27" t="s">
        <v>130</v>
      </c>
      <c r="F67" s="68" t="s">
        <v>250</v>
      </c>
      <c r="G67" s="17" t="s">
        <v>251</v>
      </c>
      <c r="H67" s="18">
        <v>933</v>
      </c>
      <c r="I67" s="16"/>
      <c r="J67" s="14" t="e">
        <f t="shared" si="1"/>
        <v>#REF!</v>
      </c>
      <c r="K67" s="13"/>
      <c r="L67" s="13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</row>
    <row r="68" spans="1:37" ht="31.5" x14ac:dyDescent="0.25">
      <c r="A68" s="1"/>
      <c r="B68" s="10">
        <f t="shared" si="0"/>
        <v>60</v>
      </c>
      <c r="C68" s="132">
        <v>46007</v>
      </c>
      <c r="D68" s="133" t="s">
        <v>133</v>
      </c>
      <c r="E68" s="26" t="s">
        <v>136</v>
      </c>
      <c r="F68" s="68" t="s">
        <v>246</v>
      </c>
      <c r="G68" s="17" t="s">
        <v>259</v>
      </c>
      <c r="H68" s="18">
        <v>6690</v>
      </c>
      <c r="I68" s="16"/>
      <c r="J68" s="14" t="e">
        <f t="shared" si="1"/>
        <v>#REF!</v>
      </c>
      <c r="K68" s="13"/>
      <c r="L68" s="13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</row>
    <row r="69" spans="1:37" ht="31.5" x14ac:dyDescent="0.25">
      <c r="A69" s="1"/>
      <c r="B69" s="10">
        <f t="shared" si="0"/>
        <v>61</v>
      </c>
      <c r="C69" s="132">
        <v>46007</v>
      </c>
      <c r="D69" s="133" t="s">
        <v>133</v>
      </c>
      <c r="E69" s="26" t="s">
        <v>139</v>
      </c>
      <c r="F69" s="68" t="s">
        <v>261</v>
      </c>
      <c r="G69" s="17" t="s">
        <v>260</v>
      </c>
      <c r="H69" s="18">
        <v>4000</v>
      </c>
      <c r="I69" s="16"/>
      <c r="J69" s="14" t="e">
        <f t="shared" si="1"/>
        <v>#REF!</v>
      </c>
      <c r="K69" s="13"/>
      <c r="L69" s="13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</row>
    <row r="70" spans="1:37" ht="47.25" x14ac:dyDescent="0.25">
      <c r="A70" s="1"/>
      <c r="B70" s="10">
        <f t="shared" si="0"/>
        <v>62</v>
      </c>
      <c r="C70" s="132">
        <v>46007</v>
      </c>
      <c r="D70" s="133" t="s">
        <v>133</v>
      </c>
      <c r="E70" s="140" t="s">
        <v>128</v>
      </c>
      <c r="F70" s="68" t="s">
        <v>263</v>
      </c>
      <c r="G70" s="17" t="s">
        <v>262</v>
      </c>
      <c r="H70" s="143">
        <v>6450</v>
      </c>
      <c r="I70" s="16"/>
      <c r="J70" s="14" t="e">
        <f t="shared" si="1"/>
        <v>#REF!</v>
      </c>
      <c r="K70" s="13"/>
      <c r="L70" s="13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</row>
    <row r="71" spans="1:37" ht="31.5" x14ac:dyDescent="0.25">
      <c r="A71" s="1"/>
      <c r="B71" s="10">
        <f t="shared" si="0"/>
        <v>63</v>
      </c>
      <c r="C71" s="132">
        <v>46008</v>
      </c>
      <c r="D71" s="10" t="s">
        <v>133</v>
      </c>
      <c r="E71" s="27" t="s">
        <v>130</v>
      </c>
      <c r="F71" s="68" t="s">
        <v>265</v>
      </c>
      <c r="G71" s="17" t="s">
        <v>264</v>
      </c>
      <c r="H71" s="18">
        <v>1845.5</v>
      </c>
      <c r="I71" s="16"/>
      <c r="J71" s="14" t="e">
        <f t="shared" si="1"/>
        <v>#REF!</v>
      </c>
      <c r="K71" s="13"/>
      <c r="L71" s="13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</row>
    <row r="72" spans="1:37" ht="31.5" x14ac:dyDescent="0.25">
      <c r="A72" s="1"/>
      <c r="B72" s="10">
        <f t="shared" si="0"/>
        <v>64</v>
      </c>
      <c r="C72" s="132">
        <v>46008</v>
      </c>
      <c r="D72" s="133" t="s">
        <v>362</v>
      </c>
      <c r="E72" s="27" t="s">
        <v>130</v>
      </c>
      <c r="F72" s="68" t="s">
        <v>239</v>
      </c>
      <c r="G72" s="13" t="s">
        <v>308</v>
      </c>
      <c r="H72" s="18"/>
      <c r="I72" s="16">
        <v>110</v>
      </c>
      <c r="J72" s="14" t="e">
        <f t="shared" si="1"/>
        <v>#REF!</v>
      </c>
      <c r="K72" s="13"/>
      <c r="L72" s="13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</row>
    <row r="73" spans="1:37" ht="47.25" x14ac:dyDescent="0.25">
      <c r="A73" s="1"/>
      <c r="B73" s="10">
        <f t="shared" si="0"/>
        <v>65</v>
      </c>
      <c r="C73" s="132">
        <v>46008</v>
      </c>
      <c r="D73" s="133" t="s">
        <v>133</v>
      </c>
      <c r="E73" s="26" t="s">
        <v>139</v>
      </c>
      <c r="F73" s="68" t="s">
        <v>273</v>
      </c>
      <c r="G73" s="17" t="s">
        <v>266</v>
      </c>
      <c r="H73" s="18">
        <v>5200</v>
      </c>
      <c r="I73" s="16"/>
      <c r="J73" s="14" t="e">
        <f t="shared" si="1"/>
        <v>#REF!</v>
      </c>
      <c r="K73" s="13"/>
      <c r="L73" s="13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</row>
    <row r="74" spans="1:37" ht="31.5" x14ac:dyDescent="0.25">
      <c r="A74" s="1"/>
      <c r="B74" s="10">
        <f t="shared" si="0"/>
        <v>66</v>
      </c>
      <c r="C74" s="159">
        <v>46008</v>
      </c>
      <c r="D74" s="159" t="s">
        <v>133</v>
      </c>
      <c r="E74" s="156" t="s">
        <v>73</v>
      </c>
      <c r="F74" s="163" t="s">
        <v>267</v>
      </c>
      <c r="G74" s="17" t="s">
        <v>268</v>
      </c>
      <c r="H74" s="18">
        <v>950</v>
      </c>
      <c r="I74" s="16"/>
      <c r="J74" s="14" t="e">
        <f t="shared" si="1"/>
        <v>#REF!</v>
      </c>
      <c r="K74" s="13"/>
      <c r="L74" s="13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</row>
    <row r="75" spans="1:37" ht="31.5" x14ac:dyDescent="0.25">
      <c r="A75" s="1"/>
      <c r="B75" s="10">
        <f t="shared" si="0"/>
        <v>67</v>
      </c>
      <c r="C75" s="160"/>
      <c r="D75" s="160"/>
      <c r="E75" s="162"/>
      <c r="F75" s="164"/>
      <c r="G75" s="17" t="s">
        <v>268</v>
      </c>
      <c r="H75" s="18">
        <v>1000</v>
      </c>
      <c r="I75" s="16"/>
      <c r="J75" s="14" t="e">
        <f t="shared" si="1"/>
        <v>#REF!</v>
      </c>
      <c r="K75" s="13"/>
      <c r="L75" s="13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</row>
    <row r="76" spans="1:37" ht="31.5" x14ac:dyDescent="0.25">
      <c r="A76" s="1"/>
      <c r="B76" s="10">
        <f t="shared" si="0"/>
        <v>68</v>
      </c>
      <c r="C76" s="161"/>
      <c r="D76" s="161"/>
      <c r="E76" s="157"/>
      <c r="F76" s="165"/>
      <c r="G76" s="17" t="s">
        <v>268</v>
      </c>
      <c r="H76" s="18">
        <v>1950</v>
      </c>
      <c r="I76" s="16"/>
      <c r="J76" s="14" t="e">
        <f t="shared" si="1"/>
        <v>#REF!</v>
      </c>
      <c r="K76" s="13"/>
      <c r="L76" s="13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</row>
    <row r="77" spans="1:37" ht="31.5" x14ac:dyDescent="0.25">
      <c r="A77" s="1"/>
      <c r="B77" s="10">
        <f t="shared" si="0"/>
        <v>69</v>
      </c>
      <c r="C77" s="132">
        <v>46008</v>
      </c>
      <c r="D77" s="133" t="s">
        <v>133</v>
      </c>
      <c r="E77" s="27" t="s">
        <v>130</v>
      </c>
      <c r="F77" s="68" t="s">
        <v>269</v>
      </c>
      <c r="G77" s="17" t="s">
        <v>270</v>
      </c>
      <c r="H77" s="18">
        <v>953.5</v>
      </c>
      <c r="I77" s="16"/>
      <c r="J77" s="14" t="e">
        <f t="shared" si="1"/>
        <v>#REF!</v>
      </c>
      <c r="K77" s="13"/>
      <c r="L77" s="13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</row>
    <row r="78" spans="1:37" ht="31.5" x14ac:dyDescent="0.25">
      <c r="A78" s="1"/>
      <c r="B78" s="10">
        <f t="shared" si="0"/>
        <v>70</v>
      </c>
      <c r="C78" s="132">
        <v>46008</v>
      </c>
      <c r="D78" s="10" t="s">
        <v>363</v>
      </c>
      <c r="E78" s="27" t="s">
        <v>126</v>
      </c>
      <c r="F78" s="68" t="s">
        <v>309</v>
      </c>
      <c r="G78" s="17" t="s">
        <v>310</v>
      </c>
      <c r="H78" s="18"/>
      <c r="I78" s="16">
        <v>100</v>
      </c>
      <c r="J78" s="14" t="e">
        <f t="shared" si="1"/>
        <v>#REF!</v>
      </c>
      <c r="K78" s="13"/>
      <c r="L78" s="13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</row>
    <row r="79" spans="1:37" ht="31.5" x14ac:dyDescent="0.25">
      <c r="A79" s="1"/>
      <c r="B79" s="10">
        <f t="shared" si="0"/>
        <v>71</v>
      </c>
      <c r="C79" s="132">
        <v>46009</v>
      </c>
      <c r="D79" s="133" t="s">
        <v>133</v>
      </c>
      <c r="E79" s="27" t="s">
        <v>136</v>
      </c>
      <c r="F79" s="68" t="s">
        <v>271</v>
      </c>
      <c r="G79" s="17" t="s">
        <v>272</v>
      </c>
      <c r="H79" s="18">
        <v>12824</v>
      </c>
      <c r="I79" s="16"/>
      <c r="J79" s="14" t="e">
        <f t="shared" si="1"/>
        <v>#REF!</v>
      </c>
      <c r="K79" s="13"/>
      <c r="L79" s="13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</row>
    <row r="80" spans="1:37" ht="47.25" x14ac:dyDescent="0.25">
      <c r="A80" s="1"/>
      <c r="B80" s="10">
        <f t="shared" si="0"/>
        <v>72</v>
      </c>
      <c r="C80" s="132">
        <v>46009</v>
      </c>
      <c r="D80" s="133" t="s">
        <v>133</v>
      </c>
      <c r="E80" s="27" t="s">
        <v>139</v>
      </c>
      <c r="F80" s="68" t="s">
        <v>273</v>
      </c>
      <c r="G80" s="17" t="s">
        <v>274</v>
      </c>
      <c r="H80" s="18">
        <v>3000</v>
      </c>
      <c r="I80" s="16"/>
      <c r="J80" s="14" t="e">
        <f t="shared" si="1"/>
        <v>#REF!</v>
      </c>
      <c r="K80" s="13"/>
      <c r="L80" s="13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</row>
    <row r="81" spans="1:37" ht="47.25" x14ac:dyDescent="0.25">
      <c r="A81" s="1"/>
      <c r="B81" s="10">
        <f t="shared" si="0"/>
        <v>73</v>
      </c>
      <c r="C81" s="132">
        <v>46009</v>
      </c>
      <c r="D81" s="133" t="s">
        <v>364</v>
      </c>
      <c r="E81" s="27" t="s">
        <v>18</v>
      </c>
      <c r="F81" s="68" t="s">
        <v>332</v>
      </c>
      <c r="G81" s="13" t="s">
        <v>275</v>
      </c>
      <c r="H81" s="18"/>
      <c r="I81" s="16">
        <v>200</v>
      </c>
      <c r="J81" s="14" t="e">
        <f t="shared" si="1"/>
        <v>#REF!</v>
      </c>
      <c r="K81" s="13"/>
      <c r="L81" s="13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</row>
    <row r="82" spans="1:37" ht="31.5" x14ac:dyDescent="0.25">
      <c r="A82" s="1"/>
      <c r="B82" s="10">
        <f t="shared" si="0"/>
        <v>74</v>
      </c>
      <c r="C82" s="132">
        <v>46010</v>
      </c>
      <c r="D82" s="133" t="s">
        <v>133</v>
      </c>
      <c r="E82" s="27" t="s">
        <v>130</v>
      </c>
      <c r="F82" s="144" t="s">
        <v>276</v>
      </c>
      <c r="G82" s="13" t="s">
        <v>277</v>
      </c>
      <c r="H82" s="18">
        <v>2812</v>
      </c>
      <c r="I82" s="16"/>
      <c r="J82" s="14" t="e">
        <f t="shared" si="1"/>
        <v>#REF!</v>
      </c>
      <c r="K82" s="13"/>
      <c r="L82" s="13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</row>
    <row r="83" spans="1:37" ht="31.5" x14ac:dyDescent="0.25">
      <c r="A83" s="1"/>
      <c r="B83" s="10">
        <f t="shared" si="0"/>
        <v>75</v>
      </c>
      <c r="C83" s="132">
        <v>46010</v>
      </c>
      <c r="D83" s="133" t="s">
        <v>133</v>
      </c>
      <c r="E83" s="27" t="s">
        <v>73</v>
      </c>
      <c r="F83" s="68" t="s">
        <v>278</v>
      </c>
      <c r="G83" s="13" t="s">
        <v>279</v>
      </c>
      <c r="H83" s="18">
        <v>3995</v>
      </c>
      <c r="I83" s="16"/>
      <c r="J83" s="14" t="e">
        <f t="shared" si="1"/>
        <v>#REF!</v>
      </c>
      <c r="K83" s="13"/>
      <c r="L83" s="13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</row>
    <row r="84" spans="1:37" ht="47.25" x14ac:dyDescent="0.25">
      <c r="A84" s="1"/>
      <c r="B84" s="10">
        <f t="shared" si="0"/>
        <v>76</v>
      </c>
      <c r="C84" s="132">
        <v>46010</v>
      </c>
      <c r="D84" s="133" t="s">
        <v>133</v>
      </c>
      <c r="E84" s="27" t="s">
        <v>139</v>
      </c>
      <c r="F84" s="144" t="s">
        <v>273</v>
      </c>
      <c r="G84" s="13" t="s">
        <v>280</v>
      </c>
      <c r="H84" s="18">
        <v>23000</v>
      </c>
      <c r="I84" s="16"/>
      <c r="J84" s="14" t="e">
        <f t="shared" si="1"/>
        <v>#REF!</v>
      </c>
      <c r="K84" s="13"/>
      <c r="L84" s="13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</row>
    <row r="85" spans="1:37" ht="31.5" x14ac:dyDescent="0.25">
      <c r="A85" s="1"/>
      <c r="B85" s="10">
        <f t="shared" si="0"/>
        <v>77</v>
      </c>
      <c r="C85" s="132">
        <v>46010</v>
      </c>
      <c r="D85" s="133" t="s">
        <v>133</v>
      </c>
      <c r="E85" s="27" t="s">
        <v>130</v>
      </c>
      <c r="F85" s="68" t="s">
        <v>269</v>
      </c>
      <c r="G85" s="13" t="s">
        <v>281</v>
      </c>
      <c r="H85" s="18">
        <v>4422.5</v>
      </c>
      <c r="I85" s="16"/>
      <c r="J85" s="14" t="e">
        <f t="shared" si="1"/>
        <v>#REF!</v>
      </c>
      <c r="K85" s="13"/>
      <c r="L85" s="13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</row>
    <row r="86" spans="1:37" ht="47.25" x14ac:dyDescent="0.25">
      <c r="A86" s="1"/>
      <c r="B86" s="10">
        <f t="shared" si="0"/>
        <v>78</v>
      </c>
      <c r="C86" s="132">
        <v>46011</v>
      </c>
      <c r="D86" s="133" t="s">
        <v>133</v>
      </c>
      <c r="E86" s="27" t="s">
        <v>136</v>
      </c>
      <c r="F86" s="68" t="s">
        <v>273</v>
      </c>
      <c r="G86" s="17" t="s">
        <v>282</v>
      </c>
      <c r="H86" s="18">
        <v>43000</v>
      </c>
      <c r="I86" s="16"/>
      <c r="J86" s="14" t="e">
        <f t="shared" si="1"/>
        <v>#REF!</v>
      </c>
      <c r="K86" s="13"/>
      <c r="L86" s="13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</row>
    <row r="87" spans="1:37" ht="47.25" x14ac:dyDescent="0.25">
      <c r="A87" s="1"/>
      <c r="B87" s="10">
        <f t="shared" si="0"/>
        <v>79</v>
      </c>
      <c r="C87" s="132">
        <v>46011</v>
      </c>
      <c r="D87" s="133" t="s">
        <v>133</v>
      </c>
      <c r="E87" s="27" t="s">
        <v>139</v>
      </c>
      <c r="F87" s="144" t="s">
        <v>273</v>
      </c>
      <c r="G87" s="13" t="s">
        <v>283</v>
      </c>
      <c r="H87" s="18">
        <v>6300</v>
      </c>
      <c r="I87" s="16"/>
      <c r="J87" s="14" t="e">
        <f t="shared" si="1"/>
        <v>#REF!</v>
      </c>
      <c r="K87" s="13"/>
      <c r="L87" s="13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</row>
    <row r="88" spans="1:37" ht="31.5" x14ac:dyDescent="0.25">
      <c r="A88" s="1"/>
      <c r="B88" s="10">
        <f t="shared" si="0"/>
        <v>80</v>
      </c>
      <c r="C88" s="132">
        <v>46013</v>
      </c>
      <c r="D88" s="133" t="s">
        <v>133</v>
      </c>
      <c r="E88" s="27" t="s">
        <v>130</v>
      </c>
      <c r="F88" s="68" t="s">
        <v>284</v>
      </c>
      <c r="G88" s="13" t="s">
        <v>285</v>
      </c>
      <c r="H88" s="18">
        <v>11663</v>
      </c>
      <c r="I88" s="16"/>
      <c r="J88" s="14" t="e">
        <f t="shared" si="1"/>
        <v>#REF!</v>
      </c>
      <c r="K88" s="13"/>
      <c r="L88" s="13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</row>
    <row r="89" spans="1:37" ht="31.5" x14ac:dyDescent="0.25">
      <c r="A89" s="1"/>
      <c r="B89" s="10">
        <f t="shared" si="0"/>
        <v>81</v>
      </c>
      <c r="C89" s="132">
        <v>46013</v>
      </c>
      <c r="D89" s="133" t="s">
        <v>365</v>
      </c>
      <c r="E89" s="27" t="s">
        <v>130</v>
      </c>
      <c r="F89" s="68" t="s">
        <v>311</v>
      </c>
      <c r="G89" s="13" t="s">
        <v>312</v>
      </c>
      <c r="H89" s="18"/>
      <c r="I89" s="16">
        <v>175</v>
      </c>
      <c r="J89" s="14" t="e">
        <f t="shared" si="1"/>
        <v>#REF!</v>
      </c>
      <c r="K89" s="13"/>
      <c r="L89" s="13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</row>
    <row r="90" spans="1:37" ht="31.5" x14ac:dyDescent="0.25">
      <c r="A90" s="1"/>
      <c r="B90" s="10">
        <f t="shared" si="0"/>
        <v>82</v>
      </c>
      <c r="C90" s="132">
        <v>46013</v>
      </c>
      <c r="D90" s="133" t="s">
        <v>133</v>
      </c>
      <c r="E90" s="27" t="s">
        <v>130</v>
      </c>
      <c r="F90" s="68" t="s">
        <v>286</v>
      </c>
      <c r="G90" s="13" t="s">
        <v>287</v>
      </c>
      <c r="H90" s="18">
        <v>5951</v>
      </c>
      <c r="I90" s="16"/>
      <c r="J90" s="14" t="e">
        <f t="shared" si="1"/>
        <v>#REF!</v>
      </c>
      <c r="K90" s="13"/>
      <c r="L90" s="13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</row>
    <row r="91" spans="1:37" ht="47.25" x14ac:dyDescent="0.25">
      <c r="A91" s="1"/>
      <c r="B91" s="10">
        <f t="shared" si="0"/>
        <v>83</v>
      </c>
      <c r="C91" s="132">
        <v>46013</v>
      </c>
      <c r="D91" s="133" t="s">
        <v>133</v>
      </c>
      <c r="E91" s="27" t="s">
        <v>130</v>
      </c>
      <c r="F91" s="68" t="s">
        <v>288</v>
      </c>
      <c r="G91" s="13" t="s">
        <v>289</v>
      </c>
      <c r="H91" s="18">
        <v>3800</v>
      </c>
      <c r="I91" s="16"/>
      <c r="J91" s="14" t="e">
        <f t="shared" si="1"/>
        <v>#REF!</v>
      </c>
      <c r="K91" s="13"/>
      <c r="L91" s="13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</row>
    <row r="92" spans="1:37" ht="47.25" x14ac:dyDescent="0.25">
      <c r="A92" s="1"/>
      <c r="B92" s="10">
        <f t="shared" si="0"/>
        <v>84</v>
      </c>
      <c r="C92" s="132">
        <v>46013</v>
      </c>
      <c r="D92" s="133" t="s">
        <v>133</v>
      </c>
      <c r="E92" s="27" t="s">
        <v>139</v>
      </c>
      <c r="F92" s="144" t="s">
        <v>273</v>
      </c>
      <c r="G92" s="13" t="s">
        <v>298</v>
      </c>
      <c r="H92" s="18">
        <v>28700</v>
      </c>
      <c r="I92" s="16"/>
      <c r="J92" s="14" t="e">
        <f t="shared" si="1"/>
        <v>#REF!</v>
      </c>
      <c r="K92" s="13"/>
      <c r="L92" s="13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</row>
    <row r="93" spans="1:37" ht="47.25" x14ac:dyDescent="0.25">
      <c r="A93" s="1"/>
      <c r="B93" s="10">
        <f t="shared" si="0"/>
        <v>85</v>
      </c>
      <c r="C93" s="132">
        <v>46013</v>
      </c>
      <c r="D93" s="133" t="s">
        <v>366</v>
      </c>
      <c r="E93" s="27" t="s">
        <v>128</v>
      </c>
      <c r="F93" s="68" t="s">
        <v>300</v>
      </c>
      <c r="G93" s="13" t="s">
        <v>299</v>
      </c>
      <c r="H93" s="18"/>
      <c r="I93" s="16">
        <v>65000</v>
      </c>
      <c r="J93" s="14" t="e">
        <f t="shared" si="1"/>
        <v>#REF!</v>
      </c>
      <c r="K93" s="13"/>
      <c r="L93" s="13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</row>
    <row r="94" spans="1:37" ht="47.25" x14ac:dyDescent="0.25">
      <c r="A94" s="1"/>
      <c r="B94" s="10">
        <f t="shared" si="0"/>
        <v>86</v>
      </c>
      <c r="C94" s="132">
        <v>46013</v>
      </c>
      <c r="D94" s="133" t="s">
        <v>367</v>
      </c>
      <c r="E94" s="27" t="s">
        <v>16</v>
      </c>
      <c r="F94" s="68" t="s">
        <v>300</v>
      </c>
      <c r="G94" s="13" t="s">
        <v>301</v>
      </c>
      <c r="H94" s="18"/>
      <c r="I94" s="16">
        <v>65000</v>
      </c>
      <c r="J94" s="14" t="e">
        <f t="shared" si="1"/>
        <v>#REF!</v>
      </c>
      <c r="K94" s="13"/>
      <c r="L94" s="13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</row>
    <row r="95" spans="1:37" ht="47.25" x14ac:dyDescent="0.25">
      <c r="A95" s="1"/>
      <c r="B95" s="10">
        <f t="shared" si="0"/>
        <v>87</v>
      </c>
      <c r="C95" s="132">
        <v>46013</v>
      </c>
      <c r="D95" s="133" t="s">
        <v>368</v>
      </c>
      <c r="E95" s="27" t="s">
        <v>124</v>
      </c>
      <c r="F95" s="68" t="s">
        <v>300</v>
      </c>
      <c r="G95" s="13" t="s">
        <v>302</v>
      </c>
      <c r="H95" s="18"/>
      <c r="I95" s="16">
        <v>65000</v>
      </c>
      <c r="J95" s="14" t="e">
        <f t="shared" si="1"/>
        <v>#REF!</v>
      </c>
      <c r="K95" s="13"/>
      <c r="L95" s="13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</row>
    <row r="96" spans="1:37" ht="47.25" x14ac:dyDescent="0.25">
      <c r="A96" s="1"/>
      <c r="B96" s="10">
        <f t="shared" si="0"/>
        <v>88</v>
      </c>
      <c r="C96" s="132">
        <v>46013</v>
      </c>
      <c r="D96" s="133" t="s">
        <v>369</v>
      </c>
      <c r="E96" s="27" t="s">
        <v>68</v>
      </c>
      <c r="F96" s="68" t="s">
        <v>300</v>
      </c>
      <c r="G96" s="13" t="s">
        <v>303</v>
      </c>
      <c r="H96" s="18"/>
      <c r="I96" s="16">
        <v>65000</v>
      </c>
      <c r="J96" s="14" t="e">
        <f t="shared" si="1"/>
        <v>#REF!</v>
      </c>
      <c r="K96" s="13"/>
      <c r="L96" s="13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</row>
    <row r="97" spans="1:37" ht="47.25" x14ac:dyDescent="0.25">
      <c r="A97" s="1"/>
      <c r="B97" s="10">
        <f t="shared" si="0"/>
        <v>89</v>
      </c>
      <c r="C97" s="132">
        <v>46013</v>
      </c>
      <c r="D97" s="133" t="s">
        <v>370</v>
      </c>
      <c r="E97" s="27" t="s">
        <v>123</v>
      </c>
      <c r="F97" s="68" t="s">
        <v>305</v>
      </c>
      <c r="G97" s="13" t="s">
        <v>304</v>
      </c>
      <c r="H97" s="18"/>
      <c r="I97" s="16">
        <v>60000</v>
      </c>
      <c r="J97" s="14" t="e">
        <f t="shared" si="1"/>
        <v>#REF!</v>
      </c>
      <c r="K97" s="13"/>
      <c r="L97" s="13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</row>
    <row r="98" spans="1:37" ht="47.25" x14ac:dyDescent="0.25">
      <c r="A98" s="1"/>
      <c r="B98" s="10">
        <f t="shared" si="0"/>
        <v>90</v>
      </c>
      <c r="C98" s="132">
        <v>46013</v>
      </c>
      <c r="D98" s="133" t="s">
        <v>371</v>
      </c>
      <c r="E98" s="27" t="s">
        <v>130</v>
      </c>
      <c r="F98" s="68" t="s">
        <v>305</v>
      </c>
      <c r="G98" s="13" t="s">
        <v>306</v>
      </c>
      <c r="H98" s="18"/>
      <c r="I98" s="16">
        <v>60000</v>
      </c>
      <c r="J98" s="14" t="e">
        <f t="shared" si="1"/>
        <v>#REF!</v>
      </c>
      <c r="K98" s="13"/>
      <c r="L98" s="13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</row>
    <row r="99" spans="1:37" ht="47.25" x14ac:dyDescent="0.25">
      <c r="A99" s="1"/>
      <c r="B99" s="10">
        <f t="shared" si="0"/>
        <v>91</v>
      </c>
      <c r="C99" s="132">
        <v>46013</v>
      </c>
      <c r="D99" s="133" t="s">
        <v>372</v>
      </c>
      <c r="E99" s="27" t="s">
        <v>17</v>
      </c>
      <c r="F99" s="68" t="s">
        <v>305</v>
      </c>
      <c r="G99" s="13" t="s">
        <v>307</v>
      </c>
      <c r="H99" s="18"/>
      <c r="I99" s="16">
        <v>60000</v>
      </c>
      <c r="J99" s="14" t="e">
        <f t="shared" si="1"/>
        <v>#REF!</v>
      </c>
      <c r="K99" s="13"/>
      <c r="L99" s="13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</row>
    <row r="100" spans="1:37" ht="31.5" x14ac:dyDescent="0.25">
      <c r="A100" s="1"/>
      <c r="B100" s="10">
        <f t="shared" si="0"/>
        <v>92</v>
      </c>
      <c r="C100" s="132">
        <v>46014</v>
      </c>
      <c r="D100" s="133" t="s">
        <v>133</v>
      </c>
      <c r="E100" s="27" t="s">
        <v>130</v>
      </c>
      <c r="F100" s="68" t="s">
        <v>313</v>
      </c>
      <c r="G100" s="13" t="s">
        <v>314</v>
      </c>
      <c r="H100" s="18">
        <v>1599</v>
      </c>
      <c r="I100" s="16"/>
      <c r="J100" s="14" t="e">
        <f t="shared" si="1"/>
        <v>#REF!</v>
      </c>
      <c r="K100" s="13"/>
      <c r="L100" s="13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</row>
    <row r="101" spans="1:37" ht="31.5" x14ac:dyDescent="0.25">
      <c r="A101" s="1"/>
      <c r="B101" s="10">
        <f t="shared" si="0"/>
        <v>93</v>
      </c>
      <c r="C101" s="132">
        <v>46014</v>
      </c>
      <c r="D101" s="133" t="s">
        <v>133</v>
      </c>
      <c r="E101" s="27" t="s">
        <v>130</v>
      </c>
      <c r="F101" s="68" t="s">
        <v>315</v>
      </c>
      <c r="G101" s="13" t="s">
        <v>316</v>
      </c>
      <c r="H101" s="18">
        <v>768</v>
      </c>
      <c r="I101" s="16"/>
      <c r="J101" s="14" t="e">
        <f t="shared" si="1"/>
        <v>#REF!</v>
      </c>
      <c r="K101" s="13"/>
      <c r="L101" s="13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</row>
    <row r="102" spans="1:37" ht="47.25" x14ac:dyDescent="0.25">
      <c r="A102" s="1"/>
      <c r="B102" s="10">
        <f t="shared" si="0"/>
        <v>94</v>
      </c>
      <c r="C102" s="132">
        <v>46014</v>
      </c>
      <c r="D102" s="133" t="s">
        <v>133</v>
      </c>
      <c r="E102" s="27" t="s">
        <v>139</v>
      </c>
      <c r="F102" s="144" t="s">
        <v>273</v>
      </c>
      <c r="G102" s="13" t="s">
        <v>317</v>
      </c>
      <c r="H102" s="18">
        <v>10500</v>
      </c>
      <c r="I102" s="16"/>
      <c r="J102" s="14" t="e">
        <f t="shared" ref="J102:J141" si="2">J101+H102-I102</f>
        <v>#REF!</v>
      </c>
      <c r="K102" s="13"/>
      <c r="L102" s="13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</row>
    <row r="103" spans="1:37" ht="47.25" x14ac:dyDescent="0.25">
      <c r="A103" s="1"/>
      <c r="B103" s="10">
        <f t="shared" ref="B103:B141" si="3">B102+1</f>
        <v>95</v>
      </c>
      <c r="C103" s="132">
        <v>46014</v>
      </c>
      <c r="D103" s="133" t="s">
        <v>133</v>
      </c>
      <c r="E103" s="27" t="s">
        <v>136</v>
      </c>
      <c r="F103" s="144" t="s">
        <v>273</v>
      </c>
      <c r="G103" s="13" t="s">
        <v>318</v>
      </c>
      <c r="H103" s="18">
        <v>15478</v>
      </c>
      <c r="I103" s="16"/>
      <c r="J103" s="14" t="e">
        <f t="shared" si="2"/>
        <v>#REF!</v>
      </c>
      <c r="K103" s="13"/>
      <c r="L103" s="13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</row>
    <row r="104" spans="1:37" ht="31.5" x14ac:dyDescent="0.25">
      <c r="A104" s="1"/>
      <c r="B104" s="10">
        <f t="shared" si="3"/>
        <v>96</v>
      </c>
      <c r="C104" s="132">
        <v>46014</v>
      </c>
      <c r="D104" s="133" t="s">
        <v>373</v>
      </c>
      <c r="E104" s="27" t="s">
        <v>126</v>
      </c>
      <c r="F104" s="68" t="s">
        <v>319</v>
      </c>
      <c r="G104" s="13" t="s">
        <v>320</v>
      </c>
      <c r="H104" s="18"/>
      <c r="I104" s="16">
        <v>210</v>
      </c>
      <c r="J104" s="14" t="e">
        <f t="shared" si="2"/>
        <v>#REF!</v>
      </c>
      <c r="K104" s="13"/>
      <c r="L104" s="13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</row>
    <row r="105" spans="1:37" ht="31.5" x14ac:dyDescent="0.25">
      <c r="A105" s="1"/>
      <c r="B105" s="10">
        <f t="shared" si="3"/>
        <v>97</v>
      </c>
      <c r="C105" s="132">
        <v>46015</v>
      </c>
      <c r="D105" s="133" t="s">
        <v>133</v>
      </c>
      <c r="E105" s="27" t="s">
        <v>126</v>
      </c>
      <c r="F105" s="68" t="s">
        <v>321</v>
      </c>
      <c r="G105" s="13" t="s">
        <v>322</v>
      </c>
      <c r="H105" s="18">
        <v>5249</v>
      </c>
      <c r="I105" s="16"/>
      <c r="J105" s="14" t="e">
        <f t="shared" si="2"/>
        <v>#REF!</v>
      </c>
      <c r="K105" s="13"/>
      <c r="L105" s="13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</row>
    <row r="106" spans="1:37" ht="47.25" x14ac:dyDescent="0.25">
      <c r="A106" s="1"/>
      <c r="B106" s="10">
        <f t="shared" si="3"/>
        <v>98</v>
      </c>
      <c r="C106" s="132">
        <v>46015</v>
      </c>
      <c r="D106" s="133" t="s">
        <v>133</v>
      </c>
      <c r="E106" s="27" t="s">
        <v>126</v>
      </c>
      <c r="F106" s="68" t="s">
        <v>324</v>
      </c>
      <c r="G106" s="13" t="s">
        <v>323</v>
      </c>
      <c r="H106" s="18">
        <v>1350</v>
      </c>
      <c r="I106" s="16"/>
      <c r="J106" s="14" t="e">
        <f t="shared" si="2"/>
        <v>#REF!</v>
      </c>
      <c r="K106" s="13"/>
      <c r="L106" s="13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</row>
    <row r="107" spans="1:37" ht="31.5" x14ac:dyDescent="0.25">
      <c r="A107" s="1"/>
      <c r="B107" s="10">
        <f t="shared" si="3"/>
        <v>99</v>
      </c>
      <c r="C107" s="132">
        <v>46015</v>
      </c>
      <c r="D107" s="133" t="s">
        <v>133</v>
      </c>
      <c r="E107" s="27" t="s">
        <v>130</v>
      </c>
      <c r="F107" s="68" t="s">
        <v>325</v>
      </c>
      <c r="G107" s="13" t="s">
        <v>326</v>
      </c>
      <c r="H107" s="18">
        <v>186</v>
      </c>
      <c r="I107" s="16"/>
      <c r="J107" s="14" t="e">
        <f t="shared" si="2"/>
        <v>#REF!</v>
      </c>
      <c r="K107" s="13"/>
      <c r="L107" s="13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</row>
    <row r="108" spans="1:37" ht="47.25" x14ac:dyDescent="0.25">
      <c r="A108" s="1"/>
      <c r="B108" s="10">
        <f t="shared" si="3"/>
        <v>100</v>
      </c>
      <c r="C108" s="132">
        <v>46015</v>
      </c>
      <c r="D108" s="133" t="s">
        <v>133</v>
      </c>
      <c r="E108" s="27" t="s">
        <v>139</v>
      </c>
      <c r="F108" s="144" t="s">
        <v>273</v>
      </c>
      <c r="G108" s="13" t="s">
        <v>327</v>
      </c>
      <c r="H108" s="18">
        <v>7150</v>
      </c>
      <c r="I108" s="16"/>
      <c r="J108" s="14" t="e">
        <f t="shared" si="2"/>
        <v>#REF!</v>
      </c>
      <c r="K108" s="13"/>
      <c r="L108" s="13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</row>
    <row r="109" spans="1:37" ht="31.5" x14ac:dyDescent="0.25">
      <c r="A109" s="1"/>
      <c r="B109" s="10">
        <f t="shared" si="3"/>
        <v>101</v>
      </c>
      <c r="C109" s="132">
        <v>46015</v>
      </c>
      <c r="D109" s="133" t="s">
        <v>374</v>
      </c>
      <c r="E109" s="27" t="s">
        <v>328</v>
      </c>
      <c r="F109" s="68" t="s">
        <v>333</v>
      </c>
      <c r="G109" s="13" t="s">
        <v>329</v>
      </c>
      <c r="H109" s="18"/>
      <c r="I109" s="16">
        <v>500</v>
      </c>
      <c r="J109" s="14" t="e">
        <f t="shared" si="2"/>
        <v>#REF!</v>
      </c>
      <c r="K109" s="13"/>
      <c r="L109" s="13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</row>
    <row r="110" spans="1:37" ht="47.25" x14ac:dyDescent="0.25">
      <c r="A110" s="1"/>
      <c r="B110" s="10">
        <f t="shared" si="3"/>
        <v>102</v>
      </c>
      <c r="C110" s="132">
        <v>46018</v>
      </c>
      <c r="D110" s="133" t="s">
        <v>375</v>
      </c>
      <c r="E110" s="27" t="s">
        <v>126</v>
      </c>
      <c r="F110" s="68" t="s">
        <v>331</v>
      </c>
      <c r="G110" s="13" t="s">
        <v>330</v>
      </c>
      <c r="H110" s="18"/>
      <c r="I110" s="16">
        <v>70</v>
      </c>
      <c r="J110" s="14" t="e">
        <f t="shared" si="2"/>
        <v>#REF!</v>
      </c>
      <c r="K110" s="13"/>
      <c r="L110" s="13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</row>
    <row r="111" spans="1:37" ht="144.94999999999999" customHeight="1" x14ac:dyDescent="0.25">
      <c r="A111" s="1"/>
      <c r="B111" s="10">
        <f t="shared" si="3"/>
        <v>103</v>
      </c>
      <c r="C111" s="132">
        <v>46018</v>
      </c>
      <c r="D111" s="133" t="s">
        <v>133</v>
      </c>
      <c r="E111" s="27" t="s">
        <v>16</v>
      </c>
      <c r="F111" s="28" t="s">
        <v>354</v>
      </c>
      <c r="G111" s="13" t="s">
        <v>19</v>
      </c>
      <c r="H111" s="18">
        <v>26</v>
      </c>
      <c r="I111" s="16"/>
      <c r="J111" s="14" t="e">
        <f t="shared" si="2"/>
        <v>#REF!</v>
      </c>
      <c r="K111" s="13"/>
      <c r="L111" s="13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</row>
    <row r="112" spans="1:37" ht="145.5" x14ac:dyDescent="0.25">
      <c r="A112" s="1"/>
      <c r="B112" s="10">
        <f t="shared" si="3"/>
        <v>104</v>
      </c>
      <c r="C112" s="132">
        <v>46018</v>
      </c>
      <c r="D112" s="133" t="s">
        <v>376</v>
      </c>
      <c r="E112" s="27" t="s">
        <v>123</v>
      </c>
      <c r="F112" s="28" t="s">
        <v>355</v>
      </c>
      <c r="G112" s="13" t="s">
        <v>125</v>
      </c>
      <c r="H112" s="18"/>
      <c r="I112" s="16">
        <v>228</v>
      </c>
      <c r="J112" s="14" t="e">
        <f t="shared" si="2"/>
        <v>#REF!</v>
      </c>
      <c r="K112" s="13"/>
      <c r="L112" s="13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</row>
    <row r="113" spans="1:37" ht="47.25" x14ac:dyDescent="0.25">
      <c r="A113" s="1"/>
      <c r="B113" s="10">
        <f t="shared" si="3"/>
        <v>105</v>
      </c>
      <c r="C113" s="132">
        <v>46018</v>
      </c>
      <c r="D113" s="133" t="s">
        <v>133</v>
      </c>
      <c r="E113" s="27" t="s">
        <v>136</v>
      </c>
      <c r="F113" s="144" t="s">
        <v>334</v>
      </c>
      <c r="G113" s="13" t="s">
        <v>335</v>
      </c>
      <c r="H113" s="18">
        <v>26000</v>
      </c>
      <c r="I113" s="16"/>
      <c r="J113" s="14" t="e">
        <f t="shared" si="2"/>
        <v>#REF!</v>
      </c>
      <c r="K113" s="13"/>
      <c r="L113" s="13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</row>
    <row r="114" spans="1:37" ht="31.5" x14ac:dyDescent="0.25">
      <c r="A114" s="1"/>
      <c r="B114" s="10">
        <f t="shared" si="3"/>
        <v>106</v>
      </c>
      <c r="C114" s="132">
        <v>46020</v>
      </c>
      <c r="D114" s="133" t="s">
        <v>133</v>
      </c>
      <c r="E114" s="27" t="s">
        <v>130</v>
      </c>
      <c r="F114" s="68" t="s">
        <v>336</v>
      </c>
      <c r="G114" s="13" t="s">
        <v>337</v>
      </c>
      <c r="H114" s="18">
        <v>1414</v>
      </c>
      <c r="I114" s="16"/>
      <c r="J114" s="14" t="e">
        <f t="shared" si="2"/>
        <v>#REF!</v>
      </c>
      <c r="K114" s="13"/>
      <c r="L114" s="13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</row>
    <row r="115" spans="1:37" ht="31.5" x14ac:dyDescent="0.25">
      <c r="A115" s="1"/>
      <c r="B115" s="10">
        <f t="shared" si="3"/>
        <v>107</v>
      </c>
      <c r="C115" s="132">
        <v>46020</v>
      </c>
      <c r="D115" s="133"/>
      <c r="E115" s="27" t="s">
        <v>130</v>
      </c>
      <c r="F115" s="68" t="s">
        <v>319</v>
      </c>
      <c r="G115" s="13" t="s">
        <v>388</v>
      </c>
      <c r="H115" s="18"/>
      <c r="I115" s="16">
        <v>210</v>
      </c>
      <c r="J115" s="14" t="e">
        <f t="shared" si="2"/>
        <v>#REF!</v>
      </c>
      <c r="K115" s="13"/>
      <c r="L115" s="13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</row>
    <row r="116" spans="1:37" ht="31.5" x14ac:dyDescent="0.25">
      <c r="A116" s="1"/>
      <c r="B116" s="10">
        <f t="shared" si="3"/>
        <v>108</v>
      </c>
      <c r="C116" s="132">
        <v>46020</v>
      </c>
      <c r="D116" s="133" t="s">
        <v>133</v>
      </c>
      <c r="E116" s="27" t="s">
        <v>130</v>
      </c>
      <c r="F116" s="68" t="s">
        <v>339</v>
      </c>
      <c r="G116" s="13" t="s">
        <v>338</v>
      </c>
      <c r="H116" s="18">
        <v>796</v>
      </c>
      <c r="I116" s="16"/>
      <c r="J116" s="14" t="e">
        <f t="shared" si="2"/>
        <v>#REF!</v>
      </c>
      <c r="K116" s="13"/>
      <c r="L116" s="13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</row>
    <row r="117" spans="1:37" ht="132.6" customHeight="1" x14ac:dyDescent="0.25">
      <c r="A117" s="1"/>
      <c r="B117" s="10">
        <f t="shared" si="3"/>
        <v>109</v>
      </c>
      <c r="C117" s="132">
        <v>46020</v>
      </c>
      <c r="D117" s="133" t="s">
        <v>377</v>
      </c>
      <c r="E117" s="27" t="s">
        <v>126</v>
      </c>
      <c r="F117" s="68" t="s">
        <v>359</v>
      </c>
      <c r="G117" s="13" t="s">
        <v>360</v>
      </c>
      <c r="H117" s="18"/>
      <c r="I117" s="16">
        <v>573</v>
      </c>
      <c r="J117" s="14" t="e">
        <f t="shared" si="2"/>
        <v>#REF!</v>
      </c>
      <c r="K117" s="13"/>
      <c r="L117" s="13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</row>
    <row r="118" spans="1:37" ht="31.5" x14ac:dyDescent="0.25">
      <c r="A118" s="1"/>
      <c r="B118" s="10">
        <f t="shared" si="3"/>
        <v>110</v>
      </c>
      <c r="C118" s="132">
        <v>46020</v>
      </c>
      <c r="D118" s="133" t="s">
        <v>133</v>
      </c>
      <c r="E118" s="27" t="s">
        <v>16</v>
      </c>
      <c r="F118" s="68" t="s">
        <v>340</v>
      </c>
      <c r="G118" s="13" t="s">
        <v>341</v>
      </c>
      <c r="H118" s="18">
        <v>4000</v>
      </c>
      <c r="I118" s="16"/>
      <c r="J118" s="14" t="e">
        <f t="shared" si="2"/>
        <v>#REF!</v>
      </c>
      <c r="K118" s="13"/>
      <c r="L118" s="13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</row>
    <row r="119" spans="1:37" ht="31.5" x14ac:dyDescent="0.25">
      <c r="A119" s="1"/>
      <c r="B119" s="10">
        <f t="shared" si="3"/>
        <v>111</v>
      </c>
      <c r="C119" s="132">
        <v>46020</v>
      </c>
      <c r="D119" s="133" t="s">
        <v>133</v>
      </c>
      <c r="E119" s="27" t="s">
        <v>16</v>
      </c>
      <c r="F119" s="68" t="s">
        <v>342</v>
      </c>
      <c r="G119" s="13" t="s">
        <v>343</v>
      </c>
      <c r="H119" s="18">
        <v>1600</v>
      </c>
      <c r="I119" s="16"/>
      <c r="J119" s="14" t="e">
        <f t="shared" si="2"/>
        <v>#REF!</v>
      </c>
      <c r="K119" s="13"/>
      <c r="L119" s="13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</row>
    <row r="120" spans="1:37" ht="47.25" x14ac:dyDescent="0.25">
      <c r="A120" s="1"/>
      <c r="B120" s="10">
        <f t="shared" si="3"/>
        <v>112</v>
      </c>
      <c r="C120" s="132">
        <v>46020</v>
      </c>
      <c r="D120" s="133" t="s">
        <v>133</v>
      </c>
      <c r="E120" s="27" t="s">
        <v>139</v>
      </c>
      <c r="F120" s="144" t="s">
        <v>344</v>
      </c>
      <c r="G120" s="13" t="s">
        <v>345</v>
      </c>
      <c r="H120" s="18">
        <v>3850</v>
      </c>
      <c r="I120" s="16"/>
      <c r="J120" s="14" t="e">
        <f t="shared" si="2"/>
        <v>#REF!</v>
      </c>
      <c r="K120" s="13"/>
      <c r="L120" s="13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</row>
    <row r="121" spans="1:37" ht="31.5" x14ac:dyDescent="0.25">
      <c r="A121" s="1"/>
      <c r="B121" s="10">
        <f t="shared" si="3"/>
        <v>113</v>
      </c>
      <c r="C121" s="159">
        <v>46020</v>
      </c>
      <c r="D121" s="159" t="s">
        <v>133</v>
      </c>
      <c r="E121" s="166" t="s">
        <v>73</v>
      </c>
      <c r="F121" s="163" t="s">
        <v>387</v>
      </c>
      <c r="G121" s="17" t="s">
        <v>268</v>
      </c>
      <c r="H121" s="18">
        <v>2860</v>
      </c>
      <c r="I121" s="16"/>
      <c r="J121" s="14" t="e">
        <f t="shared" si="2"/>
        <v>#REF!</v>
      </c>
      <c r="K121" s="13"/>
      <c r="L121" s="13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</row>
    <row r="122" spans="1:37" ht="31.5" x14ac:dyDescent="0.25">
      <c r="A122" s="1"/>
      <c r="B122" s="10">
        <f t="shared" si="3"/>
        <v>114</v>
      </c>
      <c r="C122" s="160"/>
      <c r="D122" s="160"/>
      <c r="E122" s="167"/>
      <c r="F122" s="164"/>
      <c r="G122" s="17" t="s">
        <v>268</v>
      </c>
      <c r="H122" s="18">
        <v>3965</v>
      </c>
      <c r="I122" s="16"/>
      <c r="J122" s="14" t="e">
        <f t="shared" si="2"/>
        <v>#REF!</v>
      </c>
      <c r="K122" s="13"/>
      <c r="L122" s="13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</row>
    <row r="123" spans="1:37" ht="31.5" x14ac:dyDescent="0.25">
      <c r="A123" s="1"/>
      <c r="B123" s="10">
        <f t="shared" si="3"/>
        <v>115</v>
      </c>
      <c r="C123" s="161"/>
      <c r="D123" s="161"/>
      <c r="E123" s="168"/>
      <c r="F123" s="165"/>
      <c r="G123" s="17" t="s">
        <v>268</v>
      </c>
      <c r="H123" s="18">
        <v>900</v>
      </c>
      <c r="I123" s="16"/>
      <c r="J123" s="14" t="e">
        <f t="shared" si="2"/>
        <v>#REF!</v>
      </c>
      <c r="K123" s="13"/>
      <c r="L123" s="13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</row>
    <row r="124" spans="1:37" ht="78.75" x14ac:dyDescent="0.25">
      <c r="A124" s="1"/>
      <c r="B124" s="10">
        <f t="shared" si="3"/>
        <v>116</v>
      </c>
      <c r="C124" s="132">
        <v>46020</v>
      </c>
      <c r="D124" s="133" t="s">
        <v>378</v>
      </c>
      <c r="E124" s="27" t="s">
        <v>68</v>
      </c>
      <c r="F124" s="13" t="s">
        <v>356</v>
      </c>
      <c r="G124" s="13" t="s">
        <v>361</v>
      </c>
      <c r="H124" s="18"/>
      <c r="I124" s="16">
        <v>83</v>
      </c>
      <c r="J124" s="14" t="e">
        <f t="shared" si="2"/>
        <v>#REF!</v>
      </c>
      <c r="K124" s="13"/>
      <c r="L124" s="13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</row>
    <row r="125" spans="1:37" ht="31.5" x14ac:dyDescent="0.25">
      <c r="A125" s="1"/>
      <c r="B125" s="10">
        <f t="shared" si="3"/>
        <v>117</v>
      </c>
      <c r="C125" s="132">
        <v>46021</v>
      </c>
      <c r="D125" s="133" t="s">
        <v>133</v>
      </c>
      <c r="E125" s="27" t="s">
        <v>130</v>
      </c>
      <c r="F125" s="68" t="s">
        <v>346</v>
      </c>
      <c r="G125" s="13" t="s">
        <v>347</v>
      </c>
      <c r="H125" s="18">
        <v>2577</v>
      </c>
      <c r="I125" s="16"/>
      <c r="J125" s="14" t="e">
        <f t="shared" si="2"/>
        <v>#REF!</v>
      </c>
      <c r="K125" s="13"/>
      <c r="L125" s="13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</row>
    <row r="126" spans="1:37" ht="31.5" x14ac:dyDescent="0.25">
      <c r="A126" s="1"/>
      <c r="B126" s="10">
        <f t="shared" si="3"/>
        <v>118</v>
      </c>
      <c r="C126" s="132">
        <v>46021</v>
      </c>
      <c r="D126" s="133" t="s">
        <v>133</v>
      </c>
      <c r="E126" s="27" t="s">
        <v>16</v>
      </c>
      <c r="F126" s="68" t="s">
        <v>349</v>
      </c>
      <c r="G126" s="13" t="s">
        <v>348</v>
      </c>
      <c r="H126" s="18">
        <v>1700</v>
      </c>
      <c r="I126" s="16"/>
      <c r="J126" s="14" t="e">
        <f t="shared" si="2"/>
        <v>#REF!</v>
      </c>
      <c r="K126" s="13"/>
      <c r="L126" s="13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</row>
    <row r="127" spans="1:37" ht="31.5" x14ac:dyDescent="0.25">
      <c r="A127" s="1"/>
      <c r="B127" s="10">
        <f t="shared" si="3"/>
        <v>119</v>
      </c>
      <c r="C127" s="132">
        <v>46021</v>
      </c>
      <c r="D127" s="133" t="s">
        <v>133</v>
      </c>
      <c r="E127" s="27" t="s">
        <v>136</v>
      </c>
      <c r="F127" s="68" t="s">
        <v>350</v>
      </c>
      <c r="G127" s="13" t="s">
        <v>351</v>
      </c>
      <c r="H127" s="18">
        <v>2000</v>
      </c>
      <c r="I127" s="16"/>
      <c r="J127" s="14" t="e">
        <f t="shared" si="2"/>
        <v>#REF!</v>
      </c>
      <c r="K127" s="13"/>
      <c r="L127" s="13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</row>
    <row r="128" spans="1:37" ht="31.5" x14ac:dyDescent="0.25">
      <c r="A128" s="1"/>
      <c r="B128" s="10">
        <f t="shared" si="3"/>
        <v>120</v>
      </c>
      <c r="C128" s="132">
        <v>46021</v>
      </c>
      <c r="D128" s="133" t="s">
        <v>133</v>
      </c>
      <c r="E128" s="27" t="s">
        <v>16</v>
      </c>
      <c r="F128" s="68" t="s">
        <v>353</v>
      </c>
      <c r="G128" s="13" t="s">
        <v>352</v>
      </c>
      <c r="H128" s="18">
        <v>284</v>
      </c>
      <c r="I128" s="16"/>
      <c r="J128" s="14" t="e">
        <f t="shared" si="2"/>
        <v>#REF!</v>
      </c>
      <c r="K128" s="13"/>
      <c r="L128" s="13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</row>
    <row r="129" spans="1:37" ht="94.5" x14ac:dyDescent="0.25">
      <c r="A129" s="1"/>
      <c r="B129" s="10">
        <f t="shared" si="3"/>
        <v>121</v>
      </c>
      <c r="C129" s="132">
        <v>46021</v>
      </c>
      <c r="D129" s="133" t="s">
        <v>379</v>
      </c>
      <c r="E129" s="27" t="s">
        <v>68</v>
      </c>
      <c r="F129" s="13" t="s">
        <v>357</v>
      </c>
      <c r="G129" s="19" t="s">
        <v>358</v>
      </c>
      <c r="H129" s="18"/>
      <c r="I129" s="16">
        <f>9+190.9+38+61+47+85.7+3</f>
        <v>434.59999999999997</v>
      </c>
      <c r="J129" s="14" t="e">
        <f t="shared" si="2"/>
        <v>#REF!</v>
      </c>
      <c r="K129" s="13"/>
      <c r="L129" s="13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</row>
    <row r="130" spans="1:37" ht="31.5" x14ac:dyDescent="0.25">
      <c r="A130" s="1"/>
      <c r="B130" s="10">
        <f t="shared" si="3"/>
        <v>122</v>
      </c>
      <c r="C130" s="132">
        <v>46022</v>
      </c>
      <c r="D130" s="133" t="s">
        <v>133</v>
      </c>
      <c r="E130" s="27" t="s">
        <v>130</v>
      </c>
      <c r="F130" s="68" t="s">
        <v>380</v>
      </c>
      <c r="G130" s="13" t="s">
        <v>381</v>
      </c>
      <c r="H130" s="18">
        <v>4838</v>
      </c>
      <c r="I130" s="16"/>
      <c r="J130" s="14" t="e">
        <f t="shared" si="2"/>
        <v>#REF!</v>
      </c>
      <c r="K130" s="13"/>
      <c r="L130" s="13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</row>
    <row r="131" spans="1:37" ht="47.25" x14ac:dyDescent="0.25">
      <c r="A131" s="1"/>
      <c r="B131" s="10">
        <f t="shared" si="3"/>
        <v>123</v>
      </c>
      <c r="C131" s="132">
        <v>46022</v>
      </c>
      <c r="D131" s="133" t="s">
        <v>133</v>
      </c>
      <c r="E131" s="27" t="s">
        <v>130</v>
      </c>
      <c r="F131" s="68" t="s">
        <v>383</v>
      </c>
      <c r="G131" s="13" t="s">
        <v>382</v>
      </c>
      <c r="H131" s="18">
        <v>2590</v>
      </c>
      <c r="I131" s="16"/>
      <c r="J131" s="14" t="e">
        <f t="shared" si="2"/>
        <v>#REF!</v>
      </c>
      <c r="K131" s="13"/>
      <c r="L131" s="13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</row>
    <row r="132" spans="1:37" ht="63" x14ac:dyDescent="0.25">
      <c r="A132" s="1"/>
      <c r="B132" s="10">
        <f t="shared" si="3"/>
        <v>124</v>
      </c>
      <c r="C132" s="132">
        <v>46022</v>
      </c>
      <c r="D132" s="133" t="s">
        <v>384</v>
      </c>
      <c r="E132" s="27" t="s">
        <v>130</v>
      </c>
      <c r="F132" s="13" t="s">
        <v>385</v>
      </c>
      <c r="G132" s="13" t="s">
        <v>386</v>
      </c>
      <c r="H132" s="18"/>
      <c r="I132" s="16">
        <v>58</v>
      </c>
      <c r="J132" s="14" t="e">
        <f t="shared" si="2"/>
        <v>#REF!</v>
      </c>
      <c r="K132" s="13"/>
      <c r="L132" s="13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</row>
    <row r="133" spans="1:37" ht="31.5" x14ac:dyDescent="0.25">
      <c r="A133" s="1"/>
      <c r="B133" s="10">
        <f t="shared" si="3"/>
        <v>125</v>
      </c>
      <c r="C133" s="132">
        <v>46022</v>
      </c>
      <c r="D133" s="133" t="s">
        <v>389</v>
      </c>
      <c r="E133" s="27" t="s">
        <v>16</v>
      </c>
      <c r="F133" s="13" t="s">
        <v>390</v>
      </c>
      <c r="G133" s="13" t="s">
        <v>19</v>
      </c>
      <c r="H133" s="18"/>
      <c r="I133" s="16">
        <v>70</v>
      </c>
      <c r="J133" s="14" t="e">
        <f t="shared" si="2"/>
        <v>#REF!</v>
      </c>
      <c r="K133" s="13"/>
      <c r="L133" s="13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</row>
    <row r="134" spans="1:37" ht="47.25" x14ac:dyDescent="0.25">
      <c r="A134" s="1"/>
      <c r="B134" s="10">
        <f t="shared" si="3"/>
        <v>126</v>
      </c>
      <c r="C134" s="132">
        <v>46022</v>
      </c>
      <c r="D134" s="133" t="s">
        <v>133</v>
      </c>
      <c r="E134" s="27" t="s">
        <v>139</v>
      </c>
      <c r="F134" s="144" t="s">
        <v>334</v>
      </c>
      <c r="G134" s="13" t="s">
        <v>391</v>
      </c>
      <c r="H134" s="18">
        <v>271.5</v>
      </c>
      <c r="I134" s="16"/>
      <c r="J134" s="14" t="e">
        <f t="shared" si="2"/>
        <v>#REF!</v>
      </c>
      <c r="K134" s="13"/>
      <c r="L134" s="13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</row>
    <row r="135" spans="1:37" ht="47.25" x14ac:dyDescent="0.25">
      <c r="A135" s="1"/>
      <c r="B135" s="10">
        <f t="shared" si="3"/>
        <v>127</v>
      </c>
      <c r="C135" s="132">
        <v>46022</v>
      </c>
      <c r="D135" s="133" t="s">
        <v>133</v>
      </c>
      <c r="E135" s="27" t="s">
        <v>136</v>
      </c>
      <c r="F135" s="68" t="s">
        <v>393</v>
      </c>
      <c r="G135" s="13" t="s">
        <v>392</v>
      </c>
      <c r="H135" s="18">
        <v>4316</v>
      </c>
      <c r="I135" s="16"/>
      <c r="J135" s="14" t="e">
        <f t="shared" si="2"/>
        <v>#REF!</v>
      </c>
      <c r="K135" s="13"/>
      <c r="L135" s="13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</row>
    <row r="136" spans="1:37" ht="31.5" x14ac:dyDescent="0.25">
      <c r="A136" s="1"/>
      <c r="B136" s="10">
        <f t="shared" si="3"/>
        <v>128</v>
      </c>
      <c r="C136" s="132">
        <v>46022</v>
      </c>
      <c r="D136" s="133" t="s">
        <v>133</v>
      </c>
      <c r="E136" s="27" t="s">
        <v>136</v>
      </c>
      <c r="F136" s="68" t="s">
        <v>394</v>
      </c>
      <c r="G136" s="13" t="s">
        <v>395</v>
      </c>
      <c r="H136" s="18">
        <v>34152</v>
      </c>
      <c r="I136" s="16"/>
      <c r="J136" s="14" t="e">
        <f t="shared" si="2"/>
        <v>#REF!</v>
      </c>
      <c r="K136" s="13"/>
      <c r="L136" s="13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</row>
    <row r="137" spans="1:37" ht="31.5" x14ac:dyDescent="0.25">
      <c r="A137" s="1"/>
      <c r="B137" s="10">
        <f t="shared" si="3"/>
        <v>129</v>
      </c>
      <c r="C137" s="132">
        <v>46022</v>
      </c>
      <c r="D137" s="133" t="s">
        <v>133</v>
      </c>
      <c r="E137" s="27" t="s">
        <v>130</v>
      </c>
      <c r="F137" s="68" t="s">
        <v>396</v>
      </c>
      <c r="G137" s="13" t="s">
        <v>397</v>
      </c>
      <c r="H137" s="18">
        <v>2338</v>
      </c>
      <c r="I137" s="16"/>
      <c r="J137" s="14" t="e">
        <f t="shared" si="2"/>
        <v>#REF!</v>
      </c>
      <c r="K137" s="13"/>
      <c r="L137" s="13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</row>
    <row r="138" spans="1:37" ht="63" x14ac:dyDescent="0.25">
      <c r="A138" s="1"/>
      <c r="B138" s="10">
        <f t="shared" si="3"/>
        <v>130</v>
      </c>
      <c r="C138" s="132">
        <v>46022</v>
      </c>
      <c r="D138" s="133" t="s">
        <v>398</v>
      </c>
      <c r="E138" s="27" t="s">
        <v>136</v>
      </c>
      <c r="F138" s="13" t="s">
        <v>400</v>
      </c>
      <c r="G138" s="13" t="s">
        <v>399</v>
      </c>
      <c r="H138" s="18"/>
      <c r="I138" s="16">
        <v>13434.6</v>
      </c>
      <c r="J138" s="14" t="e">
        <f t="shared" si="2"/>
        <v>#REF!</v>
      </c>
      <c r="K138" s="13"/>
      <c r="L138" s="13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</row>
    <row r="139" spans="1:37" ht="31.5" x14ac:dyDescent="0.25">
      <c r="A139" s="1"/>
      <c r="B139" s="10">
        <f t="shared" si="3"/>
        <v>131</v>
      </c>
      <c r="C139" s="132">
        <v>46022</v>
      </c>
      <c r="D139" s="133" t="s">
        <v>133</v>
      </c>
      <c r="E139" s="27" t="s">
        <v>136</v>
      </c>
      <c r="F139" s="68" t="s">
        <v>350</v>
      </c>
      <c r="G139" s="13" t="s">
        <v>401</v>
      </c>
      <c r="H139" s="18">
        <v>1500</v>
      </c>
      <c r="I139" s="16"/>
      <c r="J139" s="14" t="e">
        <f t="shared" si="2"/>
        <v>#REF!</v>
      </c>
      <c r="K139" s="13"/>
      <c r="L139" s="13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</row>
    <row r="140" spans="1:37" ht="31.5" x14ac:dyDescent="0.25">
      <c r="A140" s="1"/>
      <c r="B140" s="10">
        <f t="shared" si="3"/>
        <v>132</v>
      </c>
      <c r="C140" s="132">
        <v>46022</v>
      </c>
      <c r="D140" s="133" t="s">
        <v>402</v>
      </c>
      <c r="E140" s="27" t="s">
        <v>126</v>
      </c>
      <c r="F140" s="68" t="s">
        <v>404</v>
      </c>
      <c r="G140" s="13" t="s">
        <v>405</v>
      </c>
      <c r="H140" s="18"/>
      <c r="I140" s="16">
        <v>235</v>
      </c>
      <c r="J140" s="14" t="e">
        <f t="shared" si="2"/>
        <v>#REF!</v>
      </c>
      <c r="K140" s="13"/>
      <c r="L140" s="13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</row>
    <row r="141" spans="1:37" ht="78.75" x14ac:dyDescent="0.25">
      <c r="A141" s="1"/>
      <c r="B141" s="10">
        <f t="shared" si="3"/>
        <v>133</v>
      </c>
      <c r="C141" s="132">
        <v>46022</v>
      </c>
      <c r="D141" s="133" t="s">
        <v>403</v>
      </c>
      <c r="E141" s="27" t="s">
        <v>208</v>
      </c>
      <c r="F141" s="13" t="s">
        <v>406</v>
      </c>
      <c r="G141" s="13" t="s">
        <v>407</v>
      </c>
      <c r="H141" s="18"/>
      <c r="I141" s="16">
        <f>3621.34+1802.78-0.02</f>
        <v>5424.0999999999995</v>
      </c>
      <c r="J141" s="14" t="e">
        <f t="shared" si="2"/>
        <v>#REF!</v>
      </c>
      <c r="K141" s="13"/>
      <c r="L141" s="13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</row>
    <row r="142" spans="1:37" ht="19.5" customHeight="1" x14ac:dyDescent="0.25">
      <c r="A142" s="1"/>
      <c r="B142" s="149" t="s">
        <v>14</v>
      </c>
      <c r="C142" s="150"/>
      <c r="D142" s="150"/>
      <c r="E142" s="150"/>
      <c r="F142" s="150"/>
      <c r="G142" s="151"/>
      <c r="H142" s="16" t="e">
        <f>SUM(H7:H141)+J7</f>
        <v>#REF!</v>
      </c>
      <c r="I142" s="14">
        <f>SUM(I7:I141)+K7</f>
        <v>464859.29999999993</v>
      </c>
      <c r="J142" s="20" t="e">
        <f>+H142-I142</f>
        <v>#REF!</v>
      </c>
      <c r="K142" s="40">
        <f t="shared" ref="K142:AK142" si="4">SUM(K7:K141)</f>
        <v>0</v>
      </c>
      <c r="L142" s="40">
        <f t="shared" si="4"/>
        <v>0</v>
      </c>
      <c r="M142" s="40">
        <f t="shared" si="4"/>
        <v>0</v>
      </c>
      <c r="N142" s="40">
        <f t="shared" si="4"/>
        <v>0</v>
      </c>
      <c r="O142" s="40">
        <f t="shared" si="4"/>
        <v>0</v>
      </c>
      <c r="P142" s="40">
        <f t="shared" si="4"/>
        <v>0</v>
      </c>
      <c r="Q142" s="40">
        <f t="shared" si="4"/>
        <v>0</v>
      </c>
      <c r="R142" s="40">
        <f t="shared" si="4"/>
        <v>0</v>
      </c>
      <c r="S142" s="40">
        <f t="shared" si="4"/>
        <v>0</v>
      </c>
      <c r="T142" s="40">
        <f t="shared" si="4"/>
        <v>0</v>
      </c>
      <c r="U142" s="40">
        <f t="shared" si="4"/>
        <v>0</v>
      </c>
      <c r="V142" s="40">
        <f t="shared" si="4"/>
        <v>0</v>
      </c>
      <c r="W142" s="40">
        <f t="shared" si="4"/>
        <v>0</v>
      </c>
      <c r="X142" s="40">
        <f t="shared" si="4"/>
        <v>0</v>
      </c>
      <c r="Y142" s="40">
        <f t="shared" si="4"/>
        <v>0</v>
      </c>
      <c r="Z142" s="40">
        <f t="shared" si="4"/>
        <v>0</v>
      </c>
      <c r="AA142" s="40">
        <f t="shared" si="4"/>
        <v>0</v>
      </c>
      <c r="AB142" s="40">
        <f t="shared" si="4"/>
        <v>0</v>
      </c>
      <c r="AC142" s="40">
        <f t="shared" si="4"/>
        <v>0</v>
      </c>
      <c r="AD142" s="40">
        <f t="shared" si="4"/>
        <v>0</v>
      </c>
      <c r="AE142" s="40">
        <f t="shared" si="4"/>
        <v>0</v>
      </c>
      <c r="AF142" s="40">
        <f t="shared" si="4"/>
        <v>0</v>
      </c>
      <c r="AG142" s="40">
        <f t="shared" si="4"/>
        <v>0</v>
      </c>
      <c r="AH142" s="40">
        <f t="shared" si="4"/>
        <v>0</v>
      </c>
      <c r="AI142" s="40">
        <f t="shared" si="4"/>
        <v>0</v>
      </c>
      <c r="AJ142" s="40">
        <f t="shared" si="4"/>
        <v>0</v>
      </c>
      <c r="AK142" s="40">
        <f t="shared" si="4"/>
        <v>0</v>
      </c>
    </row>
    <row r="143" spans="1:37" x14ac:dyDescent="0.25">
      <c r="A143" s="1"/>
      <c r="B143" s="149" t="s">
        <v>15</v>
      </c>
      <c r="C143" s="150"/>
      <c r="D143" s="150"/>
      <c r="E143" s="150"/>
      <c r="F143" s="150"/>
      <c r="G143" s="151"/>
      <c r="H143" s="1"/>
      <c r="I143" s="1"/>
      <c r="J143" s="20" t="e">
        <f>+J142</f>
        <v>#REF!</v>
      </c>
      <c r="K143" s="3"/>
      <c r="L143" s="3"/>
    </row>
    <row r="144" spans="1:37" ht="19.5" customHeight="1" x14ac:dyDescent="0.25">
      <c r="H144" s="21"/>
      <c r="I144" s="21"/>
    </row>
    <row r="145" spans="1:14" x14ac:dyDescent="0.25">
      <c r="J145" s="21">
        <f>SUBTOTAL(9,M142:AK142)</f>
        <v>0</v>
      </c>
    </row>
    <row r="146" spans="1:14" x14ac:dyDescent="0.25">
      <c r="G146" s="158" t="s">
        <v>20</v>
      </c>
      <c r="H146" s="158"/>
      <c r="I146" s="158"/>
    </row>
    <row r="147" spans="1:14" ht="31.5" x14ac:dyDescent="0.25">
      <c r="G147" s="36" t="s">
        <v>21</v>
      </c>
      <c r="H147" s="36" t="s">
        <v>22</v>
      </c>
      <c r="I147" s="36" t="s">
        <v>23</v>
      </c>
    </row>
    <row r="148" spans="1:14" x14ac:dyDescent="0.25">
      <c r="G148" s="34" t="s">
        <v>132</v>
      </c>
      <c r="H148" s="35"/>
      <c r="I148" s="141">
        <v>120000</v>
      </c>
      <c r="L148">
        <v>1</v>
      </c>
      <c r="M148" s="145">
        <v>60000</v>
      </c>
      <c r="N148" s="4" t="s">
        <v>290</v>
      </c>
    </row>
    <row r="149" spans="1:14" x14ac:dyDescent="0.25">
      <c r="G149" s="33" t="s">
        <v>135</v>
      </c>
      <c r="H149" s="18"/>
      <c r="I149" s="142">
        <v>10000</v>
      </c>
      <c r="L149">
        <v>2</v>
      </c>
      <c r="M149" s="145">
        <v>60000</v>
      </c>
      <c r="N149" s="4" t="s">
        <v>291</v>
      </c>
    </row>
    <row r="150" spans="1:14" x14ac:dyDescent="0.25">
      <c r="G150" s="33" t="s">
        <v>135</v>
      </c>
      <c r="H150" s="18"/>
      <c r="I150" s="142">
        <v>9000</v>
      </c>
      <c r="J150" s="21"/>
      <c r="L150">
        <v>3</v>
      </c>
      <c r="M150" s="145">
        <v>60000</v>
      </c>
      <c r="N150" s="4" t="s">
        <v>292</v>
      </c>
    </row>
    <row r="151" spans="1:14" x14ac:dyDescent="0.25">
      <c r="G151" s="33" t="s">
        <v>135</v>
      </c>
      <c r="H151" s="18"/>
      <c r="I151" s="142">
        <v>900</v>
      </c>
      <c r="L151">
        <v>4</v>
      </c>
      <c r="M151" s="145">
        <v>60000</v>
      </c>
      <c r="N151" s="4" t="s">
        <v>293</v>
      </c>
    </row>
    <row r="152" spans="1:14" x14ac:dyDescent="0.25">
      <c r="G152" s="33" t="s">
        <v>135</v>
      </c>
      <c r="H152" s="18"/>
      <c r="I152" s="142">
        <v>10</v>
      </c>
      <c r="L152">
        <v>5</v>
      </c>
      <c r="M152" s="145">
        <v>60000</v>
      </c>
      <c r="N152" s="4" t="s">
        <v>294</v>
      </c>
    </row>
    <row r="153" spans="1:14" x14ac:dyDescent="0.25">
      <c r="G153" s="33" t="s">
        <v>135</v>
      </c>
      <c r="H153" s="18"/>
      <c r="I153" s="18">
        <v>50.6</v>
      </c>
      <c r="L153">
        <v>6</v>
      </c>
      <c r="M153">
        <v>50000</v>
      </c>
      <c r="N153" s="4" t="s">
        <v>295</v>
      </c>
    </row>
    <row r="154" spans="1:14" x14ac:dyDescent="0.25">
      <c r="G154" s="33" t="s">
        <v>127</v>
      </c>
      <c r="H154" s="18"/>
      <c r="I154" s="18"/>
      <c r="L154">
        <v>7</v>
      </c>
      <c r="M154">
        <v>50000</v>
      </c>
      <c r="N154" s="4" t="s">
        <v>297</v>
      </c>
    </row>
    <row r="155" spans="1:14" s="22" customFormat="1" x14ac:dyDescent="0.25">
      <c r="A155" s="4"/>
      <c r="B155" s="4"/>
      <c r="C155" s="23"/>
      <c r="D155" s="23"/>
      <c r="E155" s="9"/>
      <c r="G155" s="33"/>
      <c r="H155" s="18" t="s">
        <v>24</v>
      </c>
      <c r="I155" s="18"/>
      <c r="J155" s="21"/>
      <c r="L155">
        <v>8</v>
      </c>
      <c r="M155">
        <v>50000</v>
      </c>
      <c r="N155" s="4" t="s">
        <v>296</v>
      </c>
    </row>
    <row r="156" spans="1:14" ht="16.5" x14ac:dyDescent="0.25">
      <c r="G156" s="32"/>
      <c r="H156" s="31"/>
      <c r="I156" s="37">
        <f>SUM(I148:I155)</f>
        <v>139960.6</v>
      </c>
      <c r="J156" s="139"/>
      <c r="L156">
        <v>9</v>
      </c>
      <c r="M156"/>
    </row>
    <row r="157" spans="1:14" x14ac:dyDescent="0.25">
      <c r="I157" s="18" t="e">
        <f>+J143-I156</f>
        <v>#REF!</v>
      </c>
      <c r="L157">
        <v>10</v>
      </c>
      <c r="M157"/>
    </row>
    <row r="158" spans="1:14" x14ac:dyDescent="0.25">
      <c r="J158" s="21"/>
      <c r="L158">
        <v>11</v>
      </c>
      <c r="M158"/>
    </row>
    <row r="159" spans="1:14" x14ac:dyDescent="0.25">
      <c r="L159"/>
      <c r="M159">
        <f>SUM(M148:M158)</f>
        <v>450000</v>
      </c>
    </row>
    <row r="160" spans="1:14" x14ac:dyDescent="0.25">
      <c r="I160" s="31">
        <f>+I156+I158</f>
        <v>139960.6</v>
      </c>
    </row>
    <row r="161" spans="7:9" x14ac:dyDescent="0.25">
      <c r="G161" s="63"/>
    </row>
    <row r="162" spans="7:9" x14ac:dyDescent="0.25">
      <c r="G162" s="63"/>
    </row>
    <row r="163" spans="7:9" x14ac:dyDescent="0.25">
      <c r="G163" s="63"/>
    </row>
    <row r="164" spans="7:9" x14ac:dyDescent="0.25">
      <c r="G164" s="63"/>
    </row>
    <row r="165" spans="7:9" x14ac:dyDescent="0.25">
      <c r="G165" s="63"/>
    </row>
    <row r="167" spans="7:9" x14ac:dyDescent="0.25">
      <c r="G167" s="64"/>
      <c r="I167" s="65"/>
    </row>
  </sheetData>
  <autoFilter ref="A6:AJ143" xr:uid="{00000000-0009-0000-0000-000007000000}"/>
  <mergeCells count="14">
    <mergeCell ref="B142:G142"/>
    <mergeCell ref="B143:G143"/>
    <mergeCell ref="G146:I146"/>
    <mergeCell ref="B3:L3"/>
    <mergeCell ref="B4:L4"/>
    <mergeCell ref="K5:L5"/>
    <mergeCell ref="C74:C76"/>
    <mergeCell ref="E74:E76"/>
    <mergeCell ref="F74:F76"/>
    <mergeCell ref="D74:D76"/>
    <mergeCell ref="C121:C123"/>
    <mergeCell ref="D121:D123"/>
    <mergeCell ref="E121:E123"/>
    <mergeCell ref="F121:F123"/>
  </mergeCells>
  <phoneticPr fontId="8" type="noConversion"/>
  <pageMargins left="0.31496062992125984" right="0" top="0.35433070866141736" bottom="0.35433070866141736" header="0.31496062992125984" footer="0.31496062992125984"/>
  <pageSetup paperSize="5" scale="5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014E9-9A56-410B-AA7A-70856456E168}">
  <dimension ref="A1:AN58"/>
  <sheetViews>
    <sheetView tabSelected="1" topLeftCell="A34" zoomScale="86" zoomScaleNormal="86" workbookViewId="0">
      <selection activeCell="J38" sqref="J38"/>
    </sheetView>
  </sheetViews>
  <sheetFormatPr baseColWidth="10" defaultColWidth="11.42578125" defaultRowHeight="15.75" x14ac:dyDescent="0.25"/>
  <cols>
    <col min="1" max="1" width="4.7109375" style="4" customWidth="1"/>
    <col min="2" max="2" width="4.28515625" style="4" customWidth="1"/>
    <col min="3" max="3" width="11.42578125" style="23"/>
    <col min="4" max="4" width="11.42578125" style="23" customWidth="1"/>
    <col min="5" max="5" width="9.140625" style="147" customWidth="1"/>
    <col min="6" max="6" width="32" style="22" customWidth="1"/>
    <col min="7" max="7" width="14.140625" style="22" customWidth="1"/>
    <col min="8" max="9" width="11.5703125" style="4" customWidth="1"/>
    <col min="10" max="10" width="11.42578125" style="4"/>
    <col min="11" max="11" width="13.140625" style="22" customWidth="1"/>
    <col min="12" max="12" width="12.28515625" style="22" customWidth="1"/>
    <col min="13" max="13" width="17.42578125" style="4" customWidth="1"/>
    <col min="14" max="14" width="13.28515625" style="4" customWidth="1"/>
    <col min="15" max="15" width="0" style="4" hidden="1" customWidth="1"/>
    <col min="16" max="17" width="11.42578125" style="4"/>
    <col min="18" max="18" width="0" style="4" hidden="1" customWidth="1"/>
    <col min="19" max="20" width="11.42578125" style="4"/>
    <col min="21" max="24" width="0" style="4" hidden="1" customWidth="1"/>
    <col min="25" max="25" width="11.42578125" style="4"/>
    <col min="26" max="26" width="0" style="4" hidden="1" customWidth="1"/>
    <col min="27" max="27" width="13.42578125" style="4" customWidth="1"/>
    <col min="28" max="28" width="0" style="4" hidden="1" customWidth="1"/>
    <col min="29" max="31" width="11.42578125" style="4"/>
    <col min="32" max="32" width="0" style="4" hidden="1" customWidth="1"/>
    <col min="33" max="33" width="11.42578125" style="4"/>
    <col min="34" max="36" width="0" style="4" hidden="1" customWidth="1"/>
    <col min="37" max="37" width="11.42578125" style="4"/>
    <col min="38" max="39" width="0" style="4" hidden="1" customWidth="1"/>
    <col min="40" max="16384" width="11.42578125" style="4"/>
  </cols>
  <sheetData>
    <row r="1" spans="1:40" x14ac:dyDescent="0.25">
      <c r="A1" s="1"/>
      <c r="B1" s="1"/>
      <c r="C1" s="2"/>
      <c r="D1" s="2"/>
      <c r="E1" s="5"/>
      <c r="F1" s="3"/>
      <c r="G1" s="3"/>
      <c r="H1" s="1"/>
      <c r="I1" s="1"/>
      <c r="J1" s="1"/>
      <c r="K1" s="3"/>
      <c r="L1" s="3"/>
    </row>
    <row r="2" spans="1:40" x14ac:dyDescent="0.25">
      <c r="A2" s="1"/>
      <c r="B2" s="1"/>
      <c r="C2" s="2"/>
      <c r="D2" s="2"/>
      <c r="E2" s="5"/>
      <c r="F2" s="3"/>
      <c r="G2" s="3"/>
      <c r="H2" s="1"/>
      <c r="I2" s="1"/>
      <c r="J2" s="1"/>
      <c r="K2" s="3"/>
      <c r="L2" s="3"/>
    </row>
    <row r="3" spans="1:40" ht="29.25" x14ac:dyDescent="0.25">
      <c r="A3" s="1"/>
      <c r="B3" s="153" t="s">
        <v>0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</row>
    <row r="4" spans="1:40" ht="24.75" x14ac:dyDescent="0.25">
      <c r="A4" s="1"/>
      <c r="B4" s="152" t="s">
        <v>411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</row>
    <row r="5" spans="1:40" x14ac:dyDescent="0.25">
      <c r="A5" s="1"/>
      <c r="B5" s="1"/>
      <c r="C5" s="2"/>
      <c r="D5" s="2"/>
      <c r="E5" s="5"/>
      <c r="F5" s="3"/>
      <c r="G5" s="3"/>
      <c r="H5" s="1"/>
      <c r="I5" s="1"/>
      <c r="J5" s="1"/>
      <c r="K5" s="154" t="s">
        <v>1</v>
      </c>
      <c r="L5" s="155"/>
    </row>
    <row r="6" spans="1:40" s="147" customFormat="1" ht="45.75" customHeight="1" x14ac:dyDescent="0.25">
      <c r="A6" s="5"/>
      <c r="B6" s="6" t="s">
        <v>2</v>
      </c>
      <c r="C6" s="146" t="s">
        <v>3</v>
      </c>
      <c r="D6" s="146" t="s">
        <v>4</v>
      </c>
      <c r="E6" s="146" t="s">
        <v>5</v>
      </c>
      <c r="F6" s="6" t="s">
        <v>6</v>
      </c>
      <c r="G6" s="6" t="s">
        <v>7</v>
      </c>
      <c r="H6" s="6" t="s">
        <v>8</v>
      </c>
      <c r="I6" s="6" t="s">
        <v>9</v>
      </c>
      <c r="J6" s="6" t="s">
        <v>10</v>
      </c>
      <c r="K6" s="7" t="s">
        <v>11</v>
      </c>
      <c r="L6" s="8" t="s">
        <v>12</v>
      </c>
      <c r="M6" s="6" t="s">
        <v>48</v>
      </c>
      <c r="N6" s="6" t="s">
        <v>25</v>
      </c>
      <c r="O6" s="6" t="s">
        <v>42</v>
      </c>
      <c r="P6" s="6" t="s">
        <v>26</v>
      </c>
      <c r="Q6" s="6" t="s">
        <v>27</v>
      </c>
      <c r="R6" s="6" t="s">
        <v>47</v>
      </c>
      <c r="S6" s="6" t="s">
        <v>43</v>
      </c>
      <c r="T6" s="6" t="s">
        <v>28</v>
      </c>
      <c r="U6" s="6" t="s">
        <v>46</v>
      </c>
      <c r="V6" s="6" t="s">
        <v>44</v>
      </c>
      <c r="W6" s="39" t="s">
        <v>29</v>
      </c>
      <c r="X6" s="6" t="s">
        <v>30</v>
      </c>
      <c r="Y6" s="6" t="s">
        <v>37</v>
      </c>
      <c r="Z6" s="6" t="s">
        <v>45</v>
      </c>
      <c r="AA6" s="6" t="s">
        <v>36</v>
      </c>
      <c r="AB6" s="6" t="s">
        <v>34</v>
      </c>
      <c r="AC6" s="6" t="s">
        <v>35</v>
      </c>
      <c r="AD6" s="6" t="s">
        <v>49</v>
      </c>
      <c r="AE6" s="39" t="s">
        <v>31</v>
      </c>
      <c r="AF6" s="39" t="s">
        <v>32</v>
      </c>
      <c r="AG6" s="39" t="s">
        <v>40</v>
      </c>
      <c r="AH6" s="39" t="s">
        <v>39</v>
      </c>
      <c r="AI6" s="39" t="s">
        <v>38</v>
      </c>
      <c r="AJ6" s="39" t="s">
        <v>41</v>
      </c>
      <c r="AK6" s="39" t="s">
        <v>33</v>
      </c>
      <c r="AL6" s="39" t="s">
        <v>70</v>
      </c>
      <c r="AM6" s="39" t="s">
        <v>88</v>
      </c>
    </row>
    <row r="7" spans="1:40" x14ac:dyDescent="0.25">
      <c r="A7" s="1"/>
      <c r="B7" s="10">
        <v>1</v>
      </c>
      <c r="C7" s="11">
        <v>46235</v>
      </c>
      <c r="D7" s="11"/>
      <c r="E7" s="38"/>
      <c r="F7" s="12" t="s">
        <v>13</v>
      </c>
      <c r="G7" s="13"/>
      <c r="H7" s="25"/>
      <c r="I7" s="14"/>
      <c r="J7" s="15">
        <v>250000</v>
      </c>
      <c r="K7" s="13"/>
      <c r="L7" s="13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</row>
    <row r="8" spans="1:40" ht="31.5" x14ac:dyDescent="0.25">
      <c r="A8" s="1"/>
      <c r="B8" s="10">
        <v>2</v>
      </c>
      <c r="C8" s="11">
        <v>46235</v>
      </c>
      <c r="D8" s="30"/>
      <c r="E8" s="69" t="s">
        <v>134</v>
      </c>
      <c r="F8" s="68" t="s">
        <v>412</v>
      </c>
      <c r="G8" s="17" t="s">
        <v>414</v>
      </c>
      <c r="H8" s="16">
        <v>6235</v>
      </c>
      <c r="I8" s="16"/>
      <c r="J8" s="14">
        <f>J7+H8-I8</f>
        <v>256235</v>
      </c>
      <c r="K8" s="13"/>
      <c r="L8" s="13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</row>
    <row r="9" spans="1:40" ht="31.5" x14ac:dyDescent="0.25">
      <c r="A9" s="1"/>
      <c r="B9" s="10">
        <v>3</v>
      </c>
      <c r="C9" s="11">
        <v>46235</v>
      </c>
      <c r="D9" s="30" t="s">
        <v>467</v>
      </c>
      <c r="E9" s="69" t="s">
        <v>134</v>
      </c>
      <c r="F9" s="68" t="s">
        <v>413</v>
      </c>
      <c r="G9" s="17" t="s">
        <v>415</v>
      </c>
      <c r="H9" s="16"/>
      <c r="I9" s="16">
        <v>300</v>
      </c>
      <c r="J9" s="14">
        <f t="shared" ref="J9:J35" si="0">J8+H9-I9</f>
        <v>255935</v>
      </c>
      <c r="K9" s="13"/>
      <c r="L9" s="13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18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</row>
    <row r="10" spans="1:40" ht="47.25" x14ac:dyDescent="0.25">
      <c r="A10" s="1"/>
      <c r="B10" s="10">
        <v>5</v>
      </c>
      <c r="C10" s="11">
        <v>46235</v>
      </c>
      <c r="D10" s="67"/>
      <c r="E10" s="69" t="s">
        <v>409</v>
      </c>
      <c r="F10" s="68" t="s">
        <v>421</v>
      </c>
      <c r="G10" s="17" t="s">
        <v>416</v>
      </c>
      <c r="H10" s="16">
        <v>2550</v>
      </c>
      <c r="I10" s="16"/>
      <c r="J10" s="14">
        <f>J9+H10-I10</f>
        <v>258485</v>
      </c>
      <c r="K10" s="13"/>
      <c r="L10" s="13"/>
      <c r="M10" s="24"/>
      <c r="N10" s="16"/>
      <c r="O10" s="24"/>
      <c r="P10" s="18"/>
      <c r="Q10" s="24"/>
      <c r="R10" s="24"/>
      <c r="S10" s="24"/>
      <c r="T10" s="24"/>
      <c r="U10" s="24"/>
      <c r="V10" s="24"/>
      <c r="W10" s="24"/>
      <c r="X10" s="18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</row>
    <row r="11" spans="1:40" ht="47.25" x14ac:dyDescent="0.25">
      <c r="A11" s="1"/>
      <c r="B11" s="10">
        <v>6</v>
      </c>
      <c r="C11" s="11">
        <v>46237</v>
      </c>
      <c r="D11" s="148"/>
      <c r="E11" s="69" t="s">
        <v>136</v>
      </c>
      <c r="F11" s="68" t="s">
        <v>422</v>
      </c>
      <c r="G11" s="17" t="s">
        <v>417</v>
      </c>
      <c r="H11" s="16">
        <v>12344</v>
      </c>
      <c r="I11" s="16"/>
      <c r="J11" s="14">
        <f t="shared" si="0"/>
        <v>270829</v>
      </c>
      <c r="K11" s="13"/>
      <c r="L11" s="13"/>
      <c r="M11" s="24"/>
      <c r="N11" s="18"/>
      <c r="O11" s="24"/>
      <c r="P11" s="24"/>
      <c r="Q11" s="18"/>
      <c r="R11" s="18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18"/>
      <c r="AF11" s="24"/>
      <c r="AG11" s="24"/>
      <c r="AH11" s="24"/>
      <c r="AI11" s="24"/>
      <c r="AJ11" s="24"/>
      <c r="AK11" s="24"/>
      <c r="AL11" s="24"/>
      <c r="AM11" s="24"/>
    </row>
    <row r="12" spans="1:40" ht="47.25" x14ac:dyDescent="0.25">
      <c r="A12" s="1"/>
      <c r="B12" s="10">
        <v>7</v>
      </c>
      <c r="C12" s="11">
        <v>46237</v>
      </c>
      <c r="D12" s="67"/>
      <c r="E12" s="69" t="s">
        <v>136</v>
      </c>
      <c r="F12" s="68" t="s">
        <v>423</v>
      </c>
      <c r="G12" s="17" t="s">
        <v>418</v>
      </c>
      <c r="H12" s="16">
        <v>4538</v>
      </c>
      <c r="I12" s="16"/>
      <c r="J12" s="14">
        <f t="shared" si="0"/>
        <v>275367</v>
      </c>
      <c r="K12" s="13"/>
      <c r="L12" s="13"/>
      <c r="M12" s="24"/>
      <c r="N12" s="18"/>
      <c r="O12" s="24"/>
      <c r="P12" s="24"/>
      <c r="Q12" s="24"/>
      <c r="R12" s="18"/>
      <c r="S12" s="24"/>
      <c r="T12" s="24"/>
      <c r="U12" s="24"/>
      <c r="V12" s="24"/>
      <c r="W12" s="24"/>
      <c r="X12" s="24"/>
      <c r="Y12" s="24"/>
      <c r="Z12" s="24"/>
      <c r="AA12" s="18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4">
        <f>SUBTOTAL(9,M12:AM14)</f>
        <v>0</v>
      </c>
    </row>
    <row r="13" spans="1:40" ht="31.5" x14ac:dyDescent="0.25">
      <c r="A13" s="1"/>
      <c r="B13" s="10">
        <v>8</v>
      </c>
      <c r="C13" s="11">
        <v>46237</v>
      </c>
      <c r="D13" s="30"/>
      <c r="E13" s="69" t="s">
        <v>126</v>
      </c>
      <c r="F13" s="68" t="s">
        <v>424</v>
      </c>
      <c r="G13" s="17" t="s">
        <v>419</v>
      </c>
      <c r="H13" s="16">
        <v>4029.5</v>
      </c>
      <c r="I13" s="16"/>
      <c r="J13" s="14">
        <f t="shared" si="0"/>
        <v>279396.5</v>
      </c>
      <c r="K13" s="13"/>
      <c r="L13" s="13"/>
      <c r="M13" s="24"/>
      <c r="N13" s="24"/>
      <c r="O13" s="24"/>
      <c r="P13" s="24"/>
      <c r="Q13" s="24"/>
      <c r="R13" s="24"/>
      <c r="S13" s="24"/>
      <c r="T13" s="24"/>
      <c r="U13" s="24"/>
      <c r="V13" s="18"/>
      <c r="W13" s="24"/>
      <c r="X13" s="24"/>
      <c r="Y13" s="24"/>
      <c r="Z13" s="24"/>
      <c r="AA13" s="24"/>
      <c r="AB13" s="24"/>
      <c r="AC13" s="24"/>
      <c r="AD13" s="24"/>
      <c r="AE13" s="18"/>
      <c r="AF13" s="24"/>
      <c r="AG13" s="24"/>
      <c r="AH13" s="24"/>
      <c r="AI13" s="24"/>
      <c r="AJ13" s="24"/>
      <c r="AK13" s="24"/>
      <c r="AL13" s="24"/>
      <c r="AM13" s="24"/>
    </row>
    <row r="14" spans="1:40" ht="31.5" x14ac:dyDescent="0.25">
      <c r="A14" s="1"/>
      <c r="B14" s="10">
        <v>9</v>
      </c>
      <c r="C14" s="11">
        <v>46237</v>
      </c>
      <c r="D14" s="30" t="s">
        <v>468</v>
      </c>
      <c r="E14" s="69" t="s">
        <v>126</v>
      </c>
      <c r="F14" s="68" t="s">
        <v>425</v>
      </c>
      <c r="G14" s="17" t="s">
        <v>420</v>
      </c>
      <c r="H14" s="16"/>
      <c r="I14" s="16">
        <v>4029.5</v>
      </c>
      <c r="J14" s="14">
        <f t="shared" si="0"/>
        <v>275367</v>
      </c>
      <c r="K14" s="13"/>
      <c r="L14" s="13"/>
      <c r="M14" s="24"/>
      <c r="N14" s="24"/>
      <c r="O14" s="24"/>
      <c r="P14" s="24"/>
      <c r="Q14" s="24"/>
      <c r="R14" s="18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18"/>
      <c r="AD14" s="24"/>
      <c r="AE14" s="24"/>
      <c r="AF14" s="24"/>
      <c r="AG14" s="24"/>
      <c r="AH14" s="24"/>
      <c r="AI14" s="24"/>
      <c r="AJ14" s="24"/>
      <c r="AK14" s="24"/>
      <c r="AL14" s="24"/>
      <c r="AM14" s="24"/>
    </row>
    <row r="15" spans="1:40" ht="31.5" x14ac:dyDescent="0.25">
      <c r="A15" s="1"/>
      <c r="B15" s="10">
        <v>10</v>
      </c>
      <c r="C15" s="11">
        <v>46238</v>
      </c>
      <c r="D15" s="30"/>
      <c r="E15" s="69" t="s">
        <v>128</v>
      </c>
      <c r="F15" s="68" t="s">
        <v>412</v>
      </c>
      <c r="G15" s="17" t="s">
        <v>426</v>
      </c>
      <c r="H15" s="16">
        <v>1494</v>
      </c>
      <c r="I15" s="16"/>
      <c r="J15" s="14">
        <f t="shared" si="0"/>
        <v>276861</v>
      </c>
      <c r="K15" s="13"/>
      <c r="L15" s="13"/>
      <c r="M15" s="24"/>
      <c r="N15" s="24"/>
      <c r="O15" s="24"/>
      <c r="P15" s="24"/>
      <c r="Q15" s="18"/>
      <c r="R15" s="24"/>
      <c r="S15" s="24"/>
      <c r="T15" s="24"/>
      <c r="U15" s="24"/>
      <c r="V15" s="24"/>
      <c r="W15" s="24"/>
      <c r="X15" s="18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4">
        <f>SUBTOTAL(9,M15:AM15)</f>
        <v>0</v>
      </c>
    </row>
    <row r="16" spans="1:40" ht="30.75" customHeight="1" x14ac:dyDescent="0.25">
      <c r="A16" s="1"/>
      <c r="B16" s="10">
        <v>11</v>
      </c>
      <c r="C16" s="11">
        <v>46238</v>
      </c>
      <c r="D16" s="30"/>
      <c r="E16" s="69" t="s">
        <v>128</v>
      </c>
      <c r="F16" s="68" t="s">
        <v>428</v>
      </c>
      <c r="G16" s="17" t="s">
        <v>427</v>
      </c>
      <c r="H16" s="16">
        <v>3096</v>
      </c>
      <c r="I16" s="16"/>
      <c r="J16" s="14">
        <f t="shared" si="0"/>
        <v>279957</v>
      </c>
      <c r="K16" s="13"/>
      <c r="L16" s="13"/>
      <c r="M16" s="84"/>
      <c r="N16" s="24"/>
      <c r="O16" s="24"/>
      <c r="P16" s="18"/>
      <c r="Q16" s="24"/>
      <c r="R16" s="24"/>
      <c r="S16" s="24"/>
      <c r="T16" s="24"/>
      <c r="U16" s="24"/>
      <c r="V16" s="24"/>
      <c r="W16" s="24"/>
      <c r="X16" s="18"/>
      <c r="Y16" s="24"/>
      <c r="Z16" s="24"/>
      <c r="AA16" s="24"/>
      <c r="AB16" s="24"/>
      <c r="AC16" s="24"/>
      <c r="AD16" s="24"/>
      <c r="AE16" s="18"/>
      <c r="AF16" s="24"/>
      <c r="AG16" s="24"/>
      <c r="AH16" s="24"/>
      <c r="AI16" s="24"/>
      <c r="AJ16" s="24"/>
      <c r="AK16" s="24"/>
      <c r="AL16" s="24"/>
      <c r="AM16" s="24"/>
      <c r="AN16" s="4">
        <f>SUBTOTAL(9,M16:AM16)</f>
        <v>0</v>
      </c>
    </row>
    <row r="17" spans="1:40" ht="31.5" x14ac:dyDescent="0.25">
      <c r="A17" s="1"/>
      <c r="B17" s="10">
        <v>12</v>
      </c>
      <c r="C17" s="11">
        <v>46239</v>
      </c>
      <c r="D17" s="30"/>
      <c r="E17" s="69" t="s">
        <v>134</v>
      </c>
      <c r="F17" s="68" t="s">
        <v>430</v>
      </c>
      <c r="G17" s="17" t="s">
        <v>429</v>
      </c>
      <c r="H17" s="16">
        <v>3914</v>
      </c>
      <c r="I17" s="16"/>
      <c r="J17" s="14">
        <f t="shared" si="0"/>
        <v>283871</v>
      </c>
      <c r="K17" s="13"/>
      <c r="L17" s="13"/>
      <c r="M17" s="18"/>
      <c r="N17" s="24"/>
      <c r="O17" s="24"/>
      <c r="P17" s="18"/>
      <c r="Q17" s="24"/>
      <c r="R17" s="24"/>
      <c r="S17" s="24"/>
      <c r="T17" s="24"/>
      <c r="U17" s="24"/>
      <c r="V17" s="24"/>
      <c r="W17" s="24"/>
      <c r="X17" s="24"/>
      <c r="Y17" s="18"/>
      <c r="Z17" s="24"/>
      <c r="AA17" s="24"/>
      <c r="AB17" s="24"/>
      <c r="AC17" s="24"/>
      <c r="AD17" s="24"/>
      <c r="AE17" s="18"/>
      <c r="AF17" s="24"/>
      <c r="AG17" s="24"/>
      <c r="AH17" s="24"/>
      <c r="AI17" s="24"/>
      <c r="AJ17" s="24"/>
      <c r="AK17" s="24"/>
      <c r="AL17" s="24"/>
      <c r="AM17" s="24"/>
    </row>
    <row r="18" spans="1:40" ht="31.5" x14ac:dyDescent="0.25">
      <c r="A18" s="1"/>
      <c r="B18" s="10">
        <v>13</v>
      </c>
      <c r="C18" s="11">
        <v>46239</v>
      </c>
      <c r="D18" s="30" t="s">
        <v>469</v>
      </c>
      <c r="E18" s="69" t="s">
        <v>134</v>
      </c>
      <c r="F18" s="68" t="s">
        <v>432</v>
      </c>
      <c r="G18" s="17" t="s">
        <v>431</v>
      </c>
      <c r="H18" s="16"/>
      <c r="I18" s="16">
        <v>285.7</v>
      </c>
      <c r="J18" s="14">
        <f t="shared" si="0"/>
        <v>283585.3</v>
      </c>
      <c r="K18" s="13"/>
      <c r="L18" s="13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18"/>
      <c r="AF18" s="24"/>
      <c r="AG18" s="24"/>
      <c r="AH18" s="24"/>
      <c r="AI18" s="24"/>
      <c r="AJ18" s="24"/>
      <c r="AK18" s="24"/>
      <c r="AL18" s="24"/>
      <c r="AM18" s="18"/>
      <c r="AN18" s="4">
        <f>SUBTOTAL(9,M18:AM18)</f>
        <v>0</v>
      </c>
    </row>
    <row r="19" spans="1:40" ht="47.25" x14ac:dyDescent="0.25">
      <c r="A19" s="1"/>
      <c r="B19" s="10">
        <v>14</v>
      </c>
      <c r="C19" s="11">
        <v>46239</v>
      </c>
      <c r="D19" s="30" t="s">
        <v>470</v>
      </c>
      <c r="E19" s="69" t="s">
        <v>408</v>
      </c>
      <c r="F19" s="68" t="s">
        <v>434</v>
      </c>
      <c r="G19" s="17" t="s">
        <v>433</v>
      </c>
      <c r="H19" s="16"/>
      <c r="I19" s="16">
        <v>247230</v>
      </c>
      <c r="J19" s="14">
        <f t="shared" si="0"/>
        <v>36355.299999999988</v>
      </c>
      <c r="K19" s="13"/>
      <c r="L19" s="13"/>
      <c r="M19" s="24"/>
      <c r="N19" s="24"/>
      <c r="O19" s="24"/>
      <c r="P19" s="18"/>
      <c r="Q19" s="18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4">
        <f>SUBTOTAL(9,M19:AM19)</f>
        <v>0</v>
      </c>
    </row>
    <row r="20" spans="1:40" ht="31.5" x14ac:dyDescent="0.25">
      <c r="A20" s="1"/>
      <c r="B20" s="10">
        <v>15</v>
      </c>
      <c r="C20" s="11">
        <v>46242</v>
      </c>
      <c r="D20" s="30"/>
      <c r="E20" s="69" t="s">
        <v>134</v>
      </c>
      <c r="F20" s="68" t="s">
        <v>436</v>
      </c>
      <c r="G20" s="17" t="s">
        <v>435</v>
      </c>
      <c r="H20" s="16">
        <v>2536</v>
      </c>
      <c r="I20" s="16"/>
      <c r="J20" s="14">
        <f t="shared" si="0"/>
        <v>38891.299999999988</v>
      </c>
      <c r="K20" s="13"/>
      <c r="L20" s="13"/>
      <c r="M20" s="24"/>
      <c r="N20" s="18"/>
      <c r="O20" s="24"/>
      <c r="P20" s="24"/>
      <c r="Q20" s="24"/>
      <c r="R20" s="18"/>
      <c r="S20" s="24"/>
      <c r="T20" s="24"/>
      <c r="U20" s="24"/>
      <c r="V20" s="24"/>
      <c r="W20" s="24"/>
      <c r="X20" s="24"/>
      <c r="Y20" s="18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18"/>
      <c r="AL20" s="24"/>
      <c r="AM20" s="24"/>
    </row>
    <row r="21" spans="1:40" ht="31.5" x14ac:dyDescent="0.25">
      <c r="A21" s="1"/>
      <c r="B21" s="10">
        <v>16</v>
      </c>
      <c r="C21" s="11">
        <v>46242</v>
      </c>
      <c r="D21" s="67"/>
      <c r="E21" s="69" t="s">
        <v>134</v>
      </c>
      <c r="F21" s="68" t="s">
        <v>438</v>
      </c>
      <c r="G21" s="17" t="s">
        <v>437</v>
      </c>
      <c r="H21" s="16">
        <v>7666</v>
      </c>
      <c r="I21" s="16"/>
      <c r="J21" s="14">
        <f t="shared" si="0"/>
        <v>46557.299999999988</v>
      </c>
      <c r="K21" s="13"/>
      <c r="L21" s="13"/>
      <c r="M21" s="18"/>
      <c r="N21" s="24"/>
      <c r="O21" s="24"/>
      <c r="P21" s="24"/>
      <c r="Q21" s="18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18"/>
      <c r="AE21" s="18"/>
      <c r="AF21" s="24"/>
      <c r="AG21" s="24"/>
      <c r="AH21" s="24"/>
      <c r="AI21" s="24"/>
      <c r="AJ21" s="24"/>
      <c r="AK21" s="24"/>
      <c r="AL21" s="24"/>
      <c r="AM21" s="24"/>
      <c r="AN21" s="4">
        <f>SUBTOTAL(9,M21:AM21)</f>
        <v>0</v>
      </c>
    </row>
    <row r="22" spans="1:40" ht="45" customHeight="1" x14ac:dyDescent="0.25">
      <c r="A22" s="1"/>
      <c r="B22" s="10">
        <v>17</v>
      </c>
      <c r="C22" s="11">
        <v>46242</v>
      </c>
      <c r="D22" s="30"/>
      <c r="E22" s="69" t="s">
        <v>134</v>
      </c>
      <c r="F22" s="68" t="s">
        <v>440</v>
      </c>
      <c r="G22" s="17" t="s">
        <v>439</v>
      </c>
      <c r="H22" s="16">
        <v>840</v>
      </c>
      <c r="I22" s="16"/>
      <c r="J22" s="14">
        <f t="shared" si="0"/>
        <v>47397.299999999988</v>
      </c>
      <c r="K22" s="13"/>
      <c r="L22" s="13"/>
      <c r="M22" s="24"/>
      <c r="N22" s="18"/>
      <c r="O22" s="24"/>
      <c r="P22" s="18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4">
        <f>SUBTOTAL(9,M22:AM22)</f>
        <v>0</v>
      </c>
    </row>
    <row r="23" spans="1:40" ht="31.5" x14ac:dyDescent="0.25">
      <c r="A23" s="1"/>
      <c r="B23" s="10">
        <v>18</v>
      </c>
      <c r="C23" s="11">
        <v>46242</v>
      </c>
      <c r="D23" s="30"/>
      <c r="E23" s="68" t="s">
        <v>128</v>
      </c>
      <c r="F23" s="68" t="s">
        <v>442</v>
      </c>
      <c r="G23" s="17" t="s">
        <v>441</v>
      </c>
      <c r="H23" s="16">
        <v>6434</v>
      </c>
      <c r="I23" s="16"/>
      <c r="J23" s="14">
        <f t="shared" si="0"/>
        <v>53831.299999999988</v>
      </c>
      <c r="K23" s="13"/>
      <c r="L23" s="13"/>
      <c r="M23" s="24"/>
      <c r="N23" s="24"/>
      <c r="O23" s="24"/>
      <c r="P23" s="18"/>
      <c r="Q23" s="24"/>
      <c r="R23" s="24"/>
      <c r="S23" s="18"/>
      <c r="T23" s="24"/>
      <c r="U23" s="24"/>
      <c r="V23" s="24"/>
      <c r="W23" s="24"/>
      <c r="X23" s="24"/>
      <c r="Y23" s="18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</row>
    <row r="24" spans="1:40" ht="47.25" customHeight="1" x14ac:dyDescent="0.25">
      <c r="A24" s="1"/>
      <c r="B24" s="10">
        <v>19</v>
      </c>
      <c r="C24" s="11">
        <v>46242</v>
      </c>
      <c r="D24" s="67"/>
      <c r="E24" s="69" t="s">
        <v>73</v>
      </c>
      <c r="F24" s="68" t="s">
        <v>444</v>
      </c>
      <c r="G24" s="17" t="s">
        <v>443</v>
      </c>
      <c r="H24" s="16">
        <v>5430</v>
      </c>
      <c r="I24" s="16"/>
      <c r="J24" s="14">
        <f t="shared" si="0"/>
        <v>59261.299999999988</v>
      </c>
      <c r="K24" s="13"/>
      <c r="L24" s="13"/>
      <c r="M24" s="24"/>
      <c r="N24" s="24"/>
      <c r="O24" s="24"/>
      <c r="P24" s="18"/>
      <c r="Q24" s="24"/>
      <c r="R24" s="24"/>
      <c r="S24" s="24"/>
      <c r="T24" s="24"/>
      <c r="U24" s="24"/>
      <c r="V24" s="24"/>
      <c r="W24" s="24"/>
      <c r="X24" s="24"/>
      <c r="Y24" s="18"/>
      <c r="Z24" s="24"/>
      <c r="AA24" s="24"/>
      <c r="AB24" s="24"/>
      <c r="AC24" s="24"/>
      <c r="AD24" s="24"/>
      <c r="AE24" s="24"/>
      <c r="AF24" s="24"/>
      <c r="AG24" s="18"/>
      <c r="AH24" s="24"/>
      <c r="AI24" s="24"/>
      <c r="AJ24" s="24"/>
      <c r="AK24" s="24"/>
      <c r="AL24" s="24"/>
      <c r="AM24" s="24"/>
    </row>
    <row r="25" spans="1:40" ht="31.5" x14ac:dyDescent="0.25">
      <c r="A25" s="1"/>
      <c r="B25" s="10">
        <v>20</v>
      </c>
      <c r="C25" s="11">
        <v>46244</v>
      </c>
      <c r="D25" s="30"/>
      <c r="E25" s="68" t="s">
        <v>128</v>
      </c>
      <c r="F25" s="68" t="s">
        <v>446</v>
      </c>
      <c r="G25" s="17" t="s">
        <v>445</v>
      </c>
      <c r="H25" s="16">
        <v>2068</v>
      </c>
      <c r="I25" s="16"/>
      <c r="J25" s="14">
        <f>J24+H25-I25</f>
        <v>61329.299999999988</v>
      </c>
      <c r="K25" s="13"/>
      <c r="L25" s="13"/>
      <c r="M25" s="24"/>
      <c r="N25" s="24"/>
      <c r="O25" s="24"/>
      <c r="P25" s="18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</row>
    <row r="26" spans="1:40" ht="31.5" x14ac:dyDescent="0.25">
      <c r="A26" s="1"/>
      <c r="B26" s="10">
        <v>21</v>
      </c>
      <c r="C26" s="11">
        <v>46244</v>
      </c>
      <c r="D26" s="30" t="s">
        <v>471</v>
      </c>
      <c r="E26" s="68" t="s">
        <v>128</v>
      </c>
      <c r="F26" s="68" t="s">
        <v>448</v>
      </c>
      <c r="G26" s="17" t="s">
        <v>447</v>
      </c>
      <c r="H26" s="16"/>
      <c r="I26" s="16">
        <v>30</v>
      </c>
      <c r="J26" s="14">
        <f>J25+H26-I26</f>
        <v>61299.299999999988</v>
      </c>
      <c r="K26" s="13"/>
      <c r="L26" s="13"/>
      <c r="M26" s="24"/>
      <c r="N26" s="24"/>
      <c r="O26" s="24"/>
      <c r="P26" s="18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4">
        <f t="shared" ref="AN26:AN35" si="1">SUBTOTAL(9,M26:AM26)</f>
        <v>0</v>
      </c>
    </row>
    <row r="27" spans="1:40" ht="31.5" x14ac:dyDescent="0.25">
      <c r="A27" s="1"/>
      <c r="B27" s="10">
        <v>22</v>
      </c>
      <c r="C27" s="11">
        <v>46244</v>
      </c>
      <c r="D27" s="30"/>
      <c r="E27" s="68" t="s">
        <v>134</v>
      </c>
      <c r="F27" s="68" t="s">
        <v>450</v>
      </c>
      <c r="G27" s="17" t="s">
        <v>449</v>
      </c>
      <c r="H27" s="16">
        <v>392</v>
      </c>
      <c r="I27" s="16"/>
      <c r="J27" s="14">
        <f>J26+H27-I27</f>
        <v>61691.299999999988</v>
      </c>
      <c r="K27" s="13"/>
      <c r="L27" s="13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18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4">
        <f t="shared" si="1"/>
        <v>0</v>
      </c>
    </row>
    <row r="28" spans="1:40" ht="31.5" x14ac:dyDescent="0.25">
      <c r="A28" s="1"/>
      <c r="B28" s="10">
        <v>23</v>
      </c>
      <c r="C28" s="11">
        <v>46244</v>
      </c>
      <c r="D28" s="30"/>
      <c r="E28" s="69" t="s">
        <v>16</v>
      </c>
      <c r="F28" s="68" t="s">
        <v>452</v>
      </c>
      <c r="G28" s="17" t="s">
        <v>451</v>
      </c>
      <c r="H28" s="16">
        <v>255</v>
      </c>
      <c r="I28" s="16"/>
      <c r="J28" s="14">
        <f>J27+H28-I28</f>
        <v>61946.299999999988</v>
      </c>
      <c r="K28" s="13"/>
      <c r="L28" s="13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18"/>
      <c r="Y28" s="24"/>
      <c r="Z28" s="24"/>
      <c r="AA28" s="24"/>
      <c r="AB28" s="24"/>
      <c r="AC28" s="18"/>
      <c r="AD28" s="24"/>
      <c r="AE28" s="18"/>
      <c r="AF28" s="24"/>
      <c r="AG28" s="24"/>
      <c r="AH28" s="24"/>
      <c r="AI28" s="24"/>
      <c r="AJ28" s="24"/>
      <c r="AK28" s="24"/>
      <c r="AL28" s="24"/>
      <c r="AM28" s="24"/>
    </row>
    <row r="29" spans="1:40" ht="63" x14ac:dyDescent="0.25">
      <c r="A29" s="1"/>
      <c r="B29" s="10">
        <v>24</v>
      </c>
      <c r="C29" s="11">
        <v>46244</v>
      </c>
      <c r="D29" s="30" t="s">
        <v>472</v>
      </c>
      <c r="E29" s="68" t="s">
        <v>410</v>
      </c>
      <c r="F29" s="68" t="s">
        <v>454</v>
      </c>
      <c r="G29" s="17" t="s">
        <v>453</v>
      </c>
      <c r="H29" s="16"/>
      <c r="I29" s="16">
        <v>7000</v>
      </c>
      <c r="J29" s="14">
        <f t="shared" si="0"/>
        <v>54946.299999999988</v>
      </c>
      <c r="K29" s="13"/>
      <c r="L29" s="13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18"/>
      <c r="AF29" s="24"/>
      <c r="AG29" s="24"/>
      <c r="AH29" s="24"/>
      <c r="AI29" s="24"/>
      <c r="AJ29" s="24"/>
      <c r="AK29" s="24"/>
      <c r="AL29" s="24"/>
      <c r="AM29" s="24"/>
      <c r="AN29" s="4">
        <f t="shared" si="1"/>
        <v>0</v>
      </c>
    </row>
    <row r="30" spans="1:40" ht="51.75" customHeight="1" x14ac:dyDescent="0.25">
      <c r="A30" s="1"/>
      <c r="B30" s="10">
        <v>25</v>
      </c>
      <c r="C30" s="11">
        <v>46244</v>
      </c>
      <c r="D30" s="30"/>
      <c r="E30" s="68" t="s">
        <v>410</v>
      </c>
      <c r="F30" s="68" t="s">
        <v>456</v>
      </c>
      <c r="G30" s="17" t="s">
        <v>455</v>
      </c>
      <c r="H30" s="16">
        <v>93000</v>
      </c>
      <c r="I30" s="16"/>
      <c r="J30" s="14">
        <f t="shared" si="0"/>
        <v>147946.29999999999</v>
      </c>
      <c r="K30" s="13"/>
      <c r="L30" s="13"/>
      <c r="M30" s="18"/>
      <c r="N30" s="24"/>
      <c r="O30" s="24"/>
      <c r="P30" s="24"/>
      <c r="Q30" s="18"/>
      <c r="R30" s="24"/>
      <c r="S30" s="18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4">
        <f t="shared" si="1"/>
        <v>0</v>
      </c>
    </row>
    <row r="31" spans="1:40" ht="31.5" x14ac:dyDescent="0.25">
      <c r="B31" s="10">
        <v>26</v>
      </c>
      <c r="C31" s="11">
        <v>46245</v>
      </c>
      <c r="D31" s="30"/>
      <c r="E31" s="69" t="s">
        <v>136</v>
      </c>
      <c r="F31" s="68" t="s">
        <v>458</v>
      </c>
      <c r="G31" s="17" t="s">
        <v>457</v>
      </c>
      <c r="H31" s="18">
        <v>7723</v>
      </c>
      <c r="I31" s="18"/>
      <c r="J31" s="14">
        <f t="shared" si="0"/>
        <v>155669.29999999999</v>
      </c>
      <c r="K31" s="17"/>
      <c r="L31" s="17"/>
      <c r="M31" s="18"/>
      <c r="N31" s="18"/>
      <c r="O31" s="24"/>
      <c r="P31" s="24"/>
      <c r="Q31" s="24"/>
      <c r="R31" s="24"/>
      <c r="S31" s="18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</row>
    <row r="32" spans="1:40" ht="63" x14ac:dyDescent="0.25">
      <c r="A32" s="1"/>
      <c r="B32" s="10">
        <v>27</v>
      </c>
      <c r="C32" s="11">
        <v>46245</v>
      </c>
      <c r="D32" s="30" t="s">
        <v>473</v>
      </c>
      <c r="E32" s="69" t="s">
        <v>136</v>
      </c>
      <c r="F32" s="68" t="s">
        <v>460</v>
      </c>
      <c r="G32" s="17" t="s">
        <v>459</v>
      </c>
      <c r="H32" s="16"/>
      <c r="I32" s="16">
        <v>7723</v>
      </c>
      <c r="J32" s="14">
        <f t="shared" si="0"/>
        <v>147946.29999999999</v>
      </c>
      <c r="K32" s="13"/>
      <c r="L32" s="13"/>
      <c r="M32" s="18"/>
      <c r="N32" s="24"/>
      <c r="O32" s="24"/>
      <c r="P32" s="24"/>
      <c r="Q32" s="24"/>
      <c r="R32" s="18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18"/>
      <c r="AF32" s="24"/>
      <c r="AG32" s="24"/>
      <c r="AH32" s="24"/>
      <c r="AI32" s="24"/>
      <c r="AJ32" s="24"/>
      <c r="AK32" s="24"/>
      <c r="AL32" s="24"/>
      <c r="AM32" s="24"/>
    </row>
    <row r="33" spans="1:40" ht="31.5" x14ac:dyDescent="0.25">
      <c r="A33" s="1"/>
      <c r="B33" s="10">
        <v>28</v>
      </c>
      <c r="C33" s="11">
        <v>46245</v>
      </c>
      <c r="D33" s="30"/>
      <c r="E33" s="69" t="s">
        <v>136</v>
      </c>
      <c r="F33" s="68" t="s">
        <v>462</v>
      </c>
      <c r="G33" s="17" t="s">
        <v>461</v>
      </c>
      <c r="H33" s="16">
        <v>4411</v>
      </c>
      <c r="I33" s="16"/>
      <c r="J33" s="14">
        <f t="shared" si="0"/>
        <v>152357.29999999999</v>
      </c>
      <c r="K33" s="13"/>
      <c r="L33" s="13"/>
      <c r="M33" s="18"/>
      <c r="N33" s="24"/>
      <c r="O33" s="24"/>
      <c r="P33" s="24"/>
      <c r="Q33" s="24"/>
      <c r="R33" s="18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18"/>
      <c r="AF33" s="24"/>
      <c r="AG33" s="24"/>
      <c r="AH33" s="24"/>
      <c r="AI33" s="24"/>
      <c r="AJ33" s="24"/>
      <c r="AK33" s="24"/>
      <c r="AL33" s="24"/>
      <c r="AM33" s="24"/>
    </row>
    <row r="34" spans="1:40" ht="47.25" x14ac:dyDescent="0.25">
      <c r="A34" s="1"/>
      <c r="B34" s="10">
        <v>29</v>
      </c>
      <c r="C34" s="11">
        <v>46245</v>
      </c>
      <c r="D34" s="67"/>
      <c r="E34" s="69" t="s">
        <v>136</v>
      </c>
      <c r="F34" s="68" t="s">
        <v>464</v>
      </c>
      <c r="G34" s="17" t="s">
        <v>463</v>
      </c>
      <c r="H34" s="16">
        <v>25990</v>
      </c>
      <c r="I34" s="16"/>
      <c r="J34" s="14">
        <f t="shared" si="0"/>
        <v>178347.3</v>
      </c>
      <c r="K34" s="13"/>
      <c r="L34" s="13"/>
      <c r="M34" s="24"/>
      <c r="N34" s="24"/>
      <c r="O34" s="24"/>
      <c r="P34" s="18"/>
      <c r="Q34" s="24"/>
      <c r="R34" s="18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18"/>
      <c r="AF34" s="24"/>
      <c r="AG34" s="24"/>
      <c r="AH34" s="24"/>
      <c r="AI34" s="24"/>
      <c r="AJ34" s="24"/>
      <c r="AK34" s="24"/>
      <c r="AL34" s="24"/>
      <c r="AM34" s="24"/>
    </row>
    <row r="35" spans="1:40" ht="68.25" customHeight="1" x14ac:dyDescent="0.25">
      <c r="A35" s="1"/>
      <c r="B35" s="10">
        <v>30</v>
      </c>
      <c r="C35" s="11">
        <v>46245</v>
      </c>
      <c r="D35" s="30"/>
      <c r="E35" s="68" t="s">
        <v>134</v>
      </c>
      <c r="F35" s="68" t="s">
        <v>466</v>
      </c>
      <c r="G35" s="17" t="s">
        <v>465</v>
      </c>
      <c r="H35" s="16">
        <v>1390</v>
      </c>
      <c r="I35" s="16"/>
      <c r="J35" s="14">
        <f t="shared" si="0"/>
        <v>179737.3</v>
      </c>
      <c r="K35" s="13"/>
      <c r="L35" s="13"/>
      <c r="M35" s="24"/>
      <c r="N35" s="24"/>
      <c r="O35" s="24"/>
      <c r="P35" s="18"/>
      <c r="Q35" s="24"/>
      <c r="R35" s="24"/>
      <c r="S35" s="24"/>
      <c r="T35" s="24"/>
      <c r="U35" s="24"/>
      <c r="V35" s="24"/>
      <c r="W35" s="24"/>
      <c r="X35" s="24"/>
      <c r="Y35" s="18"/>
      <c r="Z35" s="24"/>
      <c r="AA35" s="24"/>
      <c r="AB35" s="24"/>
      <c r="AC35" s="24"/>
      <c r="AD35" s="24"/>
      <c r="AE35" s="18"/>
      <c r="AF35" s="18"/>
      <c r="AG35" s="24"/>
      <c r="AH35" s="24"/>
      <c r="AI35" s="24"/>
      <c r="AJ35" s="24"/>
      <c r="AK35" s="24"/>
      <c r="AL35" s="24"/>
      <c r="AM35" s="24"/>
      <c r="AN35" s="4">
        <f t="shared" si="1"/>
        <v>0</v>
      </c>
    </row>
    <row r="36" spans="1:40" ht="19.5" customHeight="1" x14ac:dyDescent="0.25">
      <c r="A36" s="1"/>
      <c r="B36" s="149" t="s">
        <v>14</v>
      </c>
      <c r="C36" s="150"/>
      <c r="D36" s="150"/>
      <c r="E36" s="150"/>
      <c r="F36" s="150"/>
      <c r="G36" s="151"/>
      <c r="H36" s="16">
        <f>SUM(H7:H35)+J7</f>
        <v>446335.5</v>
      </c>
      <c r="I36" s="14">
        <f>SUM(I7:I35)+K7</f>
        <v>266598.2</v>
      </c>
      <c r="J36" s="20">
        <f>+H36-I36</f>
        <v>179737.3</v>
      </c>
      <c r="K36" s="40">
        <f>SUM(K7:K35)</f>
        <v>0</v>
      </c>
      <c r="L36" s="40">
        <f>SUM(L7:L35)</f>
        <v>0</v>
      </c>
      <c r="M36" s="40">
        <f>SUM(M7:M35)</f>
        <v>0</v>
      </c>
      <c r="N36" s="40">
        <f>SUM(N7:N35)</f>
        <v>0</v>
      </c>
      <c r="O36" s="40">
        <f>SUM(O7:O35)</f>
        <v>0</v>
      </c>
      <c r="P36" s="40">
        <f>SUM(P7:P35)</f>
        <v>0</v>
      </c>
      <c r="Q36" s="40">
        <f>SUM(Q7:Q35)</f>
        <v>0</v>
      </c>
      <c r="R36" s="40">
        <f>SUM(R7:R35)</f>
        <v>0</v>
      </c>
      <c r="S36" s="40">
        <f>SUM(S7:S35)</f>
        <v>0</v>
      </c>
      <c r="T36" s="40">
        <f>SUM(T7:T35)</f>
        <v>0</v>
      </c>
      <c r="U36" s="40">
        <f>SUM(U7:U35)</f>
        <v>0</v>
      </c>
      <c r="V36" s="40">
        <f>SUM(V7:V35)</f>
        <v>0</v>
      </c>
      <c r="W36" s="40">
        <f>SUM(W7:W35)</f>
        <v>0</v>
      </c>
      <c r="X36" s="40">
        <f>SUM(X7:X35)</f>
        <v>0</v>
      </c>
      <c r="Y36" s="40">
        <f>SUM(Y7:Y35)</f>
        <v>0</v>
      </c>
      <c r="Z36" s="40">
        <f>SUM(Z7:Z35)</f>
        <v>0</v>
      </c>
      <c r="AA36" s="40">
        <f>SUM(AA7:AA35)</f>
        <v>0</v>
      </c>
      <c r="AB36" s="40">
        <f>SUM(AB7:AB35)</f>
        <v>0</v>
      </c>
      <c r="AC36" s="40">
        <f>SUM(AC7:AC35)</f>
        <v>0</v>
      </c>
      <c r="AD36" s="40">
        <f>SUM(AD7:AD35)</f>
        <v>0</v>
      </c>
      <c r="AE36" s="40">
        <f>SUM(AE7:AE35)</f>
        <v>0</v>
      </c>
      <c r="AF36" s="40">
        <f>SUM(AF7:AF35)</f>
        <v>0</v>
      </c>
      <c r="AG36" s="40">
        <f>SUM(AG7:AG35)</f>
        <v>0</v>
      </c>
      <c r="AH36" s="40">
        <f>SUM(AH7:AH35)</f>
        <v>0</v>
      </c>
      <c r="AI36" s="40">
        <f>SUM(AI7:AI35)</f>
        <v>0</v>
      </c>
      <c r="AJ36" s="40">
        <f>SUM(AJ7:AJ35)</f>
        <v>0</v>
      </c>
      <c r="AK36" s="40">
        <f>SUM(AK7:AK35)</f>
        <v>0</v>
      </c>
      <c r="AL36" s="40">
        <f>SUM(AL7:AL35)</f>
        <v>0</v>
      </c>
      <c r="AM36" s="40">
        <f>SUM(AM7:AM35)</f>
        <v>0</v>
      </c>
    </row>
    <row r="37" spans="1:40" x14ac:dyDescent="0.25">
      <c r="A37" s="1"/>
      <c r="B37" s="169" t="s">
        <v>15</v>
      </c>
      <c r="C37" s="170"/>
      <c r="D37" s="170"/>
      <c r="E37" s="170"/>
      <c r="F37" s="170"/>
      <c r="G37" s="171"/>
      <c r="H37" s="127"/>
      <c r="I37" s="127"/>
      <c r="J37" s="20">
        <f>+J36</f>
        <v>179737.3</v>
      </c>
      <c r="K37" s="3"/>
      <c r="L37" s="3"/>
    </row>
    <row r="38" spans="1:40" ht="19.5" customHeight="1" x14ac:dyDescent="0.25">
      <c r="H38" s="21"/>
      <c r="I38" s="21"/>
    </row>
    <row r="39" spans="1:40" x14ac:dyDescent="0.25">
      <c r="J39" s="21"/>
      <c r="K39" s="66"/>
    </row>
    <row r="40" spans="1:40" x14ac:dyDescent="0.25">
      <c r="G40" s="63"/>
      <c r="J40" s="21"/>
    </row>
    <row r="41" spans="1:40" x14ac:dyDescent="0.25">
      <c r="G41" s="63"/>
    </row>
    <row r="42" spans="1:40" x14ac:dyDescent="0.25">
      <c r="G42" s="63"/>
      <c r="L42" s="66"/>
    </row>
    <row r="43" spans="1:40" x14ac:dyDescent="0.25">
      <c r="G43" s="63"/>
      <c r="I43" s="31"/>
      <c r="J43" s="21"/>
    </row>
    <row r="46" spans="1:40" x14ac:dyDescent="0.25">
      <c r="G46" s="64"/>
      <c r="I46" s="65"/>
      <c r="J46" s="21"/>
    </row>
    <row r="48" spans="1:40" x14ac:dyDescent="0.25">
      <c r="G48" s="66"/>
    </row>
    <row r="51" spans="7:9" x14ac:dyDescent="0.25">
      <c r="I51" s="65"/>
    </row>
    <row r="52" spans="7:9" x14ac:dyDescent="0.25">
      <c r="G52" s="66"/>
    </row>
    <row r="54" spans="7:9" x14ac:dyDescent="0.25">
      <c r="G54" s="66"/>
    </row>
    <row r="57" spans="7:9" x14ac:dyDescent="0.25">
      <c r="I57" s="65"/>
    </row>
    <row r="58" spans="7:9" x14ac:dyDescent="0.25">
      <c r="G58" s="66"/>
    </row>
  </sheetData>
  <autoFilter ref="A6:AJ40" xr:uid="{00000000-0009-0000-0000-00000B000000}"/>
  <mergeCells count="5">
    <mergeCell ref="B3:L3"/>
    <mergeCell ref="B4:L4"/>
    <mergeCell ref="K5:L5"/>
    <mergeCell ref="B36:G36"/>
    <mergeCell ref="B37:G37"/>
  </mergeCells>
  <pageMargins left="0.19685039370078741" right="0" top="0.19685039370078741" bottom="0.15748031496062992" header="0.31496062992125984" footer="0.31496062992125984"/>
  <pageSetup paperSize="5" scale="6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4"/>
  <dimension ref="A2:R53"/>
  <sheetViews>
    <sheetView topLeftCell="B2" zoomScale="90" zoomScaleNormal="90" workbookViewId="0">
      <pane xSplit="1" ySplit="2" topLeftCell="C4" activePane="bottomRight" state="frozen"/>
      <selection activeCell="J8" sqref="J8"/>
      <selection pane="topRight" activeCell="J8" sqref="J8"/>
      <selection pane="bottomLeft" activeCell="J8" sqref="J8"/>
      <selection pane="bottomRight" activeCell="B23" sqref="B23:B35"/>
    </sheetView>
  </sheetViews>
  <sheetFormatPr baseColWidth="10" defaultRowHeight="15" x14ac:dyDescent="0.25"/>
  <cols>
    <col min="1" max="1" width="10" customWidth="1"/>
    <col min="2" max="2" width="47.85546875" customWidth="1"/>
    <col min="3" max="14" width="13.7109375" customWidth="1"/>
    <col min="15" max="15" width="16.5703125" customWidth="1"/>
    <col min="16" max="16" width="14.42578125" customWidth="1"/>
    <col min="17" max="17" width="14.7109375" customWidth="1"/>
    <col min="18" max="18" width="13.85546875" bestFit="1" customWidth="1"/>
  </cols>
  <sheetData>
    <row r="2" spans="1:18" ht="28.5" x14ac:dyDescent="0.45">
      <c r="A2" s="172" t="s">
        <v>72</v>
      </c>
      <c r="B2" s="172"/>
      <c r="C2" s="172"/>
      <c r="L2">
        <v>2025</v>
      </c>
      <c r="M2">
        <v>2025</v>
      </c>
      <c r="N2">
        <v>2025</v>
      </c>
    </row>
    <row r="3" spans="1:18" x14ac:dyDescent="0.25">
      <c r="A3" s="42" t="s">
        <v>51</v>
      </c>
      <c r="B3" s="42" t="s">
        <v>52</v>
      </c>
      <c r="C3" s="43" t="s">
        <v>53</v>
      </c>
      <c r="D3" s="43" t="s">
        <v>54</v>
      </c>
      <c r="E3" s="43" t="s">
        <v>55</v>
      </c>
      <c r="F3" s="43" t="s">
        <v>56</v>
      </c>
      <c r="G3" s="43" t="s">
        <v>57</v>
      </c>
      <c r="H3" s="43" t="s">
        <v>58</v>
      </c>
      <c r="I3" s="43" t="s">
        <v>59</v>
      </c>
      <c r="J3" s="43" t="s">
        <v>60</v>
      </c>
      <c r="K3" s="43" t="s">
        <v>61</v>
      </c>
      <c r="L3" s="43" t="s">
        <v>118</v>
      </c>
      <c r="M3" s="43" t="s">
        <v>119</v>
      </c>
      <c r="N3" s="43" t="s">
        <v>120</v>
      </c>
      <c r="O3" s="43" t="s">
        <v>62</v>
      </c>
    </row>
    <row r="4" spans="1:18" x14ac:dyDescent="0.25">
      <c r="A4" s="45"/>
      <c r="B4" s="50" t="s">
        <v>63</v>
      </c>
      <c r="C4" s="54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8">
        <f>SUM(C4:N4)</f>
        <v>0</v>
      </c>
    </row>
    <row r="5" spans="1:18" x14ac:dyDescent="0.25">
      <c r="A5" s="45"/>
      <c r="B5" s="45" t="s">
        <v>64</v>
      </c>
      <c r="C5" s="46" t="e">
        <f>+#REF!-#REF!</f>
        <v>#REF!</v>
      </c>
      <c r="D5" s="60" t="e">
        <f>+#REF!-#REF!</f>
        <v>#REF!</v>
      </c>
      <c r="E5" s="60" t="e">
        <f>+#REF!-#REF!</f>
        <v>#REF!</v>
      </c>
      <c r="F5" s="60" t="e">
        <f>+#REF!-#REF!</f>
        <v>#REF!</v>
      </c>
      <c r="G5" s="60" t="e">
        <f>+#REF!-#REF!</f>
        <v>#REF!</v>
      </c>
      <c r="H5" s="46" t="e">
        <f>+#REF!-#REF!</f>
        <v>#REF!</v>
      </c>
      <c r="I5" s="60" t="e">
        <f>+#REF!-#REF!</f>
        <v>#REF!</v>
      </c>
      <c r="J5" s="60" t="e">
        <f>+#REF!-#REF!</f>
        <v>#REF!</v>
      </c>
      <c r="K5" s="60" t="e">
        <f>+#REF!-#REF!</f>
        <v>#REF!</v>
      </c>
      <c r="L5" s="60" t="e">
        <f>+#REF!-#REF!</f>
        <v>#REF!</v>
      </c>
      <c r="M5" s="60" t="e">
        <f>+#REF!-#REF!</f>
        <v>#REF!</v>
      </c>
      <c r="N5" s="60" t="e">
        <f>+#REF!-#REF!</f>
        <v>#REF!</v>
      </c>
      <c r="O5" s="48" t="e">
        <f>SUM(C5:N5)</f>
        <v>#REF!</v>
      </c>
    </row>
    <row r="6" spans="1:18" x14ac:dyDescent="0.25">
      <c r="A6" s="45"/>
      <c r="B6" s="45"/>
      <c r="C6" s="48" t="e">
        <f t="shared" ref="C6:K6" si="0">SUM(C4:C5)</f>
        <v>#REF!</v>
      </c>
      <c r="D6" s="48" t="e">
        <f t="shared" si="0"/>
        <v>#REF!</v>
      </c>
      <c r="E6" s="48" t="e">
        <f t="shared" si="0"/>
        <v>#REF!</v>
      </c>
      <c r="F6" s="48" t="e">
        <f t="shared" si="0"/>
        <v>#REF!</v>
      </c>
      <c r="G6" s="48" t="e">
        <f t="shared" si="0"/>
        <v>#REF!</v>
      </c>
      <c r="H6" s="48" t="e">
        <f t="shared" si="0"/>
        <v>#REF!</v>
      </c>
      <c r="I6" s="48" t="e">
        <f t="shared" si="0"/>
        <v>#REF!</v>
      </c>
      <c r="J6" s="48" t="e">
        <f t="shared" si="0"/>
        <v>#REF!</v>
      </c>
      <c r="K6" s="48" t="e">
        <f t="shared" si="0"/>
        <v>#REF!</v>
      </c>
      <c r="L6" s="48" t="e">
        <f t="shared" ref="L6:N6" si="1">SUM(L4:L5)</f>
        <v>#REF!</v>
      </c>
      <c r="M6" s="48" t="e">
        <f t="shared" si="1"/>
        <v>#REF!</v>
      </c>
      <c r="N6" s="48" t="e">
        <f t="shared" si="1"/>
        <v>#REF!</v>
      </c>
      <c r="O6" s="48" t="e">
        <f>SUM(O4:O5)</f>
        <v>#REF!</v>
      </c>
      <c r="Q6" s="59"/>
    </row>
    <row r="7" spans="1:18" x14ac:dyDescent="0.25">
      <c r="O7" s="61" t="e">
        <f>+#REF!</f>
        <v>#REF!</v>
      </c>
      <c r="P7" s="61" t="e">
        <f>+O6+O7</f>
        <v>#REF!</v>
      </c>
    </row>
    <row r="8" spans="1:18" x14ac:dyDescent="0.25">
      <c r="O8" s="61"/>
    </row>
    <row r="9" spans="1:18" x14ac:dyDescent="0.25">
      <c r="O9" s="61" t="e">
        <f>+O6+O7+O8</f>
        <v>#REF!</v>
      </c>
    </row>
    <row r="10" spans="1:18" ht="28.5" x14ac:dyDescent="0.45">
      <c r="A10" s="175" t="s">
        <v>121</v>
      </c>
      <c r="B10" s="175"/>
      <c r="C10" s="175"/>
      <c r="Q10" s="59" t="e">
        <f>+P7-O17</f>
        <v>#REF!</v>
      </c>
      <c r="R10" s="62"/>
    </row>
    <row r="11" spans="1:18" x14ac:dyDescent="0.25">
      <c r="A11" s="42" t="s">
        <v>51</v>
      </c>
      <c r="B11" s="42" t="s">
        <v>52</v>
      </c>
      <c r="C11" s="43" t="s">
        <v>53</v>
      </c>
      <c r="D11" s="43" t="s">
        <v>54</v>
      </c>
      <c r="E11" s="43" t="s">
        <v>55</v>
      </c>
      <c r="F11" s="43" t="s">
        <v>56</v>
      </c>
      <c r="G11" s="43" t="s">
        <v>57</v>
      </c>
      <c r="H11" s="43" t="s">
        <v>58</v>
      </c>
      <c r="I11" s="43" t="s">
        <v>59</v>
      </c>
      <c r="J11" s="43" t="s">
        <v>60</v>
      </c>
      <c r="K11" s="43" t="s">
        <v>61</v>
      </c>
      <c r="L11" s="43" t="s">
        <v>118</v>
      </c>
      <c r="M11" s="43" t="s">
        <v>119</v>
      </c>
      <c r="N11" s="43" t="s">
        <v>120</v>
      </c>
      <c r="O11" s="43" t="s">
        <v>62</v>
      </c>
    </row>
    <row r="12" spans="1:18" x14ac:dyDescent="0.25">
      <c r="A12" s="45"/>
      <c r="B12" s="50" t="s">
        <v>63</v>
      </c>
      <c r="C12" s="54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8">
        <f>SUM(C12:N12)</f>
        <v>0</v>
      </c>
    </row>
    <row r="13" spans="1:18" x14ac:dyDescent="0.25">
      <c r="A13" s="45"/>
      <c r="B13" s="45" t="s">
        <v>64</v>
      </c>
      <c r="C13" s="46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8">
        <f t="shared" ref="O13:O16" si="2">SUM(C13:N13)</f>
        <v>0</v>
      </c>
    </row>
    <row r="14" spans="1:18" ht="15.75" x14ac:dyDescent="0.25">
      <c r="A14" s="45"/>
      <c r="B14" s="56" t="s">
        <v>65</v>
      </c>
      <c r="C14" s="5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8">
        <f t="shared" si="2"/>
        <v>0</v>
      </c>
    </row>
    <row r="15" spans="1:18" x14ac:dyDescent="0.25">
      <c r="A15" s="58"/>
      <c r="B15" s="45" t="s">
        <v>66</v>
      </c>
      <c r="C15" s="46" t="e">
        <f>+#REF!</f>
        <v>#REF!</v>
      </c>
      <c r="D15" s="46" t="e">
        <f>+#REF!</f>
        <v>#REF!</v>
      </c>
      <c r="E15" s="46" t="e">
        <f>+#REF!</f>
        <v>#REF!</v>
      </c>
      <c r="F15" s="46" t="e">
        <f>+#REF!</f>
        <v>#REF!</v>
      </c>
      <c r="G15" s="46" t="e">
        <f>+#REF!</f>
        <v>#REF!</v>
      </c>
      <c r="H15" s="46" t="e">
        <f>+#REF!</f>
        <v>#REF!</v>
      </c>
      <c r="I15" s="46" t="e">
        <f>+#REF!</f>
        <v>#REF!</v>
      </c>
      <c r="J15" s="46" t="e">
        <f>+#REF!</f>
        <v>#REF!</v>
      </c>
      <c r="K15" s="60" t="e">
        <f>+#REF!</f>
        <v>#REF!</v>
      </c>
      <c r="L15" s="60" t="e">
        <f>+#REF!</f>
        <v>#REF!</v>
      </c>
      <c r="M15" s="60" t="e">
        <f>+#REF!</f>
        <v>#REF!</v>
      </c>
      <c r="N15" s="60" t="e">
        <f>+#REF!</f>
        <v>#REF!</v>
      </c>
      <c r="O15" s="48" t="e">
        <f t="shared" si="2"/>
        <v>#REF!</v>
      </c>
    </row>
    <row r="16" spans="1:18" x14ac:dyDescent="0.25">
      <c r="A16" s="58"/>
      <c r="B16" s="45" t="s">
        <v>67</v>
      </c>
      <c r="C16" s="46" t="e">
        <f>+#REF!</f>
        <v>#REF!</v>
      </c>
      <c r="D16" s="46" t="e">
        <f>+#REF!</f>
        <v>#REF!</v>
      </c>
      <c r="E16" s="46" t="e">
        <f>+#REF!</f>
        <v>#REF!</v>
      </c>
      <c r="F16" s="46" t="e">
        <f>+#REF!</f>
        <v>#REF!</v>
      </c>
      <c r="G16" s="46" t="e">
        <f>+#REF!</f>
        <v>#REF!</v>
      </c>
      <c r="H16" s="46" t="e">
        <f>+#REF!</f>
        <v>#REF!</v>
      </c>
      <c r="I16" s="46" t="e">
        <f>+#REF!</f>
        <v>#REF!</v>
      </c>
      <c r="J16" s="46" t="e">
        <f>+#REF!</f>
        <v>#REF!</v>
      </c>
      <c r="K16" s="60" t="e">
        <f>+#REF!</f>
        <v>#REF!</v>
      </c>
      <c r="L16" s="60" t="e">
        <f>+#REF!</f>
        <v>#REF!</v>
      </c>
      <c r="M16" s="60" t="e">
        <f>+#REF!</f>
        <v>#REF!</v>
      </c>
      <c r="N16" s="60" t="e">
        <f>+#REF!</f>
        <v>#REF!</v>
      </c>
      <c r="O16" s="48" t="e">
        <f t="shared" si="2"/>
        <v>#REF!</v>
      </c>
    </row>
    <row r="17" spans="1:17" x14ac:dyDescent="0.25">
      <c r="A17" s="45"/>
      <c r="B17" s="45"/>
      <c r="C17" s="48" t="e">
        <f t="shared" ref="C17:K17" si="3">SUM(C12:C16)</f>
        <v>#REF!</v>
      </c>
      <c r="D17" s="48" t="e">
        <f t="shared" si="3"/>
        <v>#REF!</v>
      </c>
      <c r="E17" s="48" t="e">
        <f t="shared" si="3"/>
        <v>#REF!</v>
      </c>
      <c r="F17" s="48" t="e">
        <f t="shared" si="3"/>
        <v>#REF!</v>
      </c>
      <c r="G17" s="48" t="e">
        <f t="shared" si="3"/>
        <v>#REF!</v>
      </c>
      <c r="H17" s="48" t="e">
        <f t="shared" si="3"/>
        <v>#REF!</v>
      </c>
      <c r="I17" s="48" t="e">
        <f t="shared" si="3"/>
        <v>#REF!</v>
      </c>
      <c r="J17" s="48" t="e">
        <f t="shared" si="3"/>
        <v>#REF!</v>
      </c>
      <c r="K17" s="48" t="e">
        <f t="shared" si="3"/>
        <v>#REF!</v>
      </c>
      <c r="L17" s="48" t="e">
        <f t="shared" ref="L17:N17" si="4">SUM(L12:L16)</f>
        <v>#REF!</v>
      </c>
      <c r="M17" s="48" t="e">
        <f t="shared" si="4"/>
        <v>#REF!</v>
      </c>
      <c r="N17" s="48" t="e">
        <f t="shared" si="4"/>
        <v>#REF!</v>
      </c>
      <c r="O17" s="48" t="e">
        <f>SUM(O12:O16)</f>
        <v>#REF!</v>
      </c>
      <c r="Q17" s="59"/>
    </row>
    <row r="20" spans="1:17" ht="28.5" x14ac:dyDescent="0.45">
      <c r="A20" s="172" t="s">
        <v>50</v>
      </c>
      <c r="B20" s="172"/>
      <c r="C20" s="172"/>
    </row>
    <row r="21" spans="1:17" x14ac:dyDescent="0.25">
      <c r="B21" s="41"/>
    </row>
    <row r="22" spans="1:17" x14ac:dyDescent="0.25">
      <c r="A22" s="42" t="s">
        <v>51</v>
      </c>
      <c r="B22" s="42" t="s">
        <v>52</v>
      </c>
      <c r="C22" s="43" t="s">
        <v>53</v>
      </c>
      <c r="D22" s="43" t="s">
        <v>54</v>
      </c>
      <c r="E22" s="43" t="s">
        <v>55</v>
      </c>
      <c r="F22" s="43" t="s">
        <v>56</v>
      </c>
      <c r="G22" s="43" t="s">
        <v>57</v>
      </c>
      <c r="H22" s="43" t="s">
        <v>58</v>
      </c>
      <c r="I22" s="43" t="s">
        <v>59</v>
      </c>
      <c r="J22" s="43" t="s">
        <v>60</v>
      </c>
      <c r="K22" s="43" t="s">
        <v>61</v>
      </c>
      <c r="L22" s="43" t="s">
        <v>118</v>
      </c>
      <c r="M22" s="43" t="s">
        <v>119</v>
      </c>
      <c r="N22" s="43" t="s">
        <v>120</v>
      </c>
      <c r="O22" s="43" t="s">
        <v>62</v>
      </c>
    </row>
    <row r="23" spans="1:17" x14ac:dyDescent="0.25">
      <c r="A23" s="44">
        <v>2</v>
      </c>
      <c r="B23" s="45" t="s">
        <v>48</v>
      </c>
      <c r="C23" s="46">
        <v>0</v>
      </c>
      <c r="D23" s="46">
        <v>0</v>
      </c>
      <c r="E23" s="46">
        <v>0</v>
      </c>
      <c r="F23" s="46">
        <v>0</v>
      </c>
      <c r="G23" s="46">
        <v>0</v>
      </c>
      <c r="H23" s="46" t="e">
        <f>+#REF!</f>
        <v>#REF!</v>
      </c>
      <c r="I23" s="46" t="e">
        <f>+#REF!</f>
        <v>#REF!</v>
      </c>
      <c r="J23" s="46" t="e">
        <f>+#REF!</f>
        <v>#REF!</v>
      </c>
      <c r="K23" s="60" t="e">
        <f>+#REF!</f>
        <v>#REF!</v>
      </c>
      <c r="L23" s="60" t="e">
        <f>+#REF!</f>
        <v>#REF!</v>
      </c>
      <c r="M23" s="60" t="e">
        <f>+#REF!</f>
        <v>#REF!</v>
      </c>
      <c r="N23" s="60" t="e">
        <f>+#REF!</f>
        <v>#REF!</v>
      </c>
      <c r="O23" s="48" t="e">
        <f>SUM(C23:N23)</f>
        <v>#REF!</v>
      </c>
    </row>
    <row r="24" spans="1:17" x14ac:dyDescent="0.25">
      <c r="A24" s="49">
        <v>6</v>
      </c>
      <c r="B24" s="45" t="s">
        <v>25</v>
      </c>
      <c r="C24" s="46" t="e">
        <f>+#REF!</f>
        <v>#REF!</v>
      </c>
      <c r="D24" s="46" t="e">
        <f>+#REF!</f>
        <v>#REF!</v>
      </c>
      <c r="E24" s="46" t="e">
        <f>+#REF!</f>
        <v>#REF!</v>
      </c>
      <c r="F24" s="46" t="e">
        <f>+#REF!</f>
        <v>#REF!</v>
      </c>
      <c r="G24" s="46" t="e">
        <f>+#REF!</f>
        <v>#REF!</v>
      </c>
      <c r="H24" s="46" t="e">
        <f>+#REF!</f>
        <v>#REF!</v>
      </c>
      <c r="I24" s="46" t="e">
        <f>+#REF!</f>
        <v>#REF!</v>
      </c>
      <c r="J24" s="46" t="e">
        <f>+#REF!</f>
        <v>#REF!</v>
      </c>
      <c r="K24" s="60" t="e">
        <f>+#REF!</f>
        <v>#REF!</v>
      </c>
      <c r="L24" s="60" t="e">
        <f>+#REF!</f>
        <v>#REF!</v>
      </c>
      <c r="M24" s="60" t="e">
        <f>+#REF!</f>
        <v>#REF!</v>
      </c>
      <c r="N24" s="60" t="e">
        <f>+#REF!</f>
        <v>#REF!</v>
      </c>
      <c r="O24" s="48" t="e">
        <f t="shared" ref="O24:O48" si="5">SUM(C24:N24)</f>
        <v>#REF!</v>
      </c>
    </row>
    <row r="25" spans="1:17" x14ac:dyDescent="0.25">
      <c r="A25" s="49">
        <v>7</v>
      </c>
      <c r="B25" s="45" t="s">
        <v>42</v>
      </c>
      <c r="C25" s="46">
        <v>0</v>
      </c>
      <c r="D25" s="46">
        <v>0</v>
      </c>
      <c r="E25" s="46" t="e">
        <f>+#REF!</f>
        <v>#REF!</v>
      </c>
      <c r="F25" s="46" t="e">
        <f>+#REF!</f>
        <v>#REF!</v>
      </c>
      <c r="G25" s="46" t="e">
        <f>+#REF!</f>
        <v>#REF!</v>
      </c>
      <c r="H25" s="46" t="e">
        <f>+#REF!</f>
        <v>#REF!</v>
      </c>
      <c r="I25" s="46" t="e">
        <f>+#REF!</f>
        <v>#REF!</v>
      </c>
      <c r="J25" s="46" t="e">
        <f>+#REF!</f>
        <v>#REF!</v>
      </c>
      <c r="K25" s="60" t="e">
        <f>+#REF!</f>
        <v>#REF!</v>
      </c>
      <c r="L25" s="60"/>
      <c r="M25" s="60"/>
      <c r="N25" s="60"/>
      <c r="O25" s="48" t="e">
        <f t="shared" si="5"/>
        <v>#REF!</v>
      </c>
    </row>
    <row r="26" spans="1:17" x14ac:dyDescent="0.25">
      <c r="A26" s="51">
        <v>8</v>
      </c>
      <c r="B26" s="45" t="s">
        <v>26</v>
      </c>
      <c r="C26" s="46" t="e">
        <f>+#REF!</f>
        <v>#REF!</v>
      </c>
      <c r="D26" s="46" t="e">
        <f>+#REF!</f>
        <v>#REF!</v>
      </c>
      <c r="E26" s="46" t="e">
        <f>+#REF!</f>
        <v>#REF!</v>
      </c>
      <c r="F26" s="46" t="e">
        <f>+#REF!</f>
        <v>#REF!</v>
      </c>
      <c r="G26" s="46" t="e">
        <f>+#REF!</f>
        <v>#REF!</v>
      </c>
      <c r="H26" s="46" t="e">
        <f>+#REF!</f>
        <v>#REF!</v>
      </c>
      <c r="I26" s="46" t="e">
        <f>+#REF!</f>
        <v>#REF!</v>
      </c>
      <c r="J26" s="46" t="e">
        <f>+#REF!</f>
        <v>#REF!</v>
      </c>
      <c r="K26" s="60" t="e">
        <f>+#REF!</f>
        <v>#REF!</v>
      </c>
      <c r="L26" s="60" t="e">
        <f>+#REF!</f>
        <v>#REF!</v>
      </c>
      <c r="M26" s="60" t="e">
        <f>+#REF!</f>
        <v>#REF!</v>
      </c>
      <c r="N26" s="60" t="e">
        <f>+#REF!</f>
        <v>#REF!</v>
      </c>
      <c r="O26" s="48" t="e">
        <f t="shared" si="5"/>
        <v>#REF!</v>
      </c>
    </row>
    <row r="27" spans="1:17" x14ac:dyDescent="0.25">
      <c r="A27" s="51">
        <v>9</v>
      </c>
      <c r="B27" s="45" t="s">
        <v>27</v>
      </c>
      <c r="C27" s="46" t="e">
        <f>+#REF!</f>
        <v>#REF!</v>
      </c>
      <c r="D27" s="46" t="e">
        <f>+#REF!</f>
        <v>#REF!</v>
      </c>
      <c r="E27" s="46" t="e">
        <f>+#REF!</f>
        <v>#REF!</v>
      </c>
      <c r="F27" s="46" t="e">
        <f>+#REF!</f>
        <v>#REF!</v>
      </c>
      <c r="G27" s="46" t="e">
        <f>+#REF!</f>
        <v>#REF!</v>
      </c>
      <c r="H27" s="46" t="e">
        <f>+#REF!</f>
        <v>#REF!</v>
      </c>
      <c r="I27" s="46" t="e">
        <f>+#REF!</f>
        <v>#REF!</v>
      </c>
      <c r="J27" s="46" t="e">
        <f>+#REF!</f>
        <v>#REF!</v>
      </c>
      <c r="K27" s="60" t="e">
        <f>+#REF!</f>
        <v>#REF!</v>
      </c>
      <c r="L27" s="60" t="e">
        <f>+#REF!</f>
        <v>#REF!</v>
      </c>
      <c r="M27" s="60" t="e">
        <f>+#REF!</f>
        <v>#REF!</v>
      </c>
      <c r="N27" s="60" t="e">
        <f>+#REF!</f>
        <v>#REF!</v>
      </c>
      <c r="O27" s="48" t="e">
        <f t="shared" si="5"/>
        <v>#REF!</v>
      </c>
    </row>
    <row r="28" spans="1:17" x14ac:dyDescent="0.25">
      <c r="A28" s="49">
        <v>15</v>
      </c>
      <c r="B28" s="45" t="s">
        <v>47</v>
      </c>
      <c r="C28" s="46">
        <v>0</v>
      </c>
      <c r="D28" s="46">
        <v>0</v>
      </c>
      <c r="E28" s="46">
        <v>0</v>
      </c>
      <c r="F28" s="46">
        <v>0</v>
      </c>
      <c r="G28" s="46" t="e">
        <f>+#REF!</f>
        <v>#REF!</v>
      </c>
      <c r="H28" s="46" t="e">
        <f>+#REF!</f>
        <v>#REF!</v>
      </c>
      <c r="I28" s="46" t="e">
        <f>+#REF!</f>
        <v>#REF!</v>
      </c>
      <c r="J28" s="46" t="e">
        <f>+#REF!</f>
        <v>#REF!</v>
      </c>
      <c r="K28" s="60" t="e">
        <f>+#REF!</f>
        <v>#REF!</v>
      </c>
      <c r="L28" s="60"/>
      <c r="M28" s="60"/>
      <c r="N28" s="60"/>
      <c r="O28" s="48" t="e">
        <f t="shared" si="5"/>
        <v>#REF!</v>
      </c>
    </row>
    <row r="29" spans="1:17" s="138" customFormat="1" x14ac:dyDescent="0.25">
      <c r="A29" s="134">
        <v>16</v>
      </c>
      <c r="B29" s="134" t="s">
        <v>43</v>
      </c>
      <c r="C29" s="135" t="e">
        <f>+#REF!</f>
        <v>#REF!</v>
      </c>
      <c r="D29" s="135" t="e">
        <f>+#REF!</f>
        <v>#REF!</v>
      </c>
      <c r="E29" s="135" t="e">
        <f>+#REF!</f>
        <v>#REF!</v>
      </c>
      <c r="F29" s="135" t="e">
        <f>+#REF!</f>
        <v>#REF!</v>
      </c>
      <c r="G29" s="135" t="e">
        <f>+#REF!</f>
        <v>#REF!</v>
      </c>
      <c r="H29" s="135" t="e">
        <f>+#REF!</f>
        <v>#REF!</v>
      </c>
      <c r="I29" s="135" t="e">
        <f>+#REF!</f>
        <v>#REF!</v>
      </c>
      <c r="J29" s="135" t="e">
        <f>+#REF!</f>
        <v>#REF!</v>
      </c>
      <c r="K29" s="136" t="e">
        <f>+#REF!</f>
        <v>#REF!</v>
      </c>
      <c r="L29" s="136" t="e">
        <f>+#REF!</f>
        <v>#REF!</v>
      </c>
      <c r="M29" s="136" t="e">
        <f>+#REF!</f>
        <v>#REF!</v>
      </c>
      <c r="N29" s="136" t="e">
        <f>+#REF!</f>
        <v>#REF!</v>
      </c>
      <c r="O29" s="137" t="e">
        <f>SUM(C29:N29)</f>
        <v>#REF!</v>
      </c>
    </row>
    <row r="30" spans="1:17" x14ac:dyDescent="0.25">
      <c r="A30" s="49">
        <v>17</v>
      </c>
      <c r="B30" s="45" t="s">
        <v>28</v>
      </c>
      <c r="C30" s="46" t="e">
        <f>+#REF!</f>
        <v>#REF!</v>
      </c>
      <c r="D30" s="46" t="e">
        <f>+#REF!</f>
        <v>#REF!</v>
      </c>
      <c r="E30" s="46" t="e">
        <f>+#REF!</f>
        <v>#REF!</v>
      </c>
      <c r="F30" s="46" t="e">
        <f>+#REF!</f>
        <v>#REF!</v>
      </c>
      <c r="G30" s="46" t="e">
        <f>+#REF!</f>
        <v>#REF!</v>
      </c>
      <c r="H30" s="46" t="e">
        <f>+#REF!</f>
        <v>#REF!</v>
      </c>
      <c r="I30" s="46" t="e">
        <f>+#REF!</f>
        <v>#REF!</v>
      </c>
      <c r="J30" s="46" t="e">
        <f>+#REF!</f>
        <v>#REF!</v>
      </c>
      <c r="K30" s="60" t="e">
        <f>+#REF!</f>
        <v>#REF!</v>
      </c>
      <c r="L30" s="60" t="e">
        <f>+#REF!</f>
        <v>#REF!</v>
      </c>
      <c r="M30" s="60"/>
      <c r="N30" s="60" t="e">
        <f>+#REF!</f>
        <v>#REF!</v>
      </c>
      <c r="O30" s="48" t="e">
        <f t="shared" si="5"/>
        <v>#REF!</v>
      </c>
    </row>
    <row r="31" spans="1:17" x14ac:dyDescent="0.25">
      <c r="A31" s="49">
        <v>19</v>
      </c>
      <c r="B31" s="45" t="s">
        <v>46</v>
      </c>
      <c r="C31" s="46">
        <v>0</v>
      </c>
      <c r="D31" s="46">
        <v>0</v>
      </c>
      <c r="E31" s="46">
        <v>0</v>
      </c>
      <c r="F31" s="46">
        <v>0</v>
      </c>
      <c r="G31" s="46" t="e">
        <f>+#REF!</f>
        <v>#REF!</v>
      </c>
      <c r="H31" s="46" t="e">
        <f>+#REF!</f>
        <v>#REF!</v>
      </c>
      <c r="I31" s="46" t="e">
        <f>+#REF!</f>
        <v>#REF!</v>
      </c>
      <c r="J31" s="46" t="e">
        <f>+#REF!</f>
        <v>#REF!</v>
      </c>
      <c r="K31" s="60" t="e">
        <f>+#REF!</f>
        <v>#REF!</v>
      </c>
      <c r="L31" s="60"/>
      <c r="M31" s="60" t="e">
        <f>+#REF!</f>
        <v>#REF!</v>
      </c>
      <c r="N31" s="60"/>
      <c r="O31" s="48" t="e">
        <f t="shared" si="5"/>
        <v>#REF!</v>
      </c>
    </row>
    <row r="32" spans="1:17" x14ac:dyDescent="0.25">
      <c r="A32" s="49">
        <v>20</v>
      </c>
      <c r="B32" s="45" t="s">
        <v>44</v>
      </c>
      <c r="C32" s="46" t="e">
        <f>+#REF!</f>
        <v>#REF!</v>
      </c>
      <c r="D32" s="46" t="e">
        <f>+#REF!</f>
        <v>#REF!</v>
      </c>
      <c r="E32" s="46" t="e">
        <f>+#REF!</f>
        <v>#REF!</v>
      </c>
      <c r="F32" s="46" t="e">
        <f>+#REF!</f>
        <v>#REF!</v>
      </c>
      <c r="G32" s="46" t="e">
        <f>+#REF!</f>
        <v>#REF!</v>
      </c>
      <c r="H32" s="46" t="e">
        <f>+#REF!</f>
        <v>#REF!</v>
      </c>
      <c r="I32" s="46" t="e">
        <f>+#REF!</f>
        <v>#REF!</v>
      </c>
      <c r="J32" s="46" t="e">
        <f>+#REF!</f>
        <v>#REF!</v>
      </c>
      <c r="K32" s="60" t="e">
        <f>+#REF!</f>
        <v>#REF!</v>
      </c>
      <c r="L32" s="60"/>
      <c r="M32" s="60"/>
      <c r="N32" s="60"/>
      <c r="O32" s="48" t="e">
        <f t="shared" si="5"/>
        <v>#REF!</v>
      </c>
    </row>
    <row r="33" spans="1:15" x14ac:dyDescent="0.25">
      <c r="A33" s="49">
        <v>21</v>
      </c>
      <c r="B33" s="45" t="s">
        <v>29</v>
      </c>
      <c r="C33" s="46" t="e">
        <f>+#REF!</f>
        <v>#REF!</v>
      </c>
      <c r="D33" s="46" t="e">
        <f>+#REF!</f>
        <v>#REF!</v>
      </c>
      <c r="E33" s="46" t="e">
        <f>+#REF!</f>
        <v>#REF!</v>
      </c>
      <c r="F33" s="46" t="e">
        <f>+#REF!</f>
        <v>#REF!</v>
      </c>
      <c r="G33" s="46" t="e">
        <f>+#REF!</f>
        <v>#REF!</v>
      </c>
      <c r="H33" s="46" t="e">
        <f>+#REF!</f>
        <v>#REF!</v>
      </c>
      <c r="I33" s="46" t="e">
        <f>+#REF!</f>
        <v>#REF!</v>
      </c>
      <c r="J33" s="46" t="e">
        <f>+#REF!</f>
        <v>#REF!</v>
      </c>
      <c r="K33" s="60" t="e">
        <f>+#REF!</f>
        <v>#REF!</v>
      </c>
      <c r="L33" s="60"/>
      <c r="M33" s="60"/>
      <c r="N33" s="60"/>
      <c r="O33" s="48" t="e">
        <f t="shared" si="5"/>
        <v>#REF!</v>
      </c>
    </row>
    <row r="34" spans="1:15" x14ac:dyDescent="0.25">
      <c r="A34" s="52">
        <v>22</v>
      </c>
      <c r="B34" s="45" t="s">
        <v>30</v>
      </c>
      <c r="C34" s="46" t="e">
        <f>+#REF!</f>
        <v>#REF!</v>
      </c>
      <c r="D34" s="46" t="e">
        <f>+#REF!</f>
        <v>#REF!</v>
      </c>
      <c r="E34" s="46" t="e">
        <f>+#REF!</f>
        <v>#REF!</v>
      </c>
      <c r="F34" s="46" t="e">
        <f>+#REF!</f>
        <v>#REF!</v>
      </c>
      <c r="G34" s="46" t="e">
        <f>+#REF!</f>
        <v>#REF!</v>
      </c>
      <c r="H34" s="46" t="e">
        <f>+#REF!</f>
        <v>#REF!</v>
      </c>
      <c r="I34" s="46" t="e">
        <f>+#REF!</f>
        <v>#REF!</v>
      </c>
      <c r="J34" s="46" t="e">
        <f>+#REF!</f>
        <v>#REF!</v>
      </c>
      <c r="K34" s="60" t="e">
        <f>+#REF!</f>
        <v>#REF!</v>
      </c>
      <c r="L34" s="60" t="e">
        <f>+#REF!</f>
        <v>#REF!</v>
      </c>
      <c r="M34" s="60" t="e">
        <f>+#REF!</f>
        <v>#REF!</v>
      </c>
      <c r="N34" s="60"/>
      <c r="O34" s="48" t="e">
        <f t="shared" si="5"/>
        <v>#REF!</v>
      </c>
    </row>
    <row r="35" spans="1:15" x14ac:dyDescent="0.25">
      <c r="A35" s="51">
        <v>23</v>
      </c>
      <c r="B35" s="45" t="s">
        <v>37</v>
      </c>
      <c r="C35" s="60" t="e">
        <f>+#REF!</f>
        <v>#REF!</v>
      </c>
      <c r="D35" s="46" t="e">
        <f>+#REF!</f>
        <v>#REF!</v>
      </c>
      <c r="E35" s="46" t="e">
        <f>+#REF!</f>
        <v>#REF!</v>
      </c>
      <c r="F35" s="46" t="e">
        <f>+#REF!</f>
        <v>#REF!</v>
      </c>
      <c r="G35" s="46" t="e">
        <f>+#REF!</f>
        <v>#REF!</v>
      </c>
      <c r="H35" s="46" t="e">
        <f>+#REF!</f>
        <v>#REF!</v>
      </c>
      <c r="I35" s="46" t="e">
        <f>+#REF!</f>
        <v>#REF!</v>
      </c>
      <c r="J35" s="46" t="e">
        <f>+#REF!</f>
        <v>#REF!</v>
      </c>
      <c r="K35" s="60" t="e">
        <f>+#REF!</f>
        <v>#REF!</v>
      </c>
      <c r="L35" s="60" t="e">
        <f>+#REF!</f>
        <v>#REF!</v>
      </c>
      <c r="M35" s="60" t="e">
        <f>+#REF!</f>
        <v>#REF!</v>
      </c>
      <c r="N35" s="60" t="e">
        <f>+#REF!</f>
        <v>#REF!</v>
      </c>
      <c r="O35" s="48" t="e">
        <f t="shared" si="5"/>
        <v>#REF!</v>
      </c>
    </row>
    <row r="36" spans="1:15" x14ac:dyDescent="0.25">
      <c r="A36" s="51">
        <v>24</v>
      </c>
      <c r="B36" s="45" t="s">
        <v>45</v>
      </c>
      <c r="C36" s="46" t="e">
        <f>+#REF!</f>
        <v>#REF!</v>
      </c>
      <c r="D36" s="46" t="e">
        <f>+#REF!</f>
        <v>#REF!</v>
      </c>
      <c r="E36" s="46" t="e">
        <f>+#REF!</f>
        <v>#REF!</v>
      </c>
      <c r="F36" s="46" t="e">
        <f>+#REF!</f>
        <v>#REF!</v>
      </c>
      <c r="G36" s="46" t="e">
        <f>+#REF!</f>
        <v>#REF!</v>
      </c>
      <c r="H36" s="46" t="e">
        <f>+#REF!</f>
        <v>#REF!</v>
      </c>
      <c r="I36" s="46" t="e">
        <f>+#REF!</f>
        <v>#REF!</v>
      </c>
      <c r="J36" s="46" t="e">
        <f>+#REF!</f>
        <v>#REF!</v>
      </c>
      <c r="K36" s="60" t="e">
        <f>+#REF!</f>
        <v>#REF!</v>
      </c>
      <c r="L36" s="60"/>
      <c r="M36" s="60"/>
      <c r="N36" s="60"/>
      <c r="O36" s="48" t="e">
        <f t="shared" si="5"/>
        <v>#REF!</v>
      </c>
    </row>
    <row r="37" spans="1:15" x14ac:dyDescent="0.25">
      <c r="A37" s="44">
        <v>26</v>
      </c>
      <c r="B37" s="45" t="s">
        <v>36</v>
      </c>
      <c r="C37" s="60" t="e">
        <f>+#REF!</f>
        <v>#REF!</v>
      </c>
      <c r="D37" s="46" t="e">
        <f>+#REF!</f>
        <v>#REF!</v>
      </c>
      <c r="E37" s="46" t="e">
        <f>+#REF!</f>
        <v>#REF!</v>
      </c>
      <c r="F37" s="46" t="e">
        <f>+#REF!</f>
        <v>#REF!</v>
      </c>
      <c r="G37" s="46" t="e">
        <f>+#REF!</f>
        <v>#REF!</v>
      </c>
      <c r="H37" s="46" t="e">
        <f>+#REF!</f>
        <v>#REF!</v>
      </c>
      <c r="I37" s="46" t="e">
        <f>+#REF!</f>
        <v>#REF!</v>
      </c>
      <c r="J37" s="46" t="e">
        <f>+#REF!</f>
        <v>#REF!</v>
      </c>
      <c r="K37" s="60" t="e">
        <f>+#REF!</f>
        <v>#REF!</v>
      </c>
      <c r="L37" s="60" t="e">
        <f>+#REF!</f>
        <v>#REF!</v>
      </c>
      <c r="M37" s="60"/>
      <c r="N37" s="60" t="e">
        <f>+#REF!</f>
        <v>#REF!</v>
      </c>
      <c r="O37" s="48" t="e">
        <f t="shared" si="5"/>
        <v>#REF!</v>
      </c>
    </row>
    <row r="38" spans="1:15" x14ac:dyDescent="0.25">
      <c r="A38" s="51">
        <v>28</v>
      </c>
      <c r="B38" s="45" t="s">
        <v>34</v>
      </c>
      <c r="C38" s="60" t="e">
        <f>+#REF!</f>
        <v>#REF!</v>
      </c>
      <c r="D38" s="46" t="e">
        <f>+#REF!</f>
        <v>#REF!</v>
      </c>
      <c r="E38" s="46" t="e">
        <f>+#REF!</f>
        <v>#REF!</v>
      </c>
      <c r="F38" s="46" t="e">
        <f>+#REF!</f>
        <v>#REF!</v>
      </c>
      <c r="G38" s="46" t="e">
        <f>+#REF!</f>
        <v>#REF!</v>
      </c>
      <c r="H38" s="46" t="e">
        <f>+#REF!</f>
        <v>#REF!</v>
      </c>
      <c r="I38" s="46" t="e">
        <f>+#REF!</f>
        <v>#REF!</v>
      </c>
      <c r="J38" s="46" t="e">
        <f>+#REF!</f>
        <v>#REF!</v>
      </c>
      <c r="K38" s="60" t="e">
        <f>+#REF!</f>
        <v>#REF!</v>
      </c>
      <c r="L38" s="60"/>
      <c r="M38" s="60"/>
      <c r="N38" s="60"/>
      <c r="O38" s="48" t="e">
        <f t="shared" si="5"/>
        <v>#REF!</v>
      </c>
    </row>
    <row r="39" spans="1:15" x14ac:dyDescent="0.25">
      <c r="A39" s="49">
        <v>29</v>
      </c>
      <c r="B39" s="45" t="s">
        <v>35</v>
      </c>
      <c r="C39" s="60" t="e">
        <f>+#REF!</f>
        <v>#REF!</v>
      </c>
      <c r="D39" s="46" t="e">
        <f>+#REF!</f>
        <v>#REF!</v>
      </c>
      <c r="E39" s="46" t="e">
        <f>+#REF!</f>
        <v>#REF!</v>
      </c>
      <c r="F39" s="46" t="e">
        <f>+#REF!</f>
        <v>#REF!</v>
      </c>
      <c r="G39" s="46" t="e">
        <f>+#REF!</f>
        <v>#REF!</v>
      </c>
      <c r="H39" s="46" t="e">
        <f>+#REF!</f>
        <v>#REF!</v>
      </c>
      <c r="I39" s="46" t="e">
        <f>+#REF!</f>
        <v>#REF!</v>
      </c>
      <c r="J39" s="46" t="e">
        <f>+#REF!</f>
        <v>#REF!</v>
      </c>
      <c r="K39" s="60" t="e">
        <f>+#REF!</f>
        <v>#REF!</v>
      </c>
      <c r="L39" s="60"/>
      <c r="M39" s="60" t="e">
        <f>+#REF!</f>
        <v>#REF!</v>
      </c>
      <c r="N39" s="60" t="e">
        <f>+#REF!</f>
        <v>#REF!</v>
      </c>
      <c r="O39" s="48" t="e">
        <f t="shared" si="5"/>
        <v>#REF!</v>
      </c>
    </row>
    <row r="40" spans="1:15" x14ac:dyDescent="0.25">
      <c r="A40" s="49">
        <v>30</v>
      </c>
      <c r="B40" s="45" t="s">
        <v>49</v>
      </c>
      <c r="C40" s="47">
        <v>0</v>
      </c>
      <c r="D40" s="47">
        <v>0</v>
      </c>
      <c r="E40" s="47">
        <v>0</v>
      </c>
      <c r="F40" s="46">
        <v>0</v>
      </c>
      <c r="G40" s="46">
        <v>0</v>
      </c>
      <c r="H40" s="46">
        <v>0</v>
      </c>
      <c r="I40" s="46" t="e">
        <f>+#REF!</f>
        <v>#REF!</v>
      </c>
      <c r="J40" s="46" t="e">
        <f>+#REF!</f>
        <v>#REF!</v>
      </c>
      <c r="K40" s="60" t="e">
        <f>+#REF!</f>
        <v>#REF!</v>
      </c>
      <c r="L40" s="60"/>
      <c r="M40" s="60" t="e">
        <f>+#REF!</f>
        <v>#REF!</v>
      </c>
      <c r="N40" s="60" t="e">
        <f>+#REF!</f>
        <v>#REF!</v>
      </c>
      <c r="O40" s="48" t="e">
        <f t="shared" si="5"/>
        <v>#REF!</v>
      </c>
    </row>
    <row r="41" spans="1:15" x14ac:dyDescent="0.25">
      <c r="A41" s="51">
        <v>33</v>
      </c>
      <c r="B41" s="45" t="s">
        <v>31</v>
      </c>
      <c r="C41" s="61" t="e">
        <f>+#REF!</f>
        <v>#REF!</v>
      </c>
      <c r="D41" s="47" t="e">
        <f>+#REF!</f>
        <v>#REF!</v>
      </c>
      <c r="E41" s="60" t="e">
        <f>+#REF!</f>
        <v>#REF!</v>
      </c>
      <c r="F41" s="60" t="e">
        <f>+#REF!</f>
        <v>#REF!</v>
      </c>
      <c r="G41" s="60" t="e">
        <f>+#REF!</f>
        <v>#REF!</v>
      </c>
      <c r="H41" s="46" t="e">
        <f>+#REF!</f>
        <v>#REF!</v>
      </c>
      <c r="I41" s="46" t="e">
        <f>+#REF!</f>
        <v>#REF!</v>
      </c>
      <c r="J41" s="46" t="e">
        <f>+#REF!</f>
        <v>#REF!</v>
      </c>
      <c r="K41" s="60" t="e">
        <f>+#REF!</f>
        <v>#REF!</v>
      </c>
      <c r="L41" s="60" t="e">
        <f>+#REF!</f>
        <v>#REF!</v>
      </c>
      <c r="M41" s="60" t="e">
        <f>+#REF!+#REF!</f>
        <v>#REF!</v>
      </c>
      <c r="N41" s="60" t="e">
        <f>+#REF!</f>
        <v>#REF!</v>
      </c>
      <c r="O41" s="48" t="e">
        <f t="shared" si="5"/>
        <v>#REF!</v>
      </c>
    </row>
    <row r="42" spans="1:15" x14ac:dyDescent="0.25">
      <c r="A42" s="53">
        <v>34</v>
      </c>
      <c r="B42" s="45" t="s">
        <v>32</v>
      </c>
      <c r="C42" s="60" t="e">
        <f>+#REF!</f>
        <v>#REF!</v>
      </c>
      <c r="D42" s="47" t="e">
        <f>+#REF!</f>
        <v>#REF!</v>
      </c>
      <c r="E42" s="60" t="e">
        <f>+#REF!</f>
        <v>#REF!</v>
      </c>
      <c r="F42" s="60" t="e">
        <f>+#REF!</f>
        <v>#REF!</v>
      </c>
      <c r="G42" s="60" t="e">
        <f>+#REF!</f>
        <v>#REF!</v>
      </c>
      <c r="H42" s="46" t="e">
        <f>+#REF!</f>
        <v>#REF!</v>
      </c>
      <c r="I42" s="46" t="e">
        <f>+#REF!</f>
        <v>#REF!</v>
      </c>
      <c r="J42" s="46" t="e">
        <f>+#REF!</f>
        <v>#REF!</v>
      </c>
      <c r="K42" s="60" t="e">
        <f>+#REF!</f>
        <v>#REF!</v>
      </c>
      <c r="L42" s="60" t="e">
        <f>+#REF!</f>
        <v>#REF!</v>
      </c>
      <c r="M42" s="60"/>
      <c r="N42" s="60"/>
      <c r="O42" s="48" t="e">
        <f t="shared" si="5"/>
        <v>#REF!</v>
      </c>
    </row>
    <row r="43" spans="1:15" x14ac:dyDescent="0.25">
      <c r="A43" s="51">
        <v>35</v>
      </c>
      <c r="B43" s="45" t="s">
        <v>40</v>
      </c>
      <c r="C43" s="47">
        <v>0</v>
      </c>
      <c r="D43" s="47" t="e">
        <f>+#REF!</f>
        <v>#REF!</v>
      </c>
      <c r="E43" s="47">
        <v>0</v>
      </c>
      <c r="F43" s="60" t="e">
        <f>+#REF!</f>
        <v>#REF!</v>
      </c>
      <c r="G43" s="60" t="e">
        <f>+#REF!</f>
        <v>#REF!</v>
      </c>
      <c r="H43" s="60" t="e">
        <f>+#REF!</f>
        <v>#REF!</v>
      </c>
      <c r="I43" s="46" t="e">
        <f>+#REF!</f>
        <v>#REF!</v>
      </c>
      <c r="J43" s="46" t="e">
        <f>+#REF!</f>
        <v>#REF!</v>
      </c>
      <c r="K43" s="60" t="e">
        <f>+#REF!</f>
        <v>#REF!</v>
      </c>
      <c r="L43" s="60"/>
      <c r="M43" s="60" t="e">
        <f>+#REF!</f>
        <v>#REF!</v>
      </c>
      <c r="N43" s="60" t="e">
        <f>+#REF!</f>
        <v>#REF!</v>
      </c>
      <c r="O43" s="48" t="e">
        <f t="shared" si="5"/>
        <v>#REF!</v>
      </c>
    </row>
    <row r="44" spans="1:15" x14ac:dyDescent="0.25">
      <c r="A44" s="51">
        <v>36</v>
      </c>
      <c r="B44" s="45" t="s">
        <v>39</v>
      </c>
      <c r="C44" s="60" t="e">
        <f>+#REF!</f>
        <v>#REF!</v>
      </c>
      <c r="D44" s="47" t="e">
        <f>+#REF!</f>
        <v>#REF!</v>
      </c>
      <c r="E44" s="60" t="e">
        <f>+#REF!</f>
        <v>#REF!</v>
      </c>
      <c r="F44" s="60" t="e">
        <f>+#REF!</f>
        <v>#REF!</v>
      </c>
      <c r="G44" s="60" t="e">
        <f>+#REF!</f>
        <v>#REF!</v>
      </c>
      <c r="H44" s="60" t="e">
        <f>+#REF!</f>
        <v>#REF!</v>
      </c>
      <c r="I44" s="46" t="e">
        <f>+#REF!</f>
        <v>#REF!</v>
      </c>
      <c r="J44" s="46" t="e">
        <f>+#REF!</f>
        <v>#REF!</v>
      </c>
      <c r="K44" s="60" t="e">
        <f>+#REF!</f>
        <v>#REF!</v>
      </c>
      <c r="L44" s="60"/>
      <c r="M44" s="60"/>
      <c r="N44" s="60"/>
      <c r="O44" s="48" t="e">
        <f t="shared" si="5"/>
        <v>#REF!</v>
      </c>
    </row>
    <row r="45" spans="1:15" x14ac:dyDescent="0.25">
      <c r="A45" s="51">
        <v>37</v>
      </c>
      <c r="B45" s="45" t="s">
        <v>38</v>
      </c>
      <c r="C45" s="60" t="e">
        <f>+#REF!</f>
        <v>#REF!</v>
      </c>
      <c r="D45" s="47" t="e">
        <f>+#REF!</f>
        <v>#REF!</v>
      </c>
      <c r="E45" s="60" t="e">
        <f>+#REF!</f>
        <v>#REF!</v>
      </c>
      <c r="F45" s="60" t="e">
        <f>+#REF!</f>
        <v>#REF!</v>
      </c>
      <c r="G45" s="60" t="e">
        <f>+#REF!</f>
        <v>#REF!</v>
      </c>
      <c r="H45" s="60" t="e">
        <f>+#REF!</f>
        <v>#REF!</v>
      </c>
      <c r="I45" s="46" t="e">
        <f>+#REF!</f>
        <v>#REF!</v>
      </c>
      <c r="J45" s="46" t="e">
        <f>+#REF!</f>
        <v>#REF!</v>
      </c>
      <c r="K45" s="60" t="e">
        <f>+#REF!</f>
        <v>#REF!</v>
      </c>
      <c r="L45" s="60" t="e">
        <f>+#REF!</f>
        <v>#REF!</v>
      </c>
      <c r="M45" s="60"/>
      <c r="N45" s="60"/>
      <c r="O45" s="48" t="e">
        <f t="shared" si="5"/>
        <v>#REF!</v>
      </c>
    </row>
    <row r="46" spans="1:15" x14ac:dyDescent="0.25">
      <c r="A46" s="49"/>
      <c r="B46" s="45" t="s">
        <v>41</v>
      </c>
      <c r="C46" s="47">
        <v>0</v>
      </c>
      <c r="D46" s="47" t="e">
        <f>+#REF!</f>
        <v>#REF!</v>
      </c>
      <c r="E46" s="47">
        <v>0</v>
      </c>
      <c r="F46" s="47">
        <v>0</v>
      </c>
      <c r="G46" s="60" t="e">
        <f>+#REF!</f>
        <v>#REF!</v>
      </c>
      <c r="H46" s="60" t="e">
        <f>+#REF!</f>
        <v>#REF!</v>
      </c>
      <c r="I46" s="60" t="e">
        <f>+#REF!</f>
        <v>#REF!</v>
      </c>
      <c r="J46" s="60" t="e">
        <f>+#REF!</f>
        <v>#REF!</v>
      </c>
      <c r="K46" s="60" t="e">
        <f>+#REF!</f>
        <v>#REF!</v>
      </c>
      <c r="L46" s="60"/>
      <c r="M46" s="60" t="e">
        <f>+#REF!</f>
        <v>#REF!</v>
      </c>
      <c r="N46" s="60"/>
      <c r="O46" s="48" t="e">
        <f t="shared" si="5"/>
        <v>#REF!</v>
      </c>
    </row>
    <row r="47" spans="1:15" x14ac:dyDescent="0.25">
      <c r="A47" s="49"/>
      <c r="B47" s="45" t="s">
        <v>33</v>
      </c>
      <c r="C47" s="47">
        <v>0</v>
      </c>
      <c r="D47" s="47" t="e">
        <f>+#REF!</f>
        <v>#REF!</v>
      </c>
      <c r="E47" s="47">
        <v>0</v>
      </c>
      <c r="F47" s="47">
        <v>0</v>
      </c>
      <c r="G47" s="47">
        <v>0</v>
      </c>
      <c r="H47" s="47">
        <v>0</v>
      </c>
      <c r="I47" s="47">
        <v>0</v>
      </c>
      <c r="J47" s="60" t="e">
        <f>+#REF!</f>
        <v>#REF!</v>
      </c>
      <c r="K47" s="60" t="e">
        <f>+#REF!</f>
        <v>#REF!</v>
      </c>
      <c r="L47" s="60"/>
      <c r="M47" s="60"/>
      <c r="N47" s="60" t="e">
        <f>+#REF!</f>
        <v>#REF!</v>
      </c>
      <c r="O47" s="48" t="e">
        <f>SUM(C47:N47)</f>
        <v>#REF!</v>
      </c>
    </row>
    <row r="48" spans="1:15" x14ac:dyDescent="0.25">
      <c r="A48" s="70"/>
      <c r="B48" s="71" t="s">
        <v>71</v>
      </c>
      <c r="C48" s="47">
        <v>0</v>
      </c>
      <c r="D48" s="47">
        <v>0</v>
      </c>
      <c r="E48" s="47">
        <v>0</v>
      </c>
      <c r="F48" s="47">
        <v>0</v>
      </c>
      <c r="G48" s="47">
        <v>0</v>
      </c>
      <c r="H48" s="47">
        <v>0</v>
      </c>
      <c r="I48" s="47">
        <v>0</v>
      </c>
      <c r="J48" s="60">
        <v>0</v>
      </c>
      <c r="K48" s="60" t="e">
        <f>+#REF!</f>
        <v>#REF!</v>
      </c>
      <c r="L48" s="60"/>
      <c r="M48" s="60"/>
      <c r="N48" s="60"/>
      <c r="O48" s="48" t="e">
        <f t="shared" si="5"/>
        <v>#REF!</v>
      </c>
    </row>
    <row r="49" spans="1:16" x14ac:dyDescent="0.25">
      <c r="A49" s="173" t="s">
        <v>23</v>
      </c>
      <c r="B49" s="174"/>
      <c r="C49" s="55" t="e">
        <f>SUM(C23:C48)</f>
        <v>#REF!</v>
      </c>
      <c r="D49" s="55" t="e">
        <f t="shared" ref="D49:K49" si="6">SUM(D23:D48)</f>
        <v>#REF!</v>
      </c>
      <c r="E49" s="55" t="e">
        <f t="shared" si="6"/>
        <v>#REF!</v>
      </c>
      <c r="F49" s="55" t="e">
        <f t="shared" si="6"/>
        <v>#REF!</v>
      </c>
      <c r="G49" s="55" t="e">
        <f t="shared" si="6"/>
        <v>#REF!</v>
      </c>
      <c r="H49" s="55" t="e">
        <f t="shared" si="6"/>
        <v>#REF!</v>
      </c>
      <c r="I49" s="55" t="e">
        <f t="shared" si="6"/>
        <v>#REF!</v>
      </c>
      <c r="J49" s="55" t="e">
        <f t="shared" si="6"/>
        <v>#REF!</v>
      </c>
      <c r="K49" s="55" t="e">
        <f t="shared" si="6"/>
        <v>#REF!</v>
      </c>
      <c r="L49" s="55" t="e">
        <f t="shared" ref="L49:N49" si="7">SUM(L23:L48)</f>
        <v>#REF!</v>
      </c>
      <c r="M49" s="55" t="e">
        <f t="shared" si="7"/>
        <v>#REF!</v>
      </c>
      <c r="N49" s="55" t="e">
        <f t="shared" si="7"/>
        <v>#REF!</v>
      </c>
      <c r="O49" s="55" t="e">
        <f>SUM(O23:O48)</f>
        <v>#REF!</v>
      </c>
    </row>
    <row r="51" spans="1:16" x14ac:dyDescent="0.25">
      <c r="O51" s="62" t="e">
        <f>+O17+O49</f>
        <v>#REF!</v>
      </c>
      <c r="P51" s="61" t="e">
        <f>+P7-O51</f>
        <v>#REF!</v>
      </c>
    </row>
    <row r="52" spans="1:16" x14ac:dyDescent="0.25">
      <c r="O52" s="61"/>
      <c r="P52" s="61" t="e">
        <f>+#REF!</f>
        <v>#REF!</v>
      </c>
    </row>
    <row r="53" spans="1:16" x14ac:dyDescent="0.25">
      <c r="C53" s="61"/>
      <c r="O53" s="61"/>
      <c r="P53" s="61" t="e">
        <f>+P51-P52</f>
        <v>#REF!</v>
      </c>
    </row>
  </sheetData>
  <mergeCells count="4">
    <mergeCell ref="A20:C20"/>
    <mergeCell ref="A49:B49"/>
    <mergeCell ref="A10:C10"/>
    <mergeCell ref="A2:C2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5"/>
  <dimension ref="A2:I46"/>
  <sheetViews>
    <sheetView topLeftCell="A10" workbookViewId="0">
      <selection activeCell="H25" sqref="H25"/>
    </sheetView>
  </sheetViews>
  <sheetFormatPr baseColWidth="10" defaultRowHeight="15" x14ac:dyDescent="0.25"/>
  <cols>
    <col min="1" max="1" width="3.85546875" customWidth="1"/>
    <col min="5" max="5" width="13" customWidth="1"/>
    <col min="9" max="9" width="3.85546875" customWidth="1"/>
  </cols>
  <sheetData>
    <row r="2" spans="1:9" x14ac:dyDescent="0.25">
      <c r="A2" s="85"/>
      <c r="B2" s="85"/>
      <c r="C2" s="85"/>
      <c r="D2" s="85"/>
      <c r="E2" s="85"/>
      <c r="F2" s="85"/>
      <c r="G2" s="85"/>
      <c r="H2" s="85"/>
      <c r="I2" s="85"/>
    </row>
    <row r="3" spans="1:9" x14ac:dyDescent="0.25">
      <c r="A3" s="85"/>
      <c r="B3" s="85"/>
      <c r="C3" s="85"/>
      <c r="D3" s="85"/>
      <c r="E3" s="85"/>
      <c r="F3" s="85"/>
      <c r="G3" s="85"/>
      <c r="H3" s="85"/>
      <c r="I3" s="85"/>
    </row>
    <row r="4" spans="1:9" ht="22.5" customHeight="1" x14ac:dyDescent="0.25">
      <c r="A4" s="85"/>
      <c r="B4" s="85"/>
      <c r="C4" s="85"/>
      <c r="D4" s="86"/>
      <c r="E4" s="85"/>
      <c r="F4" s="85"/>
      <c r="G4" s="85"/>
      <c r="H4" s="85"/>
      <c r="I4" s="85"/>
    </row>
    <row r="5" spans="1:9" ht="15.75" x14ac:dyDescent="0.25">
      <c r="A5" s="85"/>
      <c r="B5" s="85"/>
      <c r="C5" s="85"/>
      <c r="D5" s="87"/>
      <c r="E5" s="184"/>
      <c r="F5" s="184"/>
      <c r="G5" s="185" t="s">
        <v>89</v>
      </c>
      <c r="H5" s="185"/>
      <c r="I5" s="85"/>
    </row>
    <row r="6" spans="1:9" ht="28.5" customHeight="1" x14ac:dyDescent="0.35">
      <c r="A6" s="88"/>
      <c r="B6" s="88"/>
      <c r="C6" s="186" t="s">
        <v>90</v>
      </c>
      <c r="D6" s="186"/>
      <c r="E6" s="186"/>
      <c r="F6" s="186"/>
      <c r="G6" s="186"/>
      <c r="H6" s="88"/>
      <c r="I6" s="88"/>
    </row>
    <row r="7" spans="1:9" ht="11.25" customHeight="1" x14ac:dyDescent="0.25">
      <c r="A7" s="88"/>
      <c r="B7" s="88"/>
      <c r="C7" s="89"/>
      <c r="D7" s="89"/>
      <c r="E7" s="89"/>
      <c r="F7" s="89"/>
      <c r="G7" s="89"/>
      <c r="H7" s="88"/>
      <c r="I7" s="88"/>
    </row>
    <row r="8" spans="1:9" ht="15.75" x14ac:dyDescent="0.25">
      <c r="A8" s="88"/>
      <c r="B8" s="187" t="s">
        <v>91</v>
      </c>
      <c r="C8" s="187"/>
      <c r="D8" s="188">
        <f ca="1">NOW()</f>
        <v>46290.372810995374</v>
      </c>
      <c r="E8" s="188"/>
      <c r="F8" s="188"/>
      <c r="G8" s="90"/>
      <c r="H8" s="88"/>
      <c r="I8" s="88"/>
    </row>
    <row r="9" spans="1:9" ht="15.75" thickBot="1" x14ac:dyDescent="0.3">
      <c r="A9" s="88"/>
      <c r="B9" s="189" t="s">
        <v>92</v>
      </c>
      <c r="C9" s="189"/>
      <c r="D9" s="91"/>
      <c r="E9" s="92" t="s">
        <v>93</v>
      </c>
      <c r="F9" s="93"/>
      <c r="G9" s="94"/>
      <c r="H9" s="88"/>
      <c r="I9" s="88"/>
    </row>
    <row r="10" spans="1:9" x14ac:dyDescent="0.25">
      <c r="A10" s="88"/>
      <c r="B10" s="88"/>
      <c r="C10" s="88"/>
      <c r="D10" s="88"/>
      <c r="E10" s="95"/>
      <c r="F10" s="96"/>
      <c r="G10" s="88"/>
      <c r="H10" s="88"/>
      <c r="I10" s="88"/>
    </row>
    <row r="11" spans="1:9" x14ac:dyDescent="0.25">
      <c r="A11" s="88"/>
      <c r="B11" s="190" t="s">
        <v>94</v>
      </c>
      <c r="C11" s="190"/>
      <c r="D11" s="88"/>
      <c r="E11" s="97">
        <f>+'[1]RENDICION DE CAJA CHICA'!J9</f>
        <v>233.52</v>
      </c>
      <c r="F11" s="98"/>
      <c r="G11" s="88"/>
      <c r="H11" s="88"/>
      <c r="I11" s="88"/>
    </row>
    <row r="12" spans="1:9" x14ac:dyDescent="0.25">
      <c r="A12" s="88"/>
      <c r="B12" s="99" t="s">
        <v>95</v>
      </c>
      <c r="C12" s="99"/>
      <c r="D12" s="88"/>
      <c r="E12" s="97">
        <f>+'[1]RENDICION DE CAJA CHICA'!H28</f>
        <v>2000</v>
      </c>
      <c r="F12" s="98"/>
      <c r="G12" s="88"/>
      <c r="H12" s="88"/>
      <c r="I12" s="88"/>
    </row>
    <row r="13" spans="1:9" x14ac:dyDescent="0.25">
      <c r="A13" s="88"/>
      <c r="B13" s="100" t="s">
        <v>96</v>
      </c>
      <c r="C13" s="88"/>
      <c r="D13" s="88"/>
      <c r="E13" s="101">
        <f>+'[1]RENDICION DE CAJA CHICA'!I28</f>
        <v>2233.52</v>
      </c>
      <c r="F13" s="88"/>
      <c r="G13" s="88"/>
      <c r="H13" s="88"/>
      <c r="I13" s="88"/>
    </row>
    <row r="14" spans="1:9" x14ac:dyDescent="0.25">
      <c r="A14" s="88"/>
      <c r="B14" s="100" t="s">
        <v>97</v>
      </c>
      <c r="C14" s="88"/>
      <c r="D14" s="88"/>
      <c r="E14" s="102">
        <f>E11+E12-E13</f>
        <v>0</v>
      </c>
      <c r="F14" s="98"/>
      <c r="G14" s="88"/>
      <c r="H14" s="88"/>
      <c r="I14" s="88"/>
    </row>
    <row r="15" spans="1:9" ht="15.75" thickBot="1" x14ac:dyDescent="0.3">
      <c r="A15" s="88"/>
      <c r="B15" s="88"/>
      <c r="C15" s="88"/>
      <c r="D15" s="100"/>
      <c r="E15" s="88"/>
      <c r="F15" s="98"/>
      <c r="G15" s="88"/>
      <c r="H15" s="88"/>
      <c r="I15" s="88"/>
    </row>
    <row r="16" spans="1:9" x14ac:dyDescent="0.25">
      <c r="A16" s="88"/>
      <c r="B16" s="191" t="s">
        <v>98</v>
      </c>
      <c r="C16" s="192"/>
      <c r="D16" s="193"/>
      <c r="E16" s="88"/>
      <c r="F16" s="191" t="s">
        <v>99</v>
      </c>
      <c r="G16" s="192"/>
      <c r="H16" s="193"/>
      <c r="I16" s="88"/>
    </row>
    <row r="17" spans="1:9" x14ac:dyDescent="0.25">
      <c r="A17" s="88"/>
      <c r="B17" s="103" t="s">
        <v>100</v>
      </c>
      <c r="C17" s="104" t="s">
        <v>101</v>
      </c>
      <c r="D17" s="105" t="s">
        <v>102</v>
      </c>
      <c r="E17" s="88"/>
      <c r="F17" s="103" t="s">
        <v>100</v>
      </c>
      <c r="G17" s="104"/>
      <c r="H17" s="105" t="s">
        <v>102</v>
      </c>
      <c r="I17" s="88"/>
    </row>
    <row r="18" spans="1:9" x14ac:dyDescent="0.25">
      <c r="A18" s="88"/>
      <c r="B18" s="106">
        <v>5</v>
      </c>
      <c r="C18" s="107"/>
      <c r="D18" s="108">
        <f t="shared" ref="D18:D23" si="0">B18*C18</f>
        <v>0</v>
      </c>
      <c r="E18" s="88"/>
      <c r="F18" s="109">
        <v>200</v>
      </c>
      <c r="G18" s="107">
        <f>100*2</f>
        <v>200</v>
      </c>
      <c r="H18" s="108">
        <f>F18*G18</f>
        <v>40000</v>
      </c>
      <c r="I18" s="88"/>
    </row>
    <row r="19" spans="1:9" x14ac:dyDescent="0.25">
      <c r="A19" s="88"/>
      <c r="B19" s="106">
        <v>2</v>
      </c>
      <c r="C19" s="107"/>
      <c r="D19" s="108">
        <f t="shared" si="0"/>
        <v>0</v>
      </c>
      <c r="E19" s="88"/>
      <c r="F19" s="109">
        <v>100</v>
      </c>
      <c r="G19" s="107">
        <f>100*20</f>
        <v>2000</v>
      </c>
      <c r="H19" s="108">
        <f>F19*G19</f>
        <v>200000</v>
      </c>
      <c r="I19" s="88"/>
    </row>
    <row r="20" spans="1:9" x14ac:dyDescent="0.25">
      <c r="A20" s="88"/>
      <c r="B20" s="106">
        <v>1</v>
      </c>
      <c r="C20" s="107"/>
      <c r="D20" s="108">
        <f t="shared" si="0"/>
        <v>0</v>
      </c>
      <c r="E20" s="88"/>
      <c r="F20" s="109">
        <v>50</v>
      </c>
      <c r="G20" s="107">
        <f>100*10</f>
        <v>1000</v>
      </c>
      <c r="H20" s="108">
        <f>F20*G20</f>
        <v>50000</v>
      </c>
      <c r="I20" s="88"/>
    </row>
    <row r="21" spans="1:9" x14ac:dyDescent="0.25">
      <c r="A21" s="88"/>
      <c r="B21" s="106">
        <v>0.5</v>
      </c>
      <c r="C21" s="107"/>
      <c r="D21" s="108">
        <f t="shared" si="0"/>
        <v>0</v>
      </c>
      <c r="E21" s="88"/>
      <c r="F21" s="109">
        <v>20</v>
      </c>
      <c r="G21" s="107">
        <f>100*7</f>
        <v>700</v>
      </c>
      <c r="H21" s="108">
        <f>F21*G21</f>
        <v>14000</v>
      </c>
      <c r="I21" s="88"/>
    </row>
    <row r="22" spans="1:9" ht="15.75" thickBot="1" x14ac:dyDescent="0.3">
      <c r="A22" s="88"/>
      <c r="B22" s="106">
        <v>0.2</v>
      </c>
      <c r="C22" s="107"/>
      <c r="D22" s="108">
        <f t="shared" si="0"/>
        <v>0</v>
      </c>
      <c r="E22" s="88"/>
      <c r="F22" s="109">
        <v>10</v>
      </c>
      <c r="G22" s="107">
        <f>100*9</f>
        <v>900</v>
      </c>
      <c r="H22" s="108">
        <f>F22*G22</f>
        <v>9000</v>
      </c>
      <c r="I22" s="88"/>
    </row>
    <row r="23" spans="1:9" ht="15.75" thickBot="1" x14ac:dyDescent="0.3">
      <c r="A23" s="88"/>
      <c r="B23" s="110">
        <v>0.1</v>
      </c>
      <c r="C23" s="111"/>
      <c r="D23" s="112">
        <f t="shared" si="0"/>
        <v>0</v>
      </c>
      <c r="E23" s="88"/>
      <c r="F23" s="194" t="s">
        <v>103</v>
      </c>
      <c r="G23" s="195"/>
      <c r="H23" s="113">
        <f>+SUM(H18:H22)</f>
        <v>313000</v>
      </c>
      <c r="I23" s="88"/>
    </row>
    <row r="24" spans="1:9" ht="15.75" thickBot="1" x14ac:dyDescent="0.3">
      <c r="A24" s="88"/>
      <c r="B24" s="194" t="s">
        <v>104</v>
      </c>
      <c r="C24" s="195"/>
      <c r="D24" s="113">
        <f>+SUM(D18:D23)</f>
        <v>0</v>
      </c>
      <c r="E24" s="88"/>
      <c r="F24" s="98"/>
      <c r="G24" s="88" t="s">
        <v>117</v>
      </c>
      <c r="H24" s="88">
        <v>12000</v>
      </c>
      <c r="I24" s="88"/>
    </row>
    <row r="25" spans="1:9" x14ac:dyDescent="0.25">
      <c r="A25" s="88"/>
      <c r="B25" s="88"/>
      <c r="C25" s="88"/>
      <c r="D25" s="100"/>
      <c r="E25" s="88"/>
      <c r="F25" s="98"/>
      <c r="G25" s="88"/>
      <c r="H25" s="126">
        <f>+H23+H24</f>
        <v>325000</v>
      </c>
      <c r="I25" s="88"/>
    </row>
    <row r="26" spans="1:9" x14ac:dyDescent="0.25">
      <c r="A26" s="88"/>
      <c r="B26" s="88"/>
      <c r="C26" s="88"/>
      <c r="D26" s="100"/>
      <c r="E26" s="88"/>
      <c r="F26" s="98"/>
      <c r="G26" s="88"/>
      <c r="H26" s="88"/>
      <c r="I26" s="88"/>
    </row>
    <row r="27" spans="1:9" x14ac:dyDescent="0.25">
      <c r="A27" s="88"/>
      <c r="B27" s="114" t="s">
        <v>103</v>
      </c>
      <c r="C27" s="115"/>
      <c r="D27" s="88"/>
      <c r="E27" s="116">
        <f>H23</f>
        <v>313000</v>
      </c>
      <c r="F27" s="88"/>
      <c r="G27" s="88"/>
      <c r="H27" s="88"/>
      <c r="I27" s="88"/>
    </row>
    <row r="28" spans="1:9" x14ac:dyDescent="0.25">
      <c r="A28" s="88"/>
      <c r="B28" s="88" t="s">
        <v>104</v>
      </c>
      <c r="C28" s="88"/>
      <c r="D28" s="88"/>
      <c r="E28" s="116">
        <f>D24</f>
        <v>0</v>
      </c>
      <c r="F28" s="88"/>
      <c r="G28" s="88"/>
      <c r="H28" s="88"/>
      <c r="I28" s="88"/>
    </row>
    <row r="29" spans="1:9" x14ac:dyDescent="0.25">
      <c r="A29" s="88"/>
      <c r="B29" s="100" t="s">
        <v>105</v>
      </c>
      <c r="C29" s="88"/>
      <c r="D29" s="88"/>
      <c r="E29" s="117">
        <f>SUM(E27:E28)</f>
        <v>313000</v>
      </c>
      <c r="F29" s="88"/>
      <c r="G29" s="88"/>
      <c r="H29" s="88"/>
      <c r="I29" s="88"/>
    </row>
    <row r="30" spans="1:9" x14ac:dyDescent="0.25">
      <c r="A30" s="88"/>
      <c r="B30" s="88"/>
      <c r="C30" s="88"/>
      <c r="D30" s="88"/>
      <c r="E30" s="118"/>
      <c r="F30" s="88"/>
      <c r="G30" s="88"/>
      <c r="H30" s="88"/>
      <c r="I30" s="88"/>
    </row>
    <row r="31" spans="1:9" x14ac:dyDescent="0.25">
      <c r="A31" s="88"/>
      <c r="B31" s="88"/>
      <c r="C31" s="88"/>
      <c r="D31" s="88"/>
      <c r="E31" s="118"/>
      <c r="F31" s="88"/>
      <c r="G31" s="88"/>
      <c r="H31" s="88"/>
      <c r="I31" s="88"/>
    </row>
    <row r="32" spans="1:9" x14ac:dyDescent="0.25">
      <c r="A32" s="88"/>
      <c r="B32" s="100" t="s">
        <v>106</v>
      </c>
      <c r="C32" s="119"/>
      <c r="D32" s="88"/>
      <c r="E32" s="118"/>
      <c r="F32" s="88"/>
      <c r="G32" s="88"/>
      <c r="H32" s="88"/>
      <c r="I32" s="88"/>
    </row>
    <row r="33" spans="1:9" x14ac:dyDescent="0.25">
      <c r="A33" s="88"/>
      <c r="B33" s="88" t="s">
        <v>107</v>
      </c>
      <c r="C33" s="88"/>
      <c r="D33" s="88"/>
      <c r="E33" s="118">
        <f>E29</f>
        <v>313000</v>
      </c>
      <c r="F33" s="88"/>
      <c r="G33" s="88"/>
      <c r="H33" s="88"/>
      <c r="I33" s="88"/>
    </row>
    <row r="34" spans="1:9" x14ac:dyDescent="0.25">
      <c r="A34" s="88"/>
      <c r="B34" s="88" t="s">
        <v>108</v>
      </c>
      <c r="C34" s="88"/>
      <c r="D34" s="88"/>
      <c r="E34" s="118">
        <f>E14</f>
        <v>0</v>
      </c>
      <c r="F34" s="88"/>
      <c r="G34" s="88"/>
      <c r="H34" s="88"/>
      <c r="I34" s="88"/>
    </row>
    <row r="35" spans="1:9" ht="15.75" thickBot="1" x14ac:dyDescent="0.3">
      <c r="A35" s="88"/>
      <c r="B35" s="120" t="s">
        <v>109</v>
      </c>
      <c r="C35" s="121"/>
      <c r="D35" s="122"/>
      <c r="E35" s="123">
        <f>E33-E34</f>
        <v>313000</v>
      </c>
      <c r="F35" s="88"/>
      <c r="G35" s="88"/>
      <c r="H35" s="88"/>
      <c r="I35" s="88"/>
    </row>
    <row r="36" spans="1:9" ht="16.5" thickTop="1" thickBot="1" x14ac:dyDescent="0.3">
      <c r="A36" s="88"/>
      <c r="B36" s="88"/>
      <c r="C36" s="88"/>
      <c r="D36" s="88"/>
      <c r="E36" s="88"/>
      <c r="F36" s="119"/>
      <c r="G36" s="88"/>
      <c r="H36" s="88"/>
      <c r="I36" s="88"/>
    </row>
    <row r="37" spans="1:9" x14ac:dyDescent="0.25">
      <c r="A37" s="88"/>
      <c r="B37" s="178" t="s">
        <v>110</v>
      </c>
      <c r="C37" s="179"/>
      <c r="D37" s="179"/>
      <c r="E37" s="179"/>
      <c r="F37" s="179"/>
      <c r="G37" s="179"/>
      <c r="H37" s="180"/>
      <c r="I37" s="88"/>
    </row>
    <row r="38" spans="1:9" ht="15.75" thickBot="1" x14ac:dyDescent="0.3">
      <c r="A38" s="88"/>
      <c r="B38" s="181"/>
      <c r="C38" s="182"/>
      <c r="D38" s="182"/>
      <c r="E38" s="182"/>
      <c r="F38" s="182"/>
      <c r="G38" s="182"/>
      <c r="H38" s="183"/>
      <c r="I38" s="88"/>
    </row>
    <row r="39" spans="1:9" x14ac:dyDescent="0.25">
      <c r="A39" s="88"/>
      <c r="B39" s="88"/>
      <c r="C39" s="124"/>
      <c r="D39" s="124"/>
      <c r="E39" s="88"/>
      <c r="F39" s="88"/>
      <c r="G39" s="88"/>
      <c r="H39" s="88"/>
      <c r="I39" s="88"/>
    </row>
    <row r="40" spans="1:9" x14ac:dyDescent="0.25">
      <c r="A40" s="88"/>
      <c r="B40" s="88"/>
      <c r="C40" s="124"/>
      <c r="D40" s="124"/>
      <c r="E40" s="88"/>
      <c r="F40" s="88"/>
      <c r="G40" s="88"/>
      <c r="H40" s="88"/>
      <c r="I40" s="88"/>
    </row>
    <row r="41" spans="1:9" x14ac:dyDescent="0.25">
      <c r="A41" s="88"/>
      <c r="B41" s="88"/>
      <c r="C41" s="124"/>
      <c r="D41" s="124"/>
      <c r="E41" s="88"/>
      <c r="F41" s="88"/>
      <c r="G41" s="88"/>
      <c r="H41" s="88"/>
      <c r="I41" s="88"/>
    </row>
    <row r="42" spans="1:9" x14ac:dyDescent="0.25">
      <c r="A42" s="88"/>
      <c r="B42" s="88"/>
      <c r="C42" s="124"/>
      <c r="D42" s="124"/>
      <c r="E42" s="88"/>
      <c r="F42" s="88"/>
      <c r="G42" s="88"/>
      <c r="H42" s="88"/>
      <c r="I42" s="88"/>
    </row>
    <row r="43" spans="1:9" x14ac:dyDescent="0.25">
      <c r="A43" s="100"/>
      <c r="B43" s="176" t="s">
        <v>111</v>
      </c>
      <c r="C43" s="176"/>
      <c r="D43" s="176"/>
      <c r="E43" s="100"/>
      <c r="F43" s="176" t="s">
        <v>112</v>
      </c>
      <c r="G43" s="176"/>
      <c r="H43" s="176"/>
      <c r="I43" s="100"/>
    </row>
    <row r="44" spans="1:9" x14ac:dyDescent="0.25">
      <c r="A44" s="100"/>
      <c r="B44" s="176" t="s">
        <v>113</v>
      </c>
      <c r="C44" s="176"/>
      <c r="D44" s="176"/>
      <c r="E44" s="100"/>
      <c r="F44" s="176" t="s">
        <v>114</v>
      </c>
      <c r="G44" s="176"/>
      <c r="H44" s="176"/>
      <c r="I44" s="100"/>
    </row>
    <row r="45" spans="1:9" x14ac:dyDescent="0.25">
      <c r="A45" s="125"/>
      <c r="B45" s="177" t="s">
        <v>115</v>
      </c>
      <c r="C45" s="177"/>
      <c r="D45" s="177"/>
      <c r="E45" s="125"/>
      <c r="F45" s="177" t="s">
        <v>116</v>
      </c>
      <c r="G45" s="177"/>
      <c r="H45" s="177"/>
      <c r="I45" s="125"/>
    </row>
    <row r="46" spans="1:9" x14ac:dyDescent="0.25">
      <c r="A46" s="85"/>
      <c r="B46" s="85"/>
      <c r="C46" s="85"/>
      <c r="D46" s="85"/>
      <c r="E46" s="85"/>
      <c r="F46" s="85"/>
      <c r="G46" s="85"/>
      <c r="H46" s="85"/>
      <c r="I46" s="85"/>
    </row>
  </sheetData>
  <mergeCells count="18">
    <mergeCell ref="B37:H38"/>
    <mergeCell ref="E5:F5"/>
    <mergeCell ref="G5:H5"/>
    <mergeCell ref="C6:G6"/>
    <mergeCell ref="B8:C8"/>
    <mergeCell ref="D8:F8"/>
    <mergeCell ref="B9:C9"/>
    <mergeCell ref="B11:C11"/>
    <mergeCell ref="B16:D16"/>
    <mergeCell ref="F16:H16"/>
    <mergeCell ref="F23:G23"/>
    <mergeCell ref="B24:C24"/>
    <mergeCell ref="B43:D43"/>
    <mergeCell ref="F43:H43"/>
    <mergeCell ref="B44:D44"/>
    <mergeCell ref="F44:H44"/>
    <mergeCell ref="B45:D45"/>
    <mergeCell ref="F45:H45"/>
  </mergeCells>
  <printOptions horizontalCentered="1"/>
  <pageMargins left="0.70866141732283472" right="0.70866141732283472" top="0.74803149606299213" bottom="0.55118110236220474" header="0.31496062992125984" footer="0.31496062992125984"/>
  <pageSetup paperSize="9" scale="95" orientation="portrait" horizontalDpi="0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6"/>
  <dimension ref="A2:J26"/>
  <sheetViews>
    <sheetView zoomScale="90" zoomScaleNormal="90" workbookViewId="0">
      <selection activeCell="D15" sqref="D15"/>
    </sheetView>
  </sheetViews>
  <sheetFormatPr baseColWidth="10" defaultRowHeight="15" x14ac:dyDescent="0.25"/>
  <cols>
    <col min="1" max="1" width="5.28515625" customWidth="1"/>
    <col min="2" max="2" width="15" customWidth="1"/>
    <col min="3" max="3" width="16" customWidth="1"/>
    <col min="4" max="4" width="10.140625" customWidth="1"/>
    <col min="5" max="5" width="9.28515625" customWidth="1"/>
    <col min="6" max="6" width="15" customWidth="1"/>
    <col min="7" max="7" width="11.140625" customWidth="1"/>
    <col min="8" max="8" width="9.85546875" customWidth="1"/>
    <col min="9" max="9" width="5.140625" customWidth="1"/>
    <col min="10" max="10" width="5.28515625" customWidth="1"/>
  </cols>
  <sheetData>
    <row r="2" spans="1:10" x14ac:dyDescent="0.25">
      <c r="A2" s="72"/>
      <c r="B2" s="197"/>
      <c r="C2" s="197"/>
      <c r="D2" s="72"/>
      <c r="E2" s="72"/>
      <c r="F2" s="72"/>
      <c r="G2" s="72"/>
      <c r="H2" s="72"/>
      <c r="I2" s="72"/>
      <c r="J2" s="72"/>
    </row>
    <row r="3" spans="1:10" ht="15.75" x14ac:dyDescent="0.25">
      <c r="A3" s="72"/>
      <c r="B3" s="197"/>
      <c r="C3" s="197"/>
      <c r="D3" s="72"/>
      <c r="E3" s="72"/>
      <c r="F3" s="72"/>
      <c r="G3" s="81" t="s">
        <v>86</v>
      </c>
      <c r="H3" s="198" t="s">
        <v>69</v>
      </c>
      <c r="I3" s="198"/>
      <c r="J3" s="72"/>
    </row>
    <row r="4" spans="1:10" x14ac:dyDescent="0.25">
      <c r="A4" s="72"/>
      <c r="B4" s="197"/>
      <c r="C4" s="197"/>
      <c r="D4" s="72"/>
      <c r="E4" s="72"/>
      <c r="F4" s="72"/>
      <c r="G4" s="72"/>
      <c r="H4" s="72"/>
      <c r="I4" s="72"/>
      <c r="J4" s="72"/>
    </row>
    <row r="5" spans="1:10" ht="18" x14ac:dyDescent="0.25">
      <c r="A5" s="72"/>
      <c r="B5" s="197"/>
      <c r="C5" s="197"/>
      <c r="D5" s="199" t="s">
        <v>81</v>
      </c>
      <c r="E5" s="199"/>
      <c r="F5" s="199"/>
      <c r="G5" s="199"/>
      <c r="H5" s="72"/>
      <c r="I5" s="72"/>
      <c r="J5" s="72"/>
    </row>
    <row r="6" spans="1:10" x14ac:dyDescent="0.25">
      <c r="A6" s="72"/>
      <c r="B6" s="197"/>
      <c r="C6" s="197"/>
      <c r="D6" s="72"/>
      <c r="E6" s="72"/>
      <c r="F6" s="72"/>
      <c r="G6" s="72"/>
      <c r="H6" s="82"/>
      <c r="I6" s="72"/>
      <c r="J6" s="72"/>
    </row>
    <row r="7" spans="1:10" x14ac:dyDescent="0.25">
      <c r="A7" s="72"/>
      <c r="B7" s="197"/>
      <c r="C7" s="197"/>
      <c r="D7" s="72"/>
      <c r="E7" s="72"/>
      <c r="F7" s="72"/>
      <c r="G7" s="72"/>
      <c r="H7" s="72"/>
      <c r="I7" s="72"/>
      <c r="J7" s="72"/>
    </row>
    <row r="8" spans="1:10" x14ac:dyDescent="0.25">
      <c r="A8" s="72"/>
      <c r="B8" s="74"/>
      <c r="C8" s="74"/>
      <c r="D8" s="72"/>
      <c r="E8" s="72"/>
      <c r="F8" s="72"/>
      <c r="G8" s="72"/>
      <c r="H8" s="72"/>
      <c r="I8" s="72"/>
      <c r="J8" s="72"/>
    </row>
    <row r="9" spans="1:10" ht="15.75" x14ac:dyDescent="0.25">
      <c r="A9" s="73"/>
      <c r="B9" s="196" t="s">
        <v>74</v>
      </c>
      <c r="C9" s="196"/>
      <c r="D9" s="200">
        <v>45605</v>
      </c>
      <c r="E9" s="201"/>
      <c r="F9" s="80"/>
      <c r="G9" s="73"/>
      <c r="H9" s="73"/>
      <c r="I9" s="73"/>
      <c r="J9" s="73"/>
    </row>
    <row r="10" spans="1:10" ht="15.75" x14ac:dyDescent="0.25">
      <c r="A10" s="73"/>
      <c r="B10" s="196" t="s">
        <v>75</v>
      </c>
      <c r="C10" s="202"/>
      <c r="D10" s="203" t="s">
        <v>82</v>
      </c>
      <c r="E10" s="204"/>
      <c r="F10" s="205"/>
      <c r="G10" s="73"/>
      <c r="H10" s="73"/>
      <c r="I10" s="73"/>
      <c r="J10" s="73"/>
    </row>
    <row r="11" spans="1:10" ht="15.75" x14ac:dyDescent="0.25">
      <c r="A11" s="73"/>
      <c r="B11" s="196" t="s">
        <v>76</v>
      </c>
      <c r="C11" s="196"/>
      <c r="D11" s="203" t="s">
        <v>83</v>
      </c>
      <c r="E11" s="204"/>
      <c r="F11" s="205"/>
      <c r="G11" s="206" t="s">
        <v>87</v>
      </c>
      <c r="H11" s="207"/>
      <c r="I11" s="73"/>
      <c r="J11" s="73"/>
    </row>
    <row r="12" spans="1:10" ht="15.75" x14ac:dyDescent="0.25">
      <c r="A12" s="73"/>
      <c r="B12" s="196" t="s">
        <v>77</v>
      </c>
      <c r="C12" s="196"/>
      <c r="D12" s="208">
        <v>50</v>
      </c>
      <c r="E12" s="209"/>
      <c r="F12" s="80"/>
      <c r="G12" s="73"/>
      <c r="H12" s="73"/>
      <c r="I12" s="73"/>
      <c r="J12" s="73"/>
    </row>
    <row r="13" spans="1:10" ht="15.75" x14ac:dyDescent="0.25">
      <c r="A13" s="73"/>
      <c r="B13" s="75"/>
      <c r="C13" s="75"/>
      <c r="D13" s="79"/>
      <c r="E13" s="79"/>
      <c r="F13" s="79"/>
      <c r="G13" s="73"/>
      <c r="H13" s="73"/>
      <c r="I13" s="73"/>
      <c r="J13" s="73"/>
    </row>
    <row r="14" spans="1:10" ht="15.75" x14ac:dyDescent="0.25">
      <c r="A14" s="73"/>
      <c r="B14" s="196" t="s">
        <v>78</v>
      </c>
      <c r="C14" s="196"/>
      <c r="D14" s="79"/>
      <c r="E14" s="79"/>
      <c r="F14" s="79"/>
      <c r="G14" s="73"/>
      <c r="H14" s="73"/>
      <c r="I14" s="73"/>
      <c r="J14" s="73"/>
    </row>
    <row r="15" spans="1:10" ht="15.75" thickBot="1" x14ac:dyDescent="0.3">
      <c r="A15" s="72"/>
      <c r="B15" s="72"/>
      <c r="C15" s="72"/>
      <c r="D15" s="72"/>
      <c r="E15" s="72"/>
      <c r="F15" s="72"/>
      <c r="G15" s="72"/>
      <c r="H15" s="72"/>
      <c r="I15" s="72"/>
      <c r="J15" s="72"/>
    </row>
    <row r="16" spans="1:10" ht="18" x14ac:dyDescent="0.25">
      <c r="A16" s="72"/>
      <c r="B16" s="76"/>
      <c r="C16" s="78"/>
      <c r="D16" s="78"/>
      <c r="E16" s="78"/>
      <c r="F16" s="78"/>
      <c r="G16" s="78"/>
      <c r="H16" s="78"/>
      <c r="I16" s="83"/>
      <c r="J16" s="72"/>
    </row>
    <row r="17" spans="1:10" x14ac:dyDescent="0.25">
      <c r="A17" s="72"/>
      <c r="B17" s="210" t="s">
        <v>79</v>
      </c>
      <c r="C17" s="211"/>
      <c r="D17" s="211"/>
      <c r="E17" s="211"/>
      <c r="F17" s="211"/>
      <c r="G17" s="211"/>
      <c r="H17" s="211"/>
      <c r="I17" s="212"/>
      <c r="J17" s="72"/>
    </row>
    <row r="18" spans="1:10" x14ac:dyDescent="0.25">
      <c r="A18" s="72"/>
      <c r="B18" s="210"/>
      <c r="C18" s="211"/>
      <c r="D18" s="211"/>
      <c r="E18" s="211"/>
      <c r="F18" s="211"/>
      <c r="G18" s="211"/>
      <c r="H18" s="211"/>
      <c r="I18" s="212"/>
      <c r="J18" s="72"/>
    </row>
    <row r="19" spans="1:10" ht="29.25" customHeight="1" thickBot="1" x14ac:dyDescent="0.3">
      <c r="A19" s="72"/>
      <c r="B19" s="213"/>
      <c r="C19" s="214"/>
      <c r="D19" s="214"/>
      <c r="E19" s="214"/>
      <c r="F19" s="214"/>
      <c r="G19" s="214"/>
      <c r="H19" s="214"/>
      <c r="I19" s="215"/>
      <c r="J19" s="72"/>
    </row>
    <row r="20" spans="1:10" x14ac:dyDescent="0.25">
      <c r="A20" s="72"/>
      <c r="B20" s="77"/>
      <c r="C20" s="77"/>
      <c r="D20" s="77"/>
      <c r="E20" s="77"/>
      <c r="F20" s="77"/>
      <c r="G20" s="77"/>
      <c r="H20" s="77"/>
      <c r="I20" s="77"/>
      <c r="J20" s="72"/>
    </row>
    <row r="21" spans="1:10" x14ac:dyDescent="0.25">
      <c r="A21" s="72"/>
      <c r="B21" s="77"/>
      <c r="C21" s="77"/>
      <c r="D21" s="77"/>
      <c r="E21" s="77"/>
      <c r="F21" s="77"/>
      <c r="G21" s="77"/>
      <c r="H21" s="77"/>
      <c r="I21" s="77"/>
      <c r="J21" s="72"/>
    </row>
    <row r="22" spans="1:10" x14ac:dyDescent="0.25">
      <c r="A22" s="72"/>
      <c r="B22" s="77"/>
      <c r="C22" s="77"/>
      <c r="D22" s="77"/>
      <c r="E22" s="77"/>
      <c r="F22" s="77"/>
      <c r="G22" s="77"/>
      <c r="H22" s="77"/>
      <c r="I22" s="77"/>
      <c r="J22" s="72"/>
    </row>
    <row r="23" spans="1:10" x14ac:dyDescent="0.25">
      <c r="A23" s="72"/>
      <c r="B23" s="72"/>
      <c r="C23" s="72"/>
      <c r="D23" s="72"/>
      <c r="E23" s="72"/>
      <c r="F23" s="72"/>
      <c r="G23" s="72"/>
      <c r="H23" s="72"/>
      <c r="I23" s="72"/>
      <c r="J23" s="72"/>
    </row>
    <row r="24" spans="1:10" x14ac:dyDescent="0.25">
      <c r="A24" s="72"/>
      <c r="B24" s="72"/>
      <c r="C24" s="72"/>
      <c r="D24" s="72"/>
      <c r="E24" s="72"/>
      <c r="F24" s="72"/>
      <c r="G24" s="72"/>
      <c r="H24" s="72"/>
      <c r="I24" s="72"/>
      <c r="J24" s="72"/>
    </row>
    <row r="25" spans="1:10" x14ac:dyDescent="0.25">
      <c r="A25" s="72"/>
      <c r="B25" s="216" t="s">
        <v>80</v>
      </c>
      <c r="C25" s="216"/>
      <c r="D25" s="216"/>
      <c r="E25" s="72"/>
      <c r="F25" s="216" t="s">
        <v>84</v>
      </c>
      <c r="G25" s="216"/>
      <c r="H25" s="216"/>
      <c r="I25" s="72"/>
      <c r="J25" s="72"/>
    </row>
    <row r="26" spans="1:10" x14ac:dyDescent="0.25">
      <c r="A26" s="72"/>
      <c r="B26" s="217"/>
      <c r="C26" s="217"/>
      <c r="D26" s="217"/>
      <c r="E26" s="72"/>
      <c r="F26" s="197" t="s">
        <v>85</v>
      </c>
      <c r="G26" s="197"/>
      <c r="H26" s="197"/>
      <c r="I26" s="72"/>
      <c r="J26" s="72"/>
    </row>
  </sheetData>
  <mergeCells count="18">
    <mergeCell ref="B17:I19"/>
    <mergeCell ref="B25:D25"/>
    <mergeCell ref="F25:H25"/>
    <mergeCell ref="B26:D26"/>
    <mergeCell ref="F26:H26"/>
    <mergeCell ref="B14:C14"/>
    <mergeCell ref="B2:C7"/>
    <mergeCell ref="H3:I3"/>
    <mergeCell ref="D5:G5"/>
    <mergeCell ref="B9:C9"/>
    <mergeCell ref="D9:E9"/>
    <mergeCell ref="B10:C10"/>
    <mergeCell ref="D10:F10"/>
    <mergeCell ref="B11:C11"/>
    <mergeCell ref="D11:F11"/>
    <mergeCell ref="G11:H11"/>
    <mergeCell ref="B12:C12"/>
    <mergeCell ref="D12:E12"/>
  </mergeCells>
  <printOptions horizontalCentered="1"/>
  <pageMargins left="0.31496062992125984" right="0.31496062992125984" top="0.35433070866141736" bottom="0.35433070866141736" header="0.31496062992125984" footer="0.31496062992125984"/>
  <pageSetup scale="8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Diciembre 25</vt:lpstr>
      <vt:lpstr>AGOSTO 26 </vt:lpstr>
      <vt:lpstr>GLOBAL</vt:lpstr>
      <vt:lpstr>ARQUEO DE CAJA</vt:lpstr>
      <vt:lpstr>Hoja1</vt:lpstr>
      <vt:lpstr>'AGOSTO 26 '!Área_de_impresión</vt:lpstr>
      <vt:lpstr>'ARQUEO DE CAJA'!Área_de_impresión</vt:lpstr>
      <vt:lpstr>'Diciembre 25'!Área_de_impresión</vt:lpstr>
      <vt:lpstr>Hoja1!Área_de_impresión</vt:lpstr>
      <vt:lpstr>'AGOSTO 26 '!Títulos_a_imprimir</vt:lpstr>
      <vt:lpstr>'Diciembre 25'!Títulos_a_imprimir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 TECHNOLOGY</dc:creator>
  <cp:lastModifiedBy>FATEC TECHNOLOGY</cp:lastModifiedBy>
  <cp:lastPrinted>2026-02-28T16:34:32Z</cp:lastPrinted>
  <dcterms:created xsi:type="dcterms:W3CDTF">2024-05-06T13:15:37Z</dcterms:created>
  <dcterms:modified xsi:type="dcterms:W3CDTF">2026-09-25T12:57:23Z</dcterms:modified>
</cp:coreProperties>
</file>