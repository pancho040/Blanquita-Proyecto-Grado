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E:\Shema Asociados SRL\1_GESTION 09-2023\VENTAS\CONTROL NOTAS DE VENTAS GESTION 2026-2027\"/>
    </mc:Choice>
  </mc:AlternateContent>
  <xr:revisionPtr revIDLastSave="0" documentId="13_ncr:1_{587609B1-2C8F-4E0C-9498-41E03982F365}" xr6:coauthVersionLast="47" xr6:coauthVersionMax="47" xr10:uidLastSave="{00000000-0000-0000-0000-000000000000}"/>
  <bookViews>
    <workbookView xWindow="-120" yWindow="-120" windowWidth="20730" windowHeight="11160" tabRatio="839" xr2:uid="{C616B0CF-DBC0-4EA3-9870-BA35110198BD}"/>
  </bookViews>
  <sheets>
    <sheet name="VENTAS Y PAGOS X CAMION" sheetId="9" r:id="rId1"/>
    <sheet name="VENTAS POR CLIENTE" sheetId="13" r:id="rId2"/>
    <sheet name="VENTAS POR DPTS" sheetId="14" r:id="rId3"/>
    <sheet name="PRODUCTOS X DPTO" sheetId="16" r:id="rId4"/>
  </sheets>
  <definedNames>
    <definedName name="_xlnm._FilterDatabase" localSheetId="1" hidden="1">'VENTAS POR CLIENTE'!$B$9:$F$30</definedName>
    <definedName name="_xlnm._FilterDatabase" localSheetId="0" hidden="1">'VENTAS Y PAGOS X CAMION'!$B$7:$AN$54</definedName>
    <definedName name="_xlnm.Print_Area" localSheetId="3">'PRODUCTOS X DPTO'!$B$1:$U$22</definedName>
    <definedName name="_xlnm.Print_Area" localSheetId="1">'VENTAS POR CLIENTE'!$A$1:$G$26</definedName>
    <definedName name="_xlnm.Print_Area" localSheetId="2">'VENTAS POR DPTS'!$A$1:$G$22</definedName>
    <definedName name="_xlnm.Print_Area" localSheetId="0">'VENTAS Y PAGOS X CAMION'!$B$1:$BA$55</definedName>
    <definedName name="_xlnm.Print_Titles" localSheetId="0">'VENTAS Y PAGOS X CAMION'!$1:$7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4" l="1"/>
  <c r="AS27" i="9"/>
  <c r="AQ27" i="9"/>
  <c r="AV47" i="9"/>
  <c r="AV40" i="9"/>
  <c r="AV38" i="9"/>
  <c r="AV36" i="9"/>
  <c r="AV16" i="9" l="1"/>
  <c r="AU12" i="9"/>
  <c r="AU8" i="9"/>
  <c r="AV8" i="9"/>
  <c r="AM17" i="9" l="1"/>
  <c r="AX17" i="9"/>
  <c r="AY17" i="9"/>
  <c r="AZ17" i="9" l="1"/>
  <c r="BA17" i="9" s="1"/>
  <c r="AN17" i="9"/>
  <c r="AM15" i="9" l="1"/>
  <c r="AX15" i="9"/>
  <c r="AY15" i="9"/>
  <c r="AZ15" i="9" l="1"/>
  <c r="BA15" i="9" s="1"/>
  <c r="AN15" i="9"/>
  <c r="AM47" i="9" l="1"/>
  <c r="AN47" i="9" s="1"/>
  <c r="AX47" i="9"/>
  <c r="AY47" i="9"/>
  <c r="AM43" i="9"/>
  <c r="AN43" i="9" s="1"/>
  <c r="AM44" i="9"/>
  <c r="AN44" i="9" s="1"/>
  <c r="AM45" i="9"/>
  <c r="AN45" i="9" s="1"/>
  <c r="AX43" i="9"/>
  <c r="AX44" i="9"/>
  <c r="AX45" i="9"/>
  <c r="AY43" i="9"/>
  <c r="AY44" i="9"/>
  <c r="AY45" i="9"/>
  <c r="AM41" i="9"/>
  <c r="AN41" i="9" s="1"/>
  <c r="AX41" i="9"/>
  <c r="AY41" i="9"/>
  <c r="AZ47" i="9" l="1"/>
  <c r="BA47" i="9" s="1"/>
  <c r="AZ45" i="9"/>
  <c r="BA45" i="9" s="1"/>
  <c r="AZ44" i="9"/>
  <c r="BA44" i="9" s="1"/>
  <c r="AZ43" i="9"/>
  <c r="BA43" i="9" s="1"/>
  <c r="AZ41" i="9"/>
  <c r="BA41" i="9" s="1"/>
  <c r="AM36" i="9" l="1"/>
  <c r="AN36" i="9" s="1"/>
  <c r="AM37" i="9"/>
  <c r="AN37" i="9" s="1"/>
  <c r="AM38" i="9"/>
  <c r="AN38" i="9" s="1"/>
  <c r="AX36" i="9"/>
  <c r="AX37" i="9"/>
  <c r="AX38" i="9"/>
  <c r="AY36" i="9"/>
  <c r="AY37" i="9"/>
  <c r="AY38" i="9"/>
  <c r="AZ36" i="9" l="1"/>
  <c r="BA36" i="9" s="1"/>
  <c r="AZ37" i="9"/>
  <c r="BA37" i="9" s="1"/>
  <c r="AZ38" i="9"/>
  <c r="BA38" i="9" s="1"/>
  <c r="AM35" i="9" l="1"/>
  <c r="AN35" i="9" s="1"/>
  <c r="AM39" i="9"/>
  <c r="AN39" i="9" s="1"/>
  <c r="AM40" i="9"/>
  <c r="AN40" i="9" s="1"/>
  <c r="AX35" i="9"/>
  <c r="AX39" i="9"/>
  <c r="AX40" i="9"/>
  <c r="AY35" i="9"/>
  <c r="AY39" i="9"/>
  <c r="AY40" i="9"/>
  <c r="AZ40" i="9" l="1"/>
  <c r="BA40" i="9" s="1"/>
  <c r="AZ35" i="9"/>
  <c r="BA35" i="9" s="1"/>
  <c r="AZ39" i="9"/>
  <c r="BA39" i="9" s="1"/>
  <c r="AX8" i="9" l="1"/>
  <c r="AY8" i="9"/>
  <c r="AX9" i="9"/>
  <c r="AY9" i="9"/>
  <c r="AX10" i="9"/>
  <c r="AY10" i="9"/>
  <c r="AX11" i="9"/>
  <c r="AY11" i="9"/>
  <c r="AX12" i="9"/>
  <c r="AY12" i="9"/>
  <c r="AX13" i="9"/>
  <c r="AY13" i="9"/>
  <c r="AX14" i="9"/>
  <c r="AY14" i="9"/>
  <c r="AX16" i="9"/>
  <c r="AY16" i="9"/>
  <c r="AX18" i="9"/>
  <c r="AY18" i="9"/>
  <c r="AX19" i="9"/>
  <c r="AY19" i="9"/>
  <c r="AX20" i="9"/>
  <c r="AY20" i="9"/>
  <c r="AX21" i="9"/>
  <c r="AY21" i="9"/>
  <c r="AX22" i="9"/>
  <c r="AY22" i="9"/>
  <c r="AX23" i="9"/>
  <c r="AY23" i="9"/>
  <c r="AX24" i="9"/>
  <c r="AY24" i="9"/>
  <c r="AX25" i="9"/>
  <c r="AY25" i="9"/>
  <c r="AX26" i="9"/>
  <c r="AY26" i="9"/>
  <c r="AX27" i="9"/>
  <c r="AY27" i="9"/>
  <c r="AX28" i="9"/>
  <c r="AY28" i="9"/>
  <c r="AX29" i="9"/>
  <c r="AY29" i="9"/>
  <c r="AX30" i="9"/>
  <c r="AY30" i="9"/>
  <c r="AX31" i="9"/>
  <c r="AY31" i="9"/>
  <c r="AX32" i="9"/>
  <c r="AY32" i="9"/>
  <c r="AX33" i="9"/>
  <c r="AY33" i="9"/>
  <c r="AX34" i="9"/>
  <c r="AY34" i="9"/>
  <c r="AX42" i="9"/>
  <c r="AY42" i="9"/>
  <c r="AX46" i="9"/>
  <c r="AY46" i="9"/>
  <c r="AX48" i="9"/>
  <c r="AY48" i="9"/>
  <c r="AX49" i="9"/>
  <c r="AY49" i="9"/>
  <c r="AX50" i="9"/>
  <c r="AY50" i="9"/>
  <c r="AX51" i="9"/>
  <c r="AY51" i="9"/>
  <c r="AX52" i="9"/>
  <c r="AY52" i="9"/>
  <c r="AX53" i="9"/>
  <c r="AY53" i="9"/>
  <c r="AX54" i="9"/>
  <c r="AY54" i="9"/>
  <c r="AM31" i="9" l="1"/>
  <c r="AM18" i="9" l="1"/>
  <c r="B16" i="16"/>
  <c r="B17" i="16"/>
  <c r="K55" i="9" l="1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AB55" i="9"/>
  <c r="AC55" i="9"/>
  <c r="AD55" i="9"/>
  <c r="AE55" i="9"/>
  <c r="AF55" i="9"/>
  <c r="AG55" i="9"/>
  <c r="AH55" i="9"/>
  <c r="AI55" i="9"/>
  <c r="AJ55" i="9"/>
  <c r="AK55" i="9"/>
  <c r="AL55" i="9"/>
  <c r="AO55" i="9"/>
  <c r="AP55" i="9"/>
  <c r="AQ55" i="9"/>
  <c r="AR55" i="9"/>
  <c r="AS55" i="9"/>
  <c r="AT55" i="9"/>
  <c r="AU55" i="9"/>
  <c r="AV55" i="9"/>
  <c r="AW55" i="9"/>
  <c r="J55" i="9"/>
  <c r="B16" i="14" l="1"/>
  <c r="B17" i="14" s="1"/>
  <c r="AM54" i="9" l="1"/>
  <c r="AN54" i="9" s="1"/>
  <c r="AM53" i="9"/>
  <c r="AN53" i="9" s="1"/>
  <c r="AM29" i="9" l="1"/>
  <c r="AN29" i="9" s="1"/>
  <c r="AM14" i="9"/>
  <c r="AN14" i="9" s="1"/>
  <c r="AM8" i="9" l="1"/>
  <c r="AN8" i="9" s="1"/>
  <c r="AM9" i="9"/>
  <c r="AN9" i="9" s="1"/>
  <c r="AM10" i="9"/>
  <c r="AN10" i="9" s="1"/>
  <c r="AM11" i="9"/>
  <c r="AN11" i="9" s="1"/>
  <c r="AM12" i="9"/>
  <c r="AN12" i="9" s="1"/>
  <c r="AM13" i="9"/>
  <c r="AN13" i="9" s="1"/>
  <c r="AM16" i="9"/>
  <c r="AN16" i="9" s="1"/>
  <c r="AN18" i="9"/>
  <c r="AM19" i="9"/>
  <c r="AN19" i="9" s="1"/>
  <c r="AM20" i="9"/>
  <c r="AN20" i="9" s="1"/>
  <c r="AM21" i="9"/>
  <c r="AN21" i="9" s="1"/>
  <c r="AM22" i="9"/>
  <c r="AN22" i="9" s="1"/>
  <c r="AM23" i="9"/>
  <c r="AN23" i="9" s="1"/>
  <c r="AM24" i="9"/>
  <c r="AN24" i="9" s="1"/>
  <c r="AM25" i="9"/>
  <c r="AN25" i="9" s="1"/>
  <c r="AM26" i="9"/>
  <c r="AN26" i="9" s="1"/>
  <c r="AM27" i="9"/>
  <c r="AN27" i="9" s="1"/>
  <c r="AM28" i="9"/>
  <c r="AN28" i="9" s="1"/>
  <c r="AM30" i="9"/>
  <c r="AN30" i="9" s="1"/>
  <c r="AN31" i="9"/>
  <c r="AM32" i="9"/>
  <c r="AN32" i="9" s="1"/>
  <c r="AM33" i="9"/>
  <c r="AN33" i="9" s="1"/>
  <c r="AM34" i="9"/>
  <c r="AN34" i="9" s="1"/>
  <c r="AM42" i="9"/>
  <c r="AN42" i="9" s="1"/>
  <c r="AM46" i="9"/>
  <c r="AN46" i="9" s="1"/>
  <c r="AM48" i="9"/>
  <c r="AN48" i="9" s="1"/>
  <c r="AM49" i="9"/>
  <c r="AN49" i="9" s="1"/>
  <c r="AM50" i="9"/>
  <c r="AN50" i="9" s="1"/>
  <c r="AM51" i="9"/>
  <c r="AN51" i="9" s="1"/>
  <c r="AM52" i="9"/>
  <c r="AN52" i="9" s="1"/>
  <c r="AN55" i="9" l="1"/>
  <c r="AM55" i="9"/>
  <c r="B9" i="9" l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AZ42" i="9" l="1"/>
  <c r="BA42" i="9" s="1"/>
  <c r="AZ24" i="9"/>
  <c r="BA24" i="9" s="1"/>
  <c r="AZ12" i="9"/>
  <c r="BA12" i="9" s="1"/>
  <c r="AZ48" i="9"/>
  <c r="BA48" i="9" s="1"/>
  <c r="AZ27" i="9"/>
  <c r="BA27" i="9" s="1"/>
  <c r="AZ16" i="9"/>
  <c r="BA16" i="9" s="1"/>
  <c r="AZ54" i="9"/>
  <c r="BA54" i="9" s="1"/>
  <c r="AZ34" i="9"/>
  <c r="BA34" i="9" s="1"/>
  <c r="AZ32" i="9"/>
  <c r="BA32" i="9" s="1"/>
  <c r="AZ22" i="9"/>
  <c r="BA22" i="9" s="1"/>
  <c r="AZ51" i="9"/>
  <c r="BA51" i="9" s="1"/>
  <c r="AZ30" i="9"/>
  <c r="BA30" i="9" s="1"/>
  <c r="AZ19" i="9"/>
  <c r="BA19" i="9" s="1"/>
  <c r="AZ14" i="9"/>
  <c r="BA14" i="9" s="1"/>
  <c r="AZ26" i="9"/>
  <c r="BA26" i="9" s="1"/>
  <c r="AZ46" i="9"/>
  <c r="BA46" i="9" s="1"/>
  <c r="AZ49" i="9"/>
  <c r="BA49" i="9" s="1"/>
  <c r="AZ28" i="9"/>
  <c r="BA28" i="9" s="1"/>
  <c r="AZ11" i="9"/>
  <c r="BA11" i="9" s="1"/>
  <c r="AZ33" i="9"/>
  <c r="BA33" i="9" s="1"/>
  <c r="AZ23" i="9"/>
  <c r="BA23" i="9" s="1"/>
  <c r="AZ10" i="9"/>
  <c r="BA10" i="9" s="1"/>
  <c r="AZ31" i="9"/>
  <c r="BA31" i="9" s="1"/>
  <c r="AZ21" i="9"/>
  <c r="BA21" i="9" s="1"/>
  <c r="AZ9" i="9"/>
  <c r="BA9" i="9" s="1"/>
  <c r="AZ20" i="9"/>
  <c r="BA20" i="9" s="1"/>
  <c r="AZ52" i="9"/>
  <c r="BA52" i="9" s="1"/>
  <c r="AZ50" i="9"/>
  <c r="BA50" i="9" s="1"/>
  <c r="AZ29" i="9"/>
  <c r="BA29" i="9" s="1"/>
  <c r="AZ18" i="9"/>
  <c r="BA18" i="9" s="1"/>
  <c r="AZ25" i="9"/>
  <c r="BA25" i="9" s="1"/>
  <c r="AZ13" i="9"/>
  <c r="BA13" i="9" s="1"/>
  <c r="AZ53" i="9"/>
  <c r="BA53" i="9" s="1"/>
  <c r="B13" i="16" l="1"/>
  <c r="B14" i="16" s="1"/>
  <c r="B15" i="16" s="1"/>
  <c r="B12" i="16"/>
  <c r="AY55" i="9"/>
  <c r="AX55" i="9" l="1"/>
  <c r="AZ8" i="9"/>
  <c r="AZ55" i="9" l="1"/>
  <c r="BA8" i="9" l="1"/>
  <c r="BA55" i="9" l="1"/>
  <c r="B12" i="14"/>
  <c r="B13" i="14" s="1"/>
  <c r="B14" i="14" s="1"/>
  <c r="B15" i="14" s="1"/>
  <c r="B11" i="13" l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 TECHNOLOGY</author>
  </authors>
  <commentList>
    <comment ref="M8" authorId="0" shapeId="0" xr:uid="{9AEEE384-75C3-4AC2-8DB8-0A7F188BF0A9}">
      <text>
        <r>
          <rPr>
            <b/>
            <sz val="9"/>
            <color indexed="81"/>
            <rFont val="Tahoma"/>
            <family val="2"/>
          </rPr>
          <t>1 PAQUETE</t>
        </r>
      </text>
    </comment>
    <comment ref="N8" authorId="0" shapeId="0" xr:uid="{7A3E634B-112D-4F0D-A6EF-2DE66167D69D}">
      <text>
        <r>
          <rPr>
            <b/>
            <sz val="9"/>
            <color indexed="81"/>
            <rFont val="Tahoma"/>
            <family val="2"/>
          </rPr>
          <t>2 PAQUETES</t>
        </r>
      </text>
    </comment>
    <comment ref="Q8" authorId="0" shapeId="0" xr:uid="{38901914-07DA-4D3A-B6A0-B7876F5E5320}">
      <text>
        <r>
          <rPr>
            <b/>
            <sz val="9"/>
            <color indexed="81"/>
            <rFont val="Tahoma"/>
            <family val="2"/>
          </rPr>
          <t>5 PAQUETES</t>
        </r>
      </text>
    </comment>
    <comment ref="V8" authorId="0" shapeId="0" xr:uid="{89E86A5F-0802-41B9-AC76-8EAE0506FE11}">
      <text>
        <r>
          <rPr>
            <b/>
            <sz val="9"/>
            <color indexed="81"/>
            <rFont val="Tahoma"/>
            <family val="2"/>
          </rPr>
          <t>2 PAQUETES</t>
        </r>
      </text>
    </comment>
    <comment ref="AU8" authorId="0" shapeId="0" xr:uid="{F6A5335E-B4F8-46E2-B73E-66D48E82702D}">
      <text>
        <r>
          <rPr>
            <b/>
            <sz val="9"/>
            <color indexed="81"/>
            <rFont val="Tahoma"/>
            <family val="2"/>
          </rPr>
          <t>REC.780 1.150 BS QR CORRESPONDE A JULIO</t>
        </r>
      </text>
    </comment>
    <comment ref="AV8" authorId="0" shapeId="0" xr:uid="{669285CD-D18F-475C-B5BC-B59C302B83C3}">
      <text>
        <r>
          <rPr>
            <b/>
            <sz val="9"/>
            <color indexed="81"/>
            <rFont val="Tahoma"/>
            <family val="2"/>
          </rPr>
          <t>REC.780 (1054 BS EN EFECTIVO CORRESPONDE A JULIO)</t>
        </r>
      </text>
    </comment>
    <comment ref="AV9" authorId="0" shapeId="0" xr:uid="{9E2F15E7-C9E0-4094-A2D1-C09DA5B4FCCF}">
      <text>
        <r>
          <rPr>
            <b/>
            <sz val="9"/>
            <color indexed="81"/>
            <rFont val="Tahoma"/>
            <family val="2"/>
          </rPr>
          <t>REC.734</t>
        </r>
      </text>
    </comment>
    <comment ref="AV10" authorId="0" shapeId="0" xr:uid="{107524AD-1BD1-482E-AACD-589A42BA34F5}">
      <text>
        <r>
          <rPr>
            <b/>
            <sz val="9"/>
            <color indexed="81"/>
            <rFont val="Tahoma"/>
            <family val="2"/>
          </rPr>
          <t>REC.775</t>
        </r>
      </text>
    </comment>
    <comment ref="AU11" authorId="0" shapeId="0" xr:uid="{2911DFA0-365F-4C46-A24C-486D81A58AFF}">
      <text>
        <r>
          <rPr>
            <b/>
            <sz val="9"/>
            <color indexed="81"/>
            <rFont val="Tahoma"/>
            <family val="2"/>
          </rPr>
          <t>REC.800</t>
        </r>
      </text>
    </comment>
    <comment ref="AV11" authorId="0" shapeId="0" xr:uid="{E34D2D50-7670-41D6-B3CE-F03F07EB3C9A}">
      <text>
        <r>
          <rPr>
            <b/>
            <sz val="9"/>
            <color indexed="81"/>
            <rFont val="Tahoma"/>
            <family val="2"/>
          </rPr>
          <t>REC.800</t>
        </r>
      </text>
    </comment>
    <comment ref="AU12" authorId="0" shapeId="0" xr:uid="{C4AFD2A6-B1AB-4C6F-A1D3-3C8CB1F4B7DD}">
      <text>
        <r>
          <rPr>
            <b/>
            <sz val="9"/>
            <color indexed="81"/>
            <rFont val="Tahoma"/>
            <family val="2"/>
          </rPr>
          <t>Rec.781 (3.100 bs pagaron por adelantado en rec.766 del 28/07/2026)</t>
        </r>
      </text>
    </comment>
    <comment ref="AV12" authorId="0" shapeId="0" xr:uid="{2AA577F7-3F12-42EC-870E-D573BFB3F46B}">
      <text>
        <r>
          <rPr>
            <b/>
            <sz val="9"/>
            <color indexed="81"/>
            <rFont val="Tahoma"/>
            <family val="2"/>
          </rPr>
          <t>REC.781</t>
        </r>
      </text>
    </comment>
    <comment ref="AP14" authorId="0" shapeId="0" xr:uid="{DB3FD9CC-1645-4935-A6CF-CA2DFD3B6C2F}">
      <text>
        <r>
          <rPr>
            <b/>
            <sz val="9"/>
            <color indexed="81"/>
            <rFont val="Tahoma"/>
            <family val="2"/>
          </rPr>
          <t>REC.888 (COMPROBANTE NRO 77030171</t>
        </r>
      </text>
    </comment>
    <comment ref="AU16" authorId="0" shapeId="0" xr:uid="{EB205AB5-D805-4B73-A386-CB50A26EEF5D}">
      <text>
        <r>
          <rPr>
            <b/>
            <sz val="9"/>
            <color indexed="81"/>
            <rFont val="Tahoma"/>
            <family val="2"/>
          </rPr>
          <t>REC.782</t>
        </r>
      </text>
    </comment>
    <comment ref="AV16" authorId="0" shapeId="0" xr:uid="{35EBA141-E0D1-4DA8-B633-E4BF4B8F2B2B}">
      <text>
        <r>
          <rPr>
            <b/>
            <sz val="9"/>
            <color indexed="81"/>
            <rFont val="Tahoma"/>
            <family val="2"/>
          </rPr>
          <t>REC.782 (2.416 BS COBROS JULIO)</t>
        </r>
      </text>
    </comment>
    <comment ref="AP17" authorId="0" shapeId="0" xr:uid="{385DC8D3-4A6C-4A4D-8491-F7547204B5E3}">
      <text>
        <r>
          <rPr>
            <b/>
            <sz val="9"/>
            <color indexed="81"/>
            <rFont val="Tahoma"/>
            <family val="2"/>
          </rPr>
          <t>DEPOSITO NRO 75771616-13/08/2026</t>
        </r>
      </text>
    </comment>
    <comment ref="AU19" authorId="0" shapeId="0" xr:uid="{55EF4923-1211-4715-BAE2-C64391597CB3}">
      <text>
        <r>
          <rPr>
            <b/>
            <sz val="9"/>
            <color indexed="81"/>
            <rFont val="Tahoma"/>
            <family val="2"/>
          </rPr>
          <t>REC.785</t>
        </r>
      </text>
    </comment>
    <comment ref="AV19" authorId="0" shapeId="0" xr:uid="{582DCFEA-48F2-4A7A-954B-D3C4710F8796}">
      <text>
        <r>
          <rPr>
            <b/>
            <sz val="9"/>
            <color indexed="81"/>
            <rFont val="Tahoma"/>
            <family val="2"/>
          </rPr>
          <t>REC.785</t>
        </r>
      </text>
    </comment>
    <comment ref="AQ20" authorId="0" shapeId="0" xr:uid="{B847A232-BA2B-4E59-BFD4-885544409044}">
      <text>
        <r>
          <rPr>
            <b/>
            <sz val="9"/>
            <color indexed="81"/>
            <rFont val="Tahoma"/>
            <family val="2"/>
          </rPr>
          <t>Transaccion 1003202608252322470-25/08/2026</t>
        </r>
      </text>
    </comment>
    <comment ref="AQ21" authorId="0" shapeId="0" xr:uid="{DA13A8D1-5CF9-4D06-B54C-A31CF42C54A6}">
      <text>
        <r>
          <rPr>
            <b/>
            <sz val="9"/>
            <color indexed="81"/>
            <rFont val="Tahoma"/>
            <family val="2"/>
          </rPr>
          <t>DEPOSITO 5P85113494-05/08/2026</t>
        </r>
      </text>
    </comment>
    <comment ref="AS21" authorId="0" shapeId="0" xr:uid="{A2A09E74-017E-40FC-83C1-EF73BFF43F14}">
      <text>
        <r>
          <rPr>
            <b/>
            <sz val="9"/>
            <color indexed="81"/>
            <rFont val="Tahoma"/>
            <family val="2"/>
          </rPr>
          <t>DEPOSITO 5P85113534-05/08/2026</t>
        </r>
      </text>
    </comment>
    <comment ref="AV23" authorId="0" shapeId="0" xr:uid="{C2947BC3-8806-489F-BFA5-EF5BEDCFAB35}">
      <text>
        <r>
          <rPr>
            <b/>
            <sz val="9"/>
            <color indexed="81"/>
            <rFont val="Tahoma"/>
            <family val="2"/>
          </rPr>
          <t>REC.788</t>
        </r>
      </text>
    </comment>
    <comment ref="AV25" authorId="0" shapeId="0" xr:uid="{AEE17EA7-AB04-466D-8435-29B58A2BC816}">
      <text>
        <r>
          <rPr>
            <b/>
            <sz val="9"/>
            <color indexed="81"/>
            <rFont val="Tahoma"/>
            <family val="2"/>
          </rPr>
          <t>REC.849</t>
        </r>
      </text>
    </comment>
    <comment ref="AU26" authorId="0" shapeId="0" xr:uid="{0723A7F6-E1C5-44C4-AF94-2A2BE0B5661D}">
      <text>
        <r>
          <rPr>
            <b/>
            <sz val="9"/>
            <color indexed="81"/>
            <rFont val="Tahoma"/>
            <family val="2"/>
          </rPr>
          <t>REC.790</t>
        </r>
      </text>
    </comment>
    <comment ref="AV26" authorId="0" shapeId="0" xr:uid="{B314D2CF-E572-4AC8-8EFB-8DA1AFD40CCD}">
      <text>
        <r>
          <rPr>
            <b/>
            <sz val="9"/>
            <color indexed="81"/>
            <rFont val="Tahoma"/>
            <family val="2"/>
          </rPr>
          <t>REC.790</t>
        </r>
      </text>
    </comment>
    <comment ref="AQ27" authorId="0" shapeId="0" xr:uid="{43D52C05-CCBB-48E6-AEA5-0CEB266A8936}">
      <text>
        <r>
          <rPr>
            <b/>
            <sz val="9"/>
            <color indexed="81"/>
            <rFont val="Tahoma"/>
            <family val="2"/>
          </rPr>
          <t>(TRANSACCION NRO 06082026/295/398/003/1490-15.000 BS);(TRANSACCION NRO 07082026/295/398/066/4274-35.000 BS)</t>
        </r>
      </text>
    </comment>
    <comment ref="AS27" authorId="0" shapeId="0" xr:uid="{D07C5DB1-4C5D-4AD2-AA82-439DBFC1E0E2}">
      <text>
        <r>
          <rPr>
            <b/>
            <sz val="9"/>
            <color indexed="81"/>
            <rFont val="Tahoma"/>
            <family val="2"/>
          </rPr>
          <t>(TRANSACCION NRO 08082026/295/398/014/5465-30.000 BS);(TRANSACCION NRO 08082026/295/398/017/8651-30.000 BS);(TRANSACCION NRO 08082026/295/398/030/0501-8.888,41 BS)</t>
        </r>
      </text>
    </comment>
    <comment ref="AU28" authorId="0" shapeId="0" xr:uid="{3D2FCBB5-B388-4B2C-BB58-1FD2317A6A86}">
      <text>
        <r>
          <rPr>
            <b/>
            <sz val="9"/>
            <color indexed="81"/>
            <rFont val="Tahoma"/>
            <family val="2"/>
          </rPr>
          <t>REC.850</t>
        </r>
      </text>
    </comment>
    <comment ref="AV28" authorId="0" shapeId="0" xr:uid="{E0A2D678-74F7-44EC-9589-39A1ACB0164D}">
      <text>
        <r>
          <rPr>
            <b/>
            <sz val="9"/>
            <color indexed="81"/>
            <rFont val="Tahoma"/>
            <family val="2"/>
          </rPr>
          <t>REC.850</t>
        </r>
      </text>
    </comment>
    <comment ref="AV29" authorId="0" shapeId="0" xr:uid="{1D17838B-34D7-4513-867B-B47C7E744DAC}">
      <text>
        <r>
          <rPr>
            <b/>
            <sz val="9"/>
            <color indexed="81"/>
            <rFont val="Tahoma"/>
            <family val="2"/>
          </rPr>
          <t>REC.801</t>
        </r>
      </text>
    </comment>
    <comment ref="AV34" authorId="0" shapeId="0" xr:uid="{ACF61B6D-87B4-44F6-B0D8-3DAF6747E267}">
      <text>
        <r>
          <rPr>
            <b/>
            <sz val="9"/>
            <color indexed="81"/>
            <rFont val="Tahoma"/>
            <family val="2"/>
          </rPr>
          <t>REC.877</t>
        </r>
      </text>
    </comment>
    <comment ref="AU35" authorId="0" shapeId="0" xr:uid="{2F2D5A8A-CA43-43BA-90C0-DDC8990051C8}">
      <text>
        <r>
          <rPr>
            <b/>
            <sz val="9"/>
            <color indexed="81"/>
            <rFont val="Tahoma"/>
            <family val="2"/>
          </rPr>
          <t>RE3C.805</t>
        </r>
      </text>
    </comment>
    <comment ref="AV35" authorId="0" shapeId="0" xr:uid="{BE9945D0-86D4-4D5F-B2FA-129A2F005F7A}">
      <text>
        <r>
          <rPr>
            <b/>
            <sz val="9"/>
            <color indexed="81"/>
            <rFont val="Tahoma"/>
            <family val="2"/>
          </rPr>
          <t>REC.805</t>
        </r>
      </text>
    </comment>
    <comment ref="AU36" authorId="0" shapeId="0" xr:uid="{8E069AD8-7562-4807-B493-8AA9F1D15F54}">
      <text>
        <r>
          <rPr>
            <b/>
            <sz val="9"/>
            <color indexed="81"/>
            <rFont val="Tahoma"/>
            <family val="2"/>
          </rPr>
          <t xml:space="preserve">PRODUCTO QUE NO SE REPUSO AL 11/08/2026
</t>
        </r>
      </text>
    </comment>
    <comment ref="AV36" authorId="0" shapeId="0" xr:uid="{2846A431-B258-41BD-B3DC-A1A7CF36123F}">
      <text>
        <r>
          <rPr>
            <b/>
            <sz val="9"/>
            <color indexed="81"/>
            <rFont val="Tahoma"/>
            <family val="2"/>
          </rPr>
          <t>REC.808 (816 BS CORRESPONDE A JULIO)</t>
        </r>
      </text>
    </comment>
    <comment ref="AU38" authorId="0" shapeId="0" xr:uid="{97FB0DDE-3DD6-4F95-B2A9-0F90EE1C7812}">
      <text>
        <r>
          <rPr>
            <b/>
            <sz val="9"/>
            <color indexed="81"/>
            <rFont val="Tahoma"/>
            <family val="2"/>
          </rPr>
          <t>REC.814</t>
        </r>
      </text>
    </comment>
    <comment ref="AV38" authorId="0" shapeId="0" xr:uid="{1ED85509-370A-4693-82A5-DAEAF60B6243}">
      <text>
        <r>
          <rPr>
            <b/>
            <sz val="9"/>
            <color indexed="81"/>
            <rFont val="Tahoma"/>
            <family val="2"/>
          </rPr>
          <t>REC.814 (4.636 BS CORRESPONDE A JULIO)</t>
        </r>
      </text>
    </comment>
    <comment ref="AU39" authorId="0" shapeId="0" xr:uid="{8756C0C0-7AFC-497C-B3E3-8F1FE2BD6272}">
      <text>
        <r>
          <rPr>
            <b/>
            <sz val="9"/>
            <color indexed="81"/>
            <rFont val="Tahoma"/>
            <family val="2"/>
          </rPr>
          <t>REC.815</t>
        </r>
      </text>
    </comment>
    <comment ref="AV39" authorId="0" shapeId="0" xr:uid="{295F9EB6-59BD-4413-ADC7-5272C7FD1972}">
      <text>
        <r>
          <rPr>
            <b/>
            <sz val="9"/>
            <color indexed="81"/>
            <rFont val="Tahoma"/>
            <family val="2"/>
          </rPr>
          <t xml:space="preserve">REC.815 </t>
        </r>
      </text>
    </comment>
    <comment ref="AU40" authorId="0" shapeId="0" xr:uid="{57006002-B6A2-4036-B381-50AA273C448E}">
      <text>
        <r>
          <rPr>
            <b/>
            <sz val="9"/>
            <color indexed="81"/>
            <rFont val="Tahoma"/>
            <family val="2"/>
          </rPr>
          <t>REC. 839</t>
        </r>
      </text>
    </comment>
    <comment ref="AV40" authorId="0" shapeId="0" xr:uid="{CF5F8492-63A3-4886-91C2-7F23412A6049}">
      <text>
        <r>
          <rPr>
            <b/>
            <sz val="9"/>
            <color indexed="81"/>
            <rFont val="Tahoma"/>
            <family val="2"/>
          </rPr>
          <t>REC.839 (952 BS CORRESPONDE A JULIO)</t>
        </r>
      </text>
    </comment>
    <comment ref="AI41" authorId="0" shapeId="0" xr:uid="{ECC88F0F-BF88-4567-9ACB-44185B6F72DB}">
      <text>
        <r>
          <rPr>
            <b/>
            <sz val="9"/>
            <color indexed="81"/>
            <rFont val="Tahoma"/>
            <family val="2"/>
          </rPr>
          <t>T/C AL 13/08/2026 11.66</t>
        </r>
      </text>
    </comment>
    <comment ref="AV44" authorId="0" shapeId="0" xr:uid="{B9EB6122-7FAD-4960-AE22-7AADD0AA6BE7}">
      <text>
        <r>
          <rPr>
            <b/>
            <sz val="9"/>
            <color indexed="81"/>
            <rFont val="Tahoma"/>
            <family val="2"/>
          </rPr>
          <t>REC.865</t>
        </r>
      </text>
    </comment>
    <comment ref="AV45" authorId="0" shapeId="0" xr:uid="{22B50EFB-8D08-4829-BFB9-FB9B90277F50}">
      <text>
        <r>
          <rPr>
            <b/>
            <sz val="9"/>
            <color indexed="81"/>
            <rFont val="Tahoma"/>
            <family val="2"/>
          </rPr>
          <t>REC.865</t>
        </r>
      </text>
    </comment>
    <comment ref="AV47" authorId="0" shapeId="0" xr:uid="{892EB810-71C1-4E75-B108-209105938929}">
      <text>
        <r>
          <rPr>
            <b/>
            <sz val="9"/>
            <color indexed="81"/>
            <rFont val="Tahoma"/>
            <family val="2"/>
          </rPr>
          <t>REC.841 (324 BS CORRESPONDEN A JULIO)</t>
        </r>
      </text>
    </comment>
    <comment ref="AV49" authorId="0" shapeId="0" xr:uid="{025604D0-D822-42C2-8C23-6B5ACFBF645D}">
      <text>
        <r>
          <rPr>
            <b/>
            <sz val="9"/>
            <color indexed="81"/>
            <rFont val="Tahoma"/>
            <family val="2"/>
          </rPr>
          <t>REC.845</t>
        </r>
      </text>
    </comment>
    <comment ref="F50" authorId="0" shapeId="0" xr:uid="{464B4428-76D0-40D9-9767-704CFCE2A560}">
      <text>
        <r>
          <rPr>
            <b/>
            <sz val="9"/>
            <color indexed="81"/>
            <rFont val="Tahoma"/>
            <family val="2"/>
          </rPr>
          <t>RUBEN CAMACHO</t>
        </r>
      </text>
    </comment>
    <comment ref="AV50" authorId="0" shapeId="0" xr:uid="{A07B9597-4919-423D-8FC0-2974E98BAC59}">
      <text>
        <r>
          <rPr>
            <b/>
            <sz val="9"/>
            <color indexed="81"/>
            <rFont val="Tahoma"/>
            <family val="2"/>
          </rPr>
          <t>REC.836</t>
        </r>
      </text>
    </comment>
    <comment ref="AV51" authorId="0" shapeId="0" xr:uid="{D39B5B93-6D35-4420-AF2E-0FD47879B73C}">
      <text>
        <r>
          <rPr>
            <b/>
            <sz val="9"/>
            <color indexed="81"/>
            <rFont val="Tahoma"/>
            <family val="2"/>
          </rPr>
          <t>REC.846</t>
        </r>
      </text>
    </comment>
    <comment ref="AV52" authorId="0" shapeId="0" xr:uid="{2846B17C-0DA8-4C9C-821E-4E31E4CFF999}">
      <text>
        <r>
          <rPr>
            <b/>
            <sz val="9"/>
            <color indexed="81"/>
            <rFont val="Tahoma"/>
            <family val="2"/>
          </rPr>
          <t>REC.868</t>
        </r>
      </text>
    </comment>
    <comment ref="AU53" authorId="0" shapeId="0" xr:uid="{B076CF79-659F-4A87-96FE-49CF0CFA71F6}">
      <text>
        <r>
          <rPr>
            <b/>
            <sz val="9"/>
            <color indexed="81"/>
            <rFont val="Tahoma"/>
            <family val="2"/>
          </rPr>
          <t>REC.853</t>
        </r>
      </text>
    </comment>
    <comment ref="AV53" authorId="0" shapeId="0" xr:uid="{0866529D-0D46-4496-8DC0-2E064588AC02}">
      <text>
        <r>
          <rPr>
            <b/>
            <sz val="9"/>
            <color indexed="81"/>
            <rFont val="Tahoma"/>
            <family val="2"/>
          </rPr>
          <t>REC.853</t>
        </r>
      </text>
    </comment>
  </commentList>
</comments>
</file>

<file path=xl/sharedStrings.xml><?xml version="1.0" encoding="utf-8"?>
<sst xmlns="http://schemas.openxmlformats.org/spreadsheetml/2006/main" count="261" uniqueCount="118">
  <si>
    <t>NOTA DE VENTA</t>
  </si>
  <si>
    <t>FECHA</t>
  </si>
  <si>
    <t>CLIENTE</t>
  </si>
  <si>
    <t>CHOFER</t>
  </si>
  <si>
    <t xml:space="preserve">PLACA DEL CAMION </t>
  </si>
  <si>
    <t xml:space="preserve">NOTA DE ENTREGA </t>
  </si>
  <si>
    <t>Nº</t>
  </si>
  <si>
    <t>TOTAL</t>
  </si>
  <si>
    <t>CANTIDAD DE CAMIONES</t>
  </si>
  <si>
    <t>DESTINO</t>
  </si>
  <si>
    <t>Sucre</t>
  </si>
  <si>
    <t>DEPARTAMENTO</t>
  </si>
  <si>
    <t>Total general</t>
  </si>
  <si>
    <t>Suma de CANTIDAD DE CAMIONES</t>
  </si>
  <si>
    <t>DISTRIBUIDORES</t>
  </si>
  <si>
    <t>CONTROL VENTA POR DEPARTAMENTO</t>
  </si>
  <si>
    <t>CONTROL VENTA POR DISTRIBUIDOR</t>
  </si>
  <si>
    <t>MEGA 12R</t>
  </si>
  <si>
    <t>MEGA 2ª</t>
  </si>
  <si>
    <t>MEGA 3º</t>
  </si>
  <si>
    <t>LUX 6R</t>
  </si>
  <si>
    <t>LUX 12R</t>
  </si>
  <si>
    <t>LUX 24R</t>
  </si>
  <si>
    <t>SERV 2ª</t>
  </si>
  <si>
    <t>Frecuencia de despacho</t>
  </si>
  <si>
    <t>FRECUENCIA DE DESTINO</t>
  </si>
  <si>
    <t>TOTAL VENTA</t>
  </si>
  <si>
    <t>IMPORTE NETO</t>
  </si>
  <si>
    <t>BANDEO (Serv 50u) X Uds</t>
  </si>
  <si>
    <t>PRODUCTOS DESPACHADOS</t>
  </si>
  <si>
    <t>TOALLA COCINA
2ª</t>
  </si>
  <si>
    <t>PAGO #1</t>
  </si>
  <si>
    <t>PAGO #2</t>
  </si>
  <si>
    <t>PAGO #3</t>
  </si>
  <si>
    <t>BANCO UNION_1</t>
  </si>
  <si>
    <t>BANCO BNB_1</t>
  </si>
  <si>
    <t>BANCO UNION-2</t>
  </si>
  <si>
    <t>BANCO UNION_3</t>
  </si>
  <si>
    <t>TOTAL CANCELADO</t>
  </si>
  <si>
    <t>TOTAL
BANCO UNION</t>
  </si>
  <si>
    <t>TOTAL
BANCO BNB</t>
  </si>
  <si>
    <t>SALDOS</t>
  </si>
  <si>
    <t>CAJA</t>
  </si>
  <si>
    <t>Suma de MEGA 12R</t>
  </si>
  <si>
    <t>Suma de LUX 24R</t>
  </si>
  <si>
    <t>Suma de LUX 12R</t>
  </si>
  <si>
    <t>Suma de LUX 6R</t>
  </si>
  <si>
    <t>SALDO ANTERIOR</t>
  </si>
  <si>
    <t>DÓLAR
$us</t>
  </si>
  <si>
    <t>CONTROL NOTAS DE VENTA Y PAGOS</t>
  </si>
  <si>
    <t>CONTROL DE PRODUCTOS VENDIDOS POR DEPARTAMENTO</t>
  </si>
  <si>
    <t>BANDEO (Serv 50u)  88uds.</t>
  </si>
  <si>
    <t>COLILLAS
plasticos
KG</t>
  </si>
  <si>
    <t>Suma de TOTAL VENTA</t>
  </si>
  <si>
    <t>SERV 500X6
.</t>
  </si>
  <si>
    <t>SERV 200X12
.</t>
  </si>
  <si>
    <t>TOALLA COCINA
.</t>
  </si>
  <si>
    <t>ECOPACK 6R</t>
  </si>
  <si>
    <t>ECOPACK
12R</t>
  </si>
  <si>
    <t>Suma de SERV 500X6
.</t>
  </si>
  <si>
    <t>Suma de TOALLA COCINA
.</t>
  </si>
  <si>
    <t>Suma de ECOPACK 6R</t>
  </si>
  <si>
    <t>Suma de ECOPACK
12R</t>
  </si>
  <si>
    <t>Suma de MEGA 2ª</t>
  </si>
  <si>
    <t>Suma de MEGA 3º</t>
  </si>
  <si>
    <t>Suma de SERV 200X12
.</t>
  </si>
  <si>
    <t>Suma de BANDEO (Serv 50u)  88uds.2</t>
  </si>
  <si>
    <t>Suma de TOALLA COCINA
2ª</t>
  </si>
  <si>
    <t>PUEBLO
2da.</t>
  </si>
  <si>
    <t>Suma de BANDEO (Serv 50u) X Uds</t>
  </si>
  <si>
    <t>Suma de SERV 2ª</t>
  </si>
  <si>
    <t>MEGA 12R
30mtrs</t>
  </si>
  <si>
    <t>Serv. 50ud de 28uds</t>
  </si>
  <si>
    <t>Super Abasto Sur Ltda. SAS</t>
  </si>
  <si>
    <t>PROMOCION</t>
  </si>
  <si>
    <t>DESCUENTOS
BONIFICACION</t>
  </si>
  <si>
    <t>Economico</t>
  </si>
  <si>
    <t>Potosi</t>
  </si>
  <si>
    <t>Ingreso por venta dircta</t>
  </si>
  <si>
    <t>ECOPACK
4R
unidades</t>
  </si>
  <si>
    <t>ECOPACK
4R
Jaba</t>
  </si>
  <si>
    <t>MES DE FEBRERO 2026</t>
  </si>
  <si>
    <t>Ventas en fabrica - Maria</t>
  </si>
  <si>
    <t>Jhaneth Toroya</t>
  </si>
  <si>
    <t>Oruro</t>
  </si>
  <si>
    <t>BANDEO  (papel higienico) 48 unid</t>
  </si>
  <si>
    <t>BANDEO  (papel higienico) x Unid.</t>
  </si>
  <si>
    <t>Victor Esquivel(vendedor potosi)</t>
  </si>
  <si>
    <t>Provincias</t>
  </si>
  <si>
    <t>PAPE HIGIENICO 1 R (20 UNID)</t>
  </si>
  <si>
    <t>Ventas directas de Fabrica-Camion 2</t>
  </si>
  <si>
    <t>5738UPK</t>
  </si>
  <si>
    <t>Suma de DESCUENTOS
BONIFICACION</t>
  </si>
  <si>
    <t>Suma de PROMOCION</t>
  </si>
  <si>
    <t>Suma de IMPORTE NETO</t>
  </si>
  <si>
    <t>Carlos Eduardo Gutierrez Salazar</t>
  </si>
  <si>
    <t>Luis</t>
  </si>
  <si>
    <t>Juan Carlos Bustamante Pinto</t>
  </si>
  <si>
    <t>Ernesto</t>
  </si>
  <si>
    <t>Victor Zarate</t>
  </si>
  <si>
    <t>Luis Miguel Ajhuacho Velasco</t>
  </si>
  <si>
    <t>Tarija</t>
  </si>
  <si>
    <t>Inocencio Cruz Gonzales</t>
  </si>
  <si>
    <t xml:space="preserve">Rudy Quispe Alejo </t>
  </si>
  <si>
    <t>Alto</t>
  </si>
  <si>
    <t>BANCO MERCANTIL STA CRUZ2</t>
  </si>
  <si>
    <t>BANCO BNB_2</t>
  </si>
  <si>
    <t>Pulperia San Francisco</t>
  </si>
  <si>
    <t>Roberto Yucra</t>
  </si>
  <si>
    <t>MERCAMAX S.R.L</t>
  </si>
  <si>
    <t>PATISU</t>
  </si>
  <si>
    <t>La paz</t>
  </si>
  <si>
    <t>Eddy Calizaya</t>
  </si>
  <si>
    <t>Chile</t>
  </si>
  <si>
    <t>Supermercado SOLAR</t>
  </si>
  <si>
    <t>Lesli Carrasco</t>
  </si>
  <si>
    <t>Juan Carlos (Tarabuco)</t>
  </si>
  <si>
    <t>MES DE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</si>
</sst>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Perpetua"/>
      <family val="1"/>
    </font>
    <font>
      <sz val="12"/>
      <color theme="1"/>
      <name val="Perpetua"/>
      <family val="1"/>
    </font>
    <font>
      <b/>
      <sz val="12"/>
      <color theme="1"/>
      <name val="Perpetua"/>
      <family val="1"/>
    </font>
    <font>
      <b/>
      <sz val="12"/>
      <color rgb="FFFFFF00"/>
      <name val="Perpetua"/>
      <family val="1"/>
    </font>
    <font>
      <b/>
      <sz val="10"/>
      <color rgb="FFFFFF00"/>
      <name val="Perpetua"/>
      <family val="1"/>
    </font>
    <font>
      <b/>
      <sz val="10"/>
      <color rgb="FF00002A"/>
      <name val="Perpetua"/>
      <family val="1"/>
    </font>
    <font>
      <b/>
      <sz val="14"/>
      <color rgb="FFFFFF00"/>
      <name val="Perpetua"/>
      <family val="1"/>
    </font>
    <font>
      <sz val="14"/>
      <color theme="1"/>
      <name val="Perpetua"/>
      <family val="1"/>
    </font>
    <font>
      <sz val="8"/>
      <name val="Calibri"/>
      <family val="2"/>
      <scheme val="minor"/>
    </font>
    <font>
      <b/>
      <sz val="14"/>
      <color rgb="FF000066"/>
      <name val="Perpetua"/>
      <family val="1"/>
    </font>
    <font>
      <b/>
      <sz val="18"/>
      <color theme="1"/>
      <name val="Perpetua"/>
      <family val="1"/>
    </font>
    <font>
      <sz val="11"/>
      <color theme="1"/>
      <name val="Perpetua"/>
      <family val="1"/>
    </font>
    <font>
      <b/>
      <sz val="11"/>
      <color rgb="FFFFFF00"/>
      <name val="Perpetua"/>
      <family val="1"/>
    </font>
    <font>
      <b/>
      <i/>
      <sz val="12"/>
      <color theme="0"/>
      <name val="Perpetua"/>
      <family val="1"/>
    </font>
    <font>
      <b/>
      <sz val="10"/>
      <name val="Perpetua"/>
      <family val="1"/>
    </font>
    <font>
      <b/>
      <sz val="9"/>
      <color rgb="FF00002A"/>
      <name val="Perpetua"/>
      <family val="1"/>
    </font>
    <font>
      <b/>
      <sz val="8"/>
      <color rgb="FF00002A"/>
      <name val="Perpetua"/>
      <family val="1"/>
    </font>
    <font>
      <b/>
      <sz val="11"/>
      <color theme="1"/>
      <name val="Calibri"/>
      <family val="2"/>
      <scheme val="minor"/>
    </font>
    <font>
      <sz val="12"/>
      <color theme="1"/>
      <name val="Perpetua"/>
      <family val="1"/>
    </font>
    <font>
      <b/>
      <sz val="9"/>
      <color rgb="FFFFFF00"/>
      <name val="Perpetua"/>
      <family val="1"/>
    </font>
    <font>
      <b/>
      <sz val="14"/>
      <name val="Perpetua"/>
      <family val="1"/>
    </font>
    <font>
      <sz val="10"/>
      <color theme="1"/>
      <name val="Perpetua"/>
      <family val="1"/>
    </font>
    <font>
      <b/>
      <sz val="10"/>
      <color theme="1"/>
      <name val="Perpetua"/>
      <family val="1"/>
    </font>
    <font>
      <sz val="12"/>
      <color theme="1"/>
      <name val="Perpetua"/>
      <family val="1"/>
    </font>
    <font>
      <b/>
      <sz val="9"/>
      <color indexed="81"/>
      <name val="Tahoma"/>
      <family val="2"/>
    </font>
    <font>
      <sz val="12"/>
      <color theme="1"/>
      <name val="Perpetua"/>
      <family val="1"/>
    </font>
    <font>
      <sz val="12"/>
      <color theme="1"/>
      <name val="Perpetua"/>
      <family val="1"/>
    </font>
    <font>
      <sz val="12"/>
      <color theme="1"/>
      <name val="Perpetua"/>
      <family val="1"/>
    </font>
    <font>
      <sz val="12"/>
      <name val="Perpetua"/>
      <family val="1"/>
    </font>
    <font>
      <sz val="11"/>
      <name val="Perpetua"/>
      <family val="1"/>
    </font>
    <font>
      <sz val="8"/>
      <name val="Perpetua"/>
      <family val="1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2A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 style="thin">
        <color indexed="64"/>
      </top>
      <bottom/>
      <diagonal/>
    </border>
    <border>
      <left style="medium">
        <color rgb="FFFFC000"/>
      </left>
      <right style="medium">
        <color rgb="FFFFC000"/>
      </right>
      <top/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medium">
        <color rgb="FFFFC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FFC000"/>
      </right>
      <top style="thin">
        <color indexed="64"/>
      </top>
      <bottom/>
      <diagonal/>
    </border>
    <border>
      <left/>
      <right style="medium">
        <color rgb="FFFFC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medium">
        <color rgb="FFFFC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43" fontId="6" fillId="4" borderId="4" xfId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/>
    <xf numFmtId="0" fontId="4" fillId="0" borderId="0" xfId="0" applyFont="1"/>
    <xf numFmtId="4" fontId="4" fillId="0" borderId="0" xfId="0" applyNumberFormat="1" applyFont="1" applyAlignment="1">
      <alignment vertical="center"/>
    </xf>
    <xf numFmtId="4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43" fontId="12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4" fontId="9" fillId="0" borderId="0" xfId="0" applyNumberFormat="1" applyFont="1" applyAlignment="1">
      <alignment horizontal="center" vertical="top"/>
    </xf>
    <xf numFmtId="43" fontId="10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4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4" borderId="3" xfId="0" applyFont="1" applyFill="1" applyBorder="1" applyAlignment="1">
      <alignment horizontal="center" vertical="center" wrapText="1"/>
    </xf>
    <xf numFmtId="4" fontId="0" fillId="0" borderId="9" xfId="0" applyNumberFormat="1" applyBorder="1"/>
    <xf numFmtId="3" fontId="9" fillId="4" borderId="2" xfId="0" applyNumberFormat="1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3" fontId="4" fillId="5" borderId="1" xfId="0" applyNumberFormat="1" applyFont="1" applyFill="1" applyBorder="1" applyAlignment="1">
      <alignment vertical="center"/>
    </xf>
    <xf numFmtId="0" fontId="17" fillId="7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4" fontId="4" fillId="0" borderId="9" xfId="0" applyNumberFormat="1" applyFont="1" applyBorder="1" applyAlignment="1">
      <alignment horizontal="right" vertical="center"/>
    </xf>
    <xf numFmtId="0" fontId="4" fillId="7" borderId="0" xfId="0" applyFont="1" applyFill="1" applyAlignment="1">
      <alignment vertical="center"/>
    </xf>
    <xf numFmtId="0" fontId="7" fillId="7" borderId="6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4" fontId="17" fillId="3" borderId="0" xfId="0" applyNumberFormat="1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43" fontId="6" fillId="4" borderId="8" xfId="1" applyFont="1" applyFill="1" applyBorder="1" applyAlignment="1">
      <alignment horizontal="center" wrapText="1"/>
    </xf>
    <xf numFmtId="43" fontId="12" fillId="0" borderId="6" xfId="0" applyNumberFormat="1" applyFont="1" applyBorder="1" applyAlignment="1">
      <alignment vertical="center"/>
    </xf>
    <xf numFmtId="4" fontId="9" fillId="0" borderId="0" xfId="0" applyNumberFormat="1" applyFont="1" applyAlignment="1">
      <alignment vertical="top"/>
    </xf>
    <xf numFmtId="0" fontId="20" fillId="0" borderId="0" xfId="0" applyFont="1" applyAlignment="1">
      <alignment horizontal="right"/>
    </xf>
    <xf numFmtId="0" fontId="20" fillId="0" borderId="0" xfId="0" applyFont="1"/>
    <xf numFmtId="0" fontId="21" fillId="0" borderId="1" xfId="0" applyFont="1" applyBorder="1" applyAlignment="1">
      <alignment horizontal="right" vertical="center"/>
    </xf>
    <xf numFmtId="43" fontId="21" fillId="0" borderId="1" xfId="0" applyNumberFormat="1" applyFont="1" applyBorder="1" applyAlignment="1">
      <alignment horizontal="right" vertical="center"/>
    </xf>
    <xf numFmtId="4" fontId="21" fillId="0" borderId="1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43" fontId="22" fillId="4" borderId="8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4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4" fontId="23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center"/>
    </xf>
    <xf numFmtId="4" fontId="9" fillId="4" borderId="2" xfId="0" applyNumberFormat="1" applyFont="1" applyFill="1" applyBorder="1" applyAlignment="1">
      <alignment vertical="center"/>
    </xf>
    <xf numFmtId="0" fontId="11" fillId="7" borderId="16" xfId="0" applyFont="1" applyFill="1" applyBorder="1" applyAlignment="1">
      <alignment horizontal="center" vertical="center" wrapText="1"/>
    </xf>
    <xf numFmtId="4" fontId="11" fillId="7" borderId="9" xfId="0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0" fillId="0" borderId="6" xfId="0" applyBorder="1"/>
    <xf numFmtId="0" fontId="15" fillId="4" borderId="0" xfId="0" applyFont="1" applyFill="1" applyAlignment="1">
      <alignment horizontal="center" vertical="center" wrapText="1"/>
    </xf>
    <xf numFmtId="0" fontId="0" fillId="0" borderId="0" xfId="0" applyBorder="1"/>
    <xf numFmtId="0" fontId="4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0" fontId="4" fillId="11" borderId="1" xfId="0" applyFont="1" applyFill="1" applyBorder="1" applyAlignment="1">
      <alignment vertical="center"/>
    </xf>
    <xf numFmtId="0" fontId="24" fillId="11" borderId="1" xfId="0" applyFont="1" applyFill="1" applyBorder="1" applyAlignment="1">
      <alignment horizontal="left" vertical="center"/>
    </xf>
    <xf numFmtId="0" fontId="2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right" vertical="center"/>
    </xf>
    <xf numFmtId="4" fontId="4" fillId="11" borderId="1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vertical="center"/>
    </xf>
    <xf numFmtId="43" fontId="12" fillId="0" borderId="0" xfId="0" applyNumberFormat="1" applyFont="1" applyBorder="1" applyAlignment="1">
      <alignment vertical="center"/>
    </xf>
    <xf numFmtId="0" fontId="4" fillId="11" borderId="15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right" vertical="center"/>
    </xf>
    <xf numFmtId="43" fontId="21" fillId="11" borderId="1" xfId="0" applyNumberFormat="1" applyFont="1" applyFill="1" applyBorder="1" applyAlignment="1">
      <alignment horizontal="right" vertical="center"/>
    </xf>
    <xf numFmtId="4" fontId="21" fillId="11" borderId="1" xfId="0" applyNumberFormat="1" applyFont="1" applyFill="1" applyBorder="1" applyAlignment="1">
      <alignment horizontal="right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right" vertical="center"/>
    </xf>
    <xf numFmtId="0" fontId="26" fillId="0" borderId="1" xfId="0" applyFont="1" applyFill="1" applyBorder="1" applyAlignment="1">
      <alignment horizontal="right" vertical="center"/>
    </xf>
    <xf numFmtId="0" fontId="26" fillId="0" borderId="1" xfId="0" applyNumberFormat="1" applyFont="1" applyBorder="1" applyAlignment="1">
      <alignment horizontal="right" vertical="center"/>
    </xf>
    <xf numFmtId="43" fontId="26" fillId="0" borderId="1" xfId="0" applyNumberFormat="1" applyFont="1" applyBorder="1" applyAlignment="1">
      <alignment horizontal="right" vertical="center"/>
    </xf>
    <xf numFmtId="4" fontId="26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NumberFormat="1" applyFont="1" applyFill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0" fontId="28" fillId="0" borderId="1" xfId="0" applyFont="1" applyFill="1" applyBorder="1" applyAlignment="1">
      <alignment horizontal="right" vertical="center"/>
    </xf>
    <xf numFmtId="0" fontId="28" fillId="0" borderId="1" xfId="0" applyNumberFormat="1" applyFont="1" applyBorder="1" applyAlignment="1">
      <alignment horizontal="right" vertical="center"/>
    </xf>
    <xf numFmtId="43" fontId="28" fillId="0" borderId="1" xfId="0" applyNumberFormat="1" applyFont="1" applyBorder="1" applyAlignment="1">
      <alignment horizontal="right" vertical="center"/>
    </xf>
    <xf numFmtId="4" fontId="28" fillId="0" borderId="1" xfId="0" applyNumberFormat="1" applyFont="1" applyFill="1" applyBorder="1" applyAlignment="1">
      <alignment horizontal="right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right" vertical="center"/>
    </xf>
    <xf numFmtId="0" fontId="29" fillId="0" borderId="1" xfId="0" applyFont="1" applyBorder="1" applyAlignment="1">
      <alignment horizontal="right" vertical="center"/>
    </xf>
    <xf numFmtId="0" fontId="29" fillId="0" borderId="1" xfId="0" applyFont="1" applyFill="1" applyBorder="1" applyAlignment="1">
      <alignment horizontal="right" vertical="center"/>
    </xf>
    <xf numFmtId="0" fontId="29" fillId="0" borderId="1" xfId="0" applyNumberFormat="1" applyFont="1" applyBorder="1" applyAlignment="1">
      <alignment horizontal="right" vertical="center"/>
    </xf>
    <xf numFmtId="43" fontId="29" fillId="0" borderId="1" xfId="0" applyNumberFormat="1" applyFont="1" applyBorder="1" applyAlignment="1">
      <alignment horizontal="right" vertical="center"/>
    </xf>
    <xf numFmtId="4" fontId="29" fillId="0" borderId="1" xfId="0" applyNumberFormat="1" applyFont="1" applyFill="1" applyBorder="1" applyAlignment="1">
      <alignment horizontal="right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1" xfId="0" applyNumberFormat="1" applyFont="1" applyFill="1" applyBorder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0" fontId="30" fillId="0" borderId="1" xfId="0" applyFont="1" applyFill="1" applyBorder="1" applyAlignment="1">
      <alignment horizontal="right" vertical="center"/>
    </xf>
    <xf numFmtId="0" fontId="30" fillId="0" borderId="1" xfId="0" applyNumberFormat="1" applyFont="1" applyBorder="1" applyAlignment="1">
      <alignment horizontal="right" vertical="center"/>
    </xf>
    <xf numFmtId="43" fontId="30" fillId="0" borderId="1" xfId="0" applyNumberFormat="1" applyFont="1" applyBorder="1" applyAlignment="1">
      <alignment horizontal="right" vertical="center"/>
    </xf>
    <xf numFmtId="4" fontId="30" fillId="0" borderId="1" xfId="0" applyNumberFormat="1" applyFont="1" applyFill="1" applyBorder="1" applyAlignment="1">
      <alignment horizontal="right" vertical="center"/>
    </xf>
    <xf numFmtId="0" fontId="28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left" vertical="center"/>
    </xf>
    <xf numFmtId="0" fontId="28" fillId="11" borderId="1" xfId="0" applyNumberFormat="1" applyFont="1" applyFill="1" applyBorder="1" applyAlignment="1">
      <alignment horizontal="right" vertical="center"/>
    </xf>
    <xf numFmtId="0" fontId="28" fillId="11" borderId="1" xfId="0" applyFont="1" applyFill="1" applyBorder="1" applyAlignment="1">
      <alignment horizontal="right" vertical="center"/>
    </xf>
    <xf numFmtId="43" fontId="28" fillId="11" borderId="1" xfId="0" applyNumberFormat="1" applyFont="1" applyFill="1" applyBorder="1" applyAlignment="1">
      <alignment horizontal="right" vertical="center"/>
    </xf>
    <xf numFmtId="4" fontId="28" fillId="11" borderId="1" xfId="0" applyNumberFormat="1" applyFont="1" applyFill="1" applyBorder="1" applyAlignment="1">
      <alignment horizontal="right" vertical="center"/>
    </xf>
    <xf numFmtId="0" fontId="26" fillId="11" borderId="1" xfId="0" applyFont="1" applyFill="1" applyBorder="1" applyAlignment="1">
      <alignment horizontal="center" vertical="center"/>
    </xf>
    <xf numFmtId="0" fontId="26" fillId="11" borderId="1" xfId="0" applyNumberFormat="1" applyFont="1" applyFill="1" applyBorder="1" applyAlignment="1">
      <alignment horizontal="right" vertical="center"/>
    </xf>
    <xf numFmtId="0" fontId="26" fillId="11" borderId="1" xfId="0" applyFont="1" applyFill="1" applyBorder="1" applyAlignment="1">
      <alignment horizontal="right" vertical="center"/>
    </xf>
    <xf numFmtId="43" fontId="26" fillId="11" borderId="1" xfId="0" applyNumberFormat="1" applyFont="1" applyFill="1" applyBorder="1" applyAlignment="1">
      <alignment horizontal="right" vertical="center"/>
    </xf>
    <xf numFmtId="4" fontId="26" fillId="11" borderId="1" xfId="0" applyNumberFormat="1" applyFont="1" applyFill="1" applyBorder="1" applyAlignment="1">
      <alignment horizontal="right" vertical="center"/>
    </xf>
    <xf numFmtId="0" fontId="11" fillId="7" borderId="9" xfId="0" applyNumberFormat="1" applyFont="1" applyFill="1" applyBorder="1" applyAlignment="1">
      <alignment horizontal="center" vertical="center" wrapText="1"/>
    </xf>
    <xf numFmtId="4" fontId="32" fillId="0" borderId="9" xfId="0" applyNumberFormat="1" applyFont="1" applyFill="1" applyBorder="1" applyAlignment="1"/>
    <xf numFmtId="4" fontId="33" fillId="7" borderId="1" xfId="0" applyNumberFormat="1" applyFont="1" applyFill="1" applyBorder="1" applyAlignment="1">
      <alignment horizontal="center" vertical="center" wrapText="1"/>
    </xf>
    <xf numFmtId="0" fontId="33" fillId="7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/>
    <xf numFmtId="0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4" fontId="10" fillId="0" borderId="1" xfId="0" applyNumberFormat="1" applyFont="1" applyBorder="1"/>
    <xf numFmtId="0" fontId="10" fillId="0" borderId="1" xfId="0" applyNumberFormat="1" applyFont="1" applyBorder="1"/>
    <xf numFmtId="0" fontId="15" fillId="4" borderId="8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4" fontId="31" fillId="0" borderId="1" xfId="0" applyNumberFormat="1" applyFont="1" applyFill="1" applyBorder="1" applyAlignment="1"/>
    <xf numFmtId="0" fontId="4" fillId="0" borderId="17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4" fontId="16" fillId="6" borderId="1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8">
    <cellStyle name="Millares" xfId="1" builtinId="3"/>
    <cellStyle name="Millares 2" xfId="3" xr:uid="{00000000-0005-0000-0000-000001000000}"/>
    <cellStyle name="Millares 2 2" xfId="5" xr:uid="{844B5910-00E7-407F-8061-3F5FE9FDEEE2}"/>
    <cellStyle name="Millares 2 3" xfId="7" xr:uid="{D0D4651D-5C1D-4381-AFB1-9E828DC6E2C8}"/>
    <cellStyle name="Millares 3" xfId="4" xr:uid="{D5FE985F-D59B-46B0-8E18-C519BA2C3022}"/>
    <cellStyle name="Millares 4" xfId="6" xr:uid="{EA01842A-E751-4C86-ACEE-D9A25F0D0C67}"/>
    <cellStyle name="Normal" xfId="0" builtinId="0"/>
    <cellStyle name="Normal 2" xfId="2" xr:uid="{00000000-0005-0000-0000-000003000000}"/>
  </cellStyles>
  <dxfs count="147">
    <dxf>
      <font>
        <sz val="8"/>
        <color auto="1"/>
      </font>
      <numFmt numFmtId="0" formatCode="General"/>
      <fill>
        <patternFill patternType="solid">
          <fgColor indexed="64"/>
          <bgColor rgb="FFFF3300"/>
        </patternFill>
      </fill>
      <alignment horizontal="center" vertical="center" wrapText="1"/>
    </dxf>
    <dxf>
      <font>
        <sz val="8"/>
        <color auto="1"/>
      </font>
      <fill>
        <patternFill patternType="solid">
          <fgColor indexed="64"/>
          <bgColor rgb="FFFF3300"/>
        </patternFill>
      </fill>
      <alignment horizontal="center" vertical="center" wrapText="1"/>
    </dxf>
    <dxf>
      <font>
        <sz val="8"/>
        <color auto="1"/>
      </font>
      <fill>
        <patternFill patternType="solid">
          <fgColor indexed="64"/>
          <bgColor rgb="FFFF3300"/>
        </patternFill>
      </fill>
      <alignment horizontal="center" vertical="center" wrapText="1"/>
    </dxf>
    <dxf>
      <font>
        <sz val="8"/>
        <color auto="1"/>
      </font>
      <fill>
        <patternFill patternType="solid">
          <fgColor indexed="64"/>
          <bgColor rgb="FFFF3300"/>
        </patternFill>
      </fill>
      <alignment horizontal="center" vertical="center" wrapText="1"/>
    </dxf>
    <dxf>
      <font>
        <sz val="8"/>
        <color auto="1"/>
      </font>
      <fill>
        <patternFill patternType="solid">
          <fgColor indexed="64"/>
          <bgColor rgb="FFFF3300"/>
        </patternFill>
      </fill>
      <alignment horizontal="center" vertical="center" wrapText="1"/>
    </dxf>
    <dxf>
      <font>
        <sz val="8"/>
      </font>
    </dxf>
    <dxf>
      <fill>
        <patternFill>
          <bgColor rgb="FFFF3300"/>
        </patternFill>
      </fill>
    </dxf>
    <dxf>
      <font>
        <color auto="1"/>
      </font>
    </dxf>
    <dxf>
      <border>
        <vertical style="thin">
          <color indexed="64"/>
        </vertic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right style="medium">
          <color rgb="FFFFC000"/>
        </right>
        <top style="medium">
          <color rgb="FFFFC000"/>
        </top>
        <bottom style="medium">
          <color rgb="FFFFC000"/>
        </bottom>
        <vertical style="medium">
          <color rgb="FFFFC000"/>
        </vertical>
      </border>
    </dxf>
    <dxf>
      <fill>
        <patternFill patternType="solid">
          <bgColor rgb="FF00002A"/>
        </patternFill>
      </fill>
    </dxf>
    <dxf>
      <font>
        <color rgb="FFFFFF00"/>
      </font>
    </dxf>
    <dxf>
      <alignment vertical="center"/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right style="medium">
          <color rgb="FFFFC000"/>
        </right>
      </border>
    </dxf>
    <dxf>
      <font>
        <sz val="11"/>
      </font>
    </dxf>
    <dxf>
      <numFmt numFmtId="4" formatCode="#,##0.00"/>
    </dxf>
    <dxf>
      <font>
        <sz val="12"/>
      </font>
    </dxf>
    <dxf>
      <font>
        <sz val="12"/>
      </font>
    </dxf>
    <dxf>
      <font>
        <name val="Perpetua"/>
        <scheme val="none"/>
      </font>
    </dxf>
    <dxf>
      <font>
        <name val="Perpetua"/>
        <scheme val="none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sz val="12"/>
        <name val="Perpetua"/>
        <scheme val="none"/>
      </font>
    </dxf>
    <dxf>
      <font>
        <sz val="12"/>
        <name val="Perpetua"/>
        <scheme val="none"/>
      </font>
    </dxf>
    <dxf>
      <border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font>
        <b/>
        <color rgb="FFFFFF00"/>
        <name val="Perpetua"/>
        <family val="1"/>
        <scheme val="none"/>
      </font>
      <fill>
        <patternFill patternType="solid">
          <fgColor indexed="64"/>
          <bgColor rgb="FF00002A"/>
        </patternFill>
      </fill>
      <alignment horizontal="center" vertical="center" wrapText="1"/>
    </dxf>
    <dxf>
      <font>
        <b val="0"/>
      </font>
    </dxf>
    <dxf>
      <font>
        <color auto="1"/>
      </font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/>
    </dxf>
    <dxf>
      <font>
        <b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border>
        <right style="medium">
          <color rgb="FFFFC000"/>
        </right>
      </border>
    </dxf>
    <dxf>
      <border>
        <right style="medium">
          <color rgb="FFFFC000"/>
        </right>
      </border>
    </dxf>
    <dxf>
      <font>
        <sz val="11"/>
      </font>
    </dxf>
    <dxf>
      <font>
        <sz val="11"/>
      </font>
    </dxf>
    <dxf>
      <numFmt numFmtId="4" formatCode="#,##0.00"/>
    </dxf>
    <dxf>
      <font>
        <sz val="12"/>
      </font>
    </dxf>
    <dxf>
      <font>
        <sz val="12"/>
      </font>
    </dxf>
    <dxf>
      <font>
        <name val="Perpetua"/>
        <scheme val="none"/>
      </font>
    </dxf>
    <dxf>
      <font>
        <name val="Perpetua"/>
        <scheme val="none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sz val="12"/>
        <name val="Perpetua"/>
        <scheme val="none"/>
      </font>
    </dxf>
    <dxf>
      <font>
        <sz val="12"/>
        <name val="Perpetua"/>
        <scheme val="none"/>
      </font>
    </dxf>
    <dxf>
      <numFmt numFmtId="4" formatCode="#,##0.00"/>
    </dxf>
    <dxf>
      <font>
        <b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wrapText="1"/>
    </dxf>
    <dxf>
      <border>
        <right style="medium">
          <color rgb="FFFFC000"/>
        </right>
      </border>
    </dxf>
    <dxf>
      <border>
        <right style="medium">
          <color rgb="FFFFC000"/>
        </right>
      </border>
    </dxf>
    <dxf>
      <font>
        <sz val="11"/>
      </font>
    </dxf>
    <dxf>
      <font>
        <sz val="11"/>
      </font>
    </dxf>
    <dxf>
      <numFmt numFmtId="4" formatCode="#,##0.00"/>
    </dxf>
    <dxf>
      <border>
        <left style="thin">
          <color indexed="64"/>
        </left>
      </border>
    </dxf>
    <dxf>
      <font>
        <sz val="14"/>
      </font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</dxf>
    <dxf>
      <font>
        <b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/>
    </dxf>
    <dxf>
      <alignment wrapText="1"/>
    </dxf>
    <dxf>
      <fill>
        <patternFill>
          <bgColor rgb="FF00002A"/>
        </patternFill>
      </fill>
    </dxf>
    <dxf>
      <font>
        <sz val="14"/>
      </font>
    </dxf>
    <dxf>
      <font>
        <b/>
        <color rgb="FFFFFF00"/>
      </font>
      <fill>
        <patternFill patternType="solid">
          <fgColor indexed="64"/>
          <bgColor rgb="FF00002A"/>
        </patternFill>
      </fill>
      <alignment horizontal="center" vertical="center" wrapText="1" readingOrder="0"/>
    </dxf>
    <dxf>
      <font>
        <sz val="12"/>
      </font>
    </dxf>
    <dxf>
      <font>
        <sz val="12"/>
      </font>
    </dxf>
    <dxf>
      <font>
        <sz val="12"/>
      </font>
    </dxf>
    <dxf>
      <font>
        <name val="Perpetua"/>
        <scheme val="none"/>
      </font>
    </dxf>
    <dxf>
      <font>
        <name val="Perpetua"/>
        <scheme val="none"/>
      </font>
    </dxf>
    <dxf>
      <font>
        <name val="Perpetua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35" formatCode="_-* #,##0.00_-;\-* #,##0.00_-;_-* &quot;-&quot;??_-;_-@_-"/>
      <fill>
        <patternFill patternType="none">
          <fgColor indexed="64"/>
          <bgColor rgb="FF33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35" formatCode="_-* #,##0.00_-;\-* #,##0.0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35" formatCode="_-* #,##0.00_-;\-* #,##0.0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family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erpetua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numFmt numFmtId="164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erpetua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Perpetua"/>
        <scheme val="none"/>
      </font>
      <fill>
        <patternFill patternType="solid">
          <fgColor indexed="64"/>
          <bgColor rgb="FF00002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  <color rgb="FFFF99CC"/>
      <color rgb="FFFF0066"/>
      <color rgb="FFCC0000"/>
      <color rgb="FF00002A"/>
      <color rgb="FF660033"/>
      <color rgb="FF000066"/>
      <color rgb="FF9999FF"/>
      <color rgb="FF8C2DD3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[5_CONTROL NOTAS DE VENTA AGOSTO_2026 - copia.XLSX]PRODUCTOS X DPTO!TablaDinámica1</c:name>
    <c:fmtId val="0"/>
  </c:pivotSource>
  <c:chart>
    <c:autoTitleDeleted val="0"/>
    <c:pivotFmts>
      <c:pivotFmt>
        <c:idx val="0"/>
        <c:spPr>
          <a:solidFill>
            <a:srgbClr val="FF006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99F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C2DD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003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3CCC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'PRODUCTOS X DPTO'!$D$10</c:f>
              <c:strCache>
                <c:ptCount val="1"/>
                <c:pt idx="0">
                  <c:v>Suma de MEGA 12R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DPTO'!$D$11:$D$19</c:f>
              <c:numCache>
                <c:formatCode>General</c:formatCode>
                <c:ptCount val="8"/>
                <c:pt idx="0">
                  <c:v>10044</c:v>
                </c:pt>
                <c:pt idx="1">
                  <c:v>6306</c:v>
                </c:pt>
                <c:pt idx="2">
                  <c:v>5947</c:v>
                </c:pt>
                <c:pt idx="3">
                  <c:v>3581</c:v>
                </c:pt>
                <c:pt idx="4">
                  <c:v>1063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BB5-A04B-6F9EBB0071A9}"/>
            </c:ext>
          </c:extLst>
        </c:ser>
        <c:ser>
          <c:idx val="1"/>
          <c:order val="1"/>
          <c:tx>
            <c:strRef>
              <c:f>'PRODUCTOS X DPTO'!$E$10</c:f>
              <c:strCache>
                <c:ptCount val="1"/>
                <c:pt idx="0">
                  <c:v>Suma de SERV 200X12
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DPTO'!$E$11:$E$19</c:f>
              <c:numCache>
                <c:formatCode>#,##0.00</c:formatCode>
                <c:ptCount val="8"/>
                <c:pt idx="0">
                  <c:v>80</c:v>
                </c:pt>
                <c:pt idx="1">
                  <c:v>100</c:v>
                </c:pt>
                <c:pt idx="2">
                  <c:v>160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3-4BB5-A04B-6F9EBB0071A9}"/>
            </c:ext>
          </c:extLst>
        </c:ser>
        <c:ser>
          <c:idx val="2"/>
          <c:order val="2"/>
          <c:tx>
            <c:strRef>
              <c:f>'PRODUCTOS X DPTO'!$F$10</c:f>
              <c:strCache>
                <c:ptCount val="1"/>
                <c:pt idx="0">
                  <c:v>Suma de LUX 6R</c:v>
                </c:pt>
              </c:strCache>
            </c:strRef>
          </c:tx>
          <c:spPr>
            <a:solidFill>
              <a:srgbClr val="9999FF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DPTO'!$F$11:$F$19</c:f>
              <c:numCache>
                <c:formatCode>#,##0.00</c:formatCode>
                <c:ptCount val="8"/>
                <c:pt idx="0">
                  <c:v>46</c:v>
                </c:pt>
                <c:pt idx="3">
                  <c:v>50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3-4BB5-A04B-6F9EBB0071A9}"/>
            </c:ext>
          </c:extLst>
        </c:ser>
        <c:ser>
          <c:idx val="3"/>
          <c:order val="3"/>
          <c:tx>
            <c:strRef>
              <c:f>'PRODUCTOS X DPTO'!$G$10</c:f>
              <c:strCache>
                <c:ptCount val="1"/>
                <c:pt idx="0">
                  <c:v>Suma de LUX 12R</c:v>
                </c:pt>
              </c:strCache>
            </c:strRef>
          </c:tx>
          <c:spPr>
            <a:solidFill>
              <a:srgbClr val="8C2DD3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DPTO'!$G$11:$G$19</c:f>
              <c:numCache>
                <c:formatCode>#,##0.00</c:formatCode>
                <c:ptCount val="8"/>
                <c:pt idx="0">
                  <c:v>41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F3-4BB5-A04B-6F9EBB0071A9}"/>
            </c:ext>
          </c:extLst>
        </c:ser>
        <c:ser>
          <c:idx val="4"/>
          <c:order val="4"/>
          <c:tx>
            <c:strRef>
              <c:f>'PRODUCTOS X DPTO'!$H$10</c:f>
              <c:strCache>
                <c:ptCount val="1"/>
                <c:pt idx="0">
                  <c:v>Suma de LUX 24R</c:v>
                </c:pt>
              </c:strCache>
            </c:strRef>
          </c:tx>
          <c:spPr>
            <a:solidFill>
              <a:srgbClr val="660033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DPTO'!$H$11:$H$19</c:f>
              <c:numCache>
                <c:formatCode>#,##0.00</c:formatCode>
                <c:ptCount val="8"/>
                <c:pt idx="0">
                  <c:v>714</c:v>
                </c:pt>
                <c:pt idx="1">
                  <c:v>200</c:v>
                </c:pt>
                <c:pt idx="2">
                  <c:v>946</c:v>
                </c:pt>
                <c:pt idx="3">
                  <c:v>100</c:v>
                </c:pt>
                <c:pt idx="4">
                  <c:v>200</c:v>
                </c:pt>
                <c:pt idx="5">
                  <c:v>2269</c:v>
                </c:pt>
                <c:pt idx="7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3-47E7-ACD5-7102E716F2C7}"/>
            </c:ext>
          </c:extLst>
        </c:ser>
        <c:ser>
          <c:idx val="5"/>
          <c:order val="5"/>
          <c:tx>
            <c:strRef>
              <c:f>'PRODUCTOS X DPTO'!$I$10</c:f>
              <c:strCache>
                <c:ptCount val="1"/>
                <c:pt idx="0">
                  <c:v>Suma de SERV 500X6
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DPTO'!$I$11:$I$19</c:f>
              <c:numCache>
                <c:formatCode>#,##0.00</c:formatCode>
                <c:ptCount val="8"/>
                <c:pt idx="0">
                  <c:v>632</c:v>
                </c:pt>
                <c:pt idx="1">
                  <c:v>384</c:v>
                </c:pt>
                <c:pt idx="2">
                  <c:v>495</c:v>
                </c:pt>
                <c:pt idx="3">
                  <c:v>300</c:v>
                </c:pt>
                <c:pt idx="4">
                  <c:v>50</c:v>
                </c:pt>
                <c:pt idx="5">
                  <c:v>303</c:v>
                </c:pt>
                <c:pt idx="7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13-47E7-ACD5-7102E716F2C7}"/>
            </c:ext>
          </c:extLst>
        </c:ser>
        <c:ser>
          <c:idx val="6"/>
          <c:order val="6"/>
          <c:tx>
            <c:strRef>
              <c:f>'PRODUCTOS X DPTO'!$J$10</c:f>
              <c:strCache>
                <c:ptCount val="1"/>
                <c:pt idx="0">
                  <c:v>Suma de TOALLA COCINA
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DPTO'!$J$11:$J$19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3813-47E7-ACD5-7102E716F2C7}"/>
            </c:ext>
          </c:extLst>
        </c:ser>
        <c:ser>
          <c:idx val="7"/>
          <c:order val="7"/>
          <c:tx>
            <c:strRef>
              <c:f>'PRODUCTOS X DPTO'!$K$10</c:f>
              <c:strCache>
                <c:ptCount val="1"/>
                <c:pt idx="0">
                  <c:v>Suma de ECOPACK 6R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DPTO'!$K$11:$K$19</c:f>
              <c:numCache>
                <c:formatCode>#,##0.00</c:formatCode>
                <c:ptCount val="8"/>
                <c:pt idx="0">
                  <c:v>383</c:v>
                </c:pt>
                <c:pt idx="1">
                  <c:v>500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7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13-47E7-ACD5-7102E716F2C7}"/>
            </c:ext>
          </c:extLst>
        </c:ser>
        <c:ser>
          <c:idx val="8"/>
          <c:order val="8"/>
          <c:tx>
            <c:strRef>
              <c:f>'PRODUCTOS X DPTO'!$L$10</c:f>
              <c:strCache>
                <c:ptCount val="1"/>
                <c:pt idx="0">
                  <c:v>Suma de ECOPACK
12R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DPTO'!$L$11:$L$19</c:f>
              <c:numCache>
                <c:formatCode>#,##0.00</c:formatCode>
                <c:ptCount val="8"/>
                <c:pt idx="0">
                  <c:v>86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13-47E7-ACD5-7102E716F2C7}"/>
            </c:ext>
          </c:extLst>
        </c:ser>
        <c:ser>
          <c:idx val="9"/>
          <c:order val="9"/>
          <c:tx>
            <c:strRef>
              <c:f>'PRODUCTOS X DPTO'!$M$10</c:f>
              <c:strCache>
                <c:ptCount val="1"/>
                <c:pt idx="0">
                  <c:v>Suma de MEGA 2ª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DPTO'!$M$11:$M$19</c:f>
              <c:numCache>
                <c:formatCode>#,##0.00</c:formatCode>
                <c:ptCount val="8"/>
                <c:pt idx="0">
                  <c:v>354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13-47E7-ACD5-7102E716F2C7}"/>
            </c:ext>
          </c:extLst>
        </c:ser>
        <c:ser>
          <c:idx val="10"/>
          <c:order val="10"/>
          <c:tx>
            <c:strRef>
              <c:f>'PRODUCTOS X DPTO'!$N$10</c:f>
              <c:strCache>
                <c:ptCount val="1"/>
                <c:pt idx="0">
                  <c:v>Suma de MEGA 3º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DPTO'!$N$11:$N$19</c:f>
              <c:numCache>
                <c:formatCode>#,##0.00</c:formatCode>
                <c:ptCount val="8"/>
                <c:pt idx="0">
                  <c:v>10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13-47E7-ACD5-7102E716F2C7}"/>
            </c:ext>
          </c:extLst>
        </c:ser>
        <c:ser>
          <c:idx val="11"/>
          <c:order val="11"/>
          <c:tx>
            <c:strRef>
              <c:f>'PRODUCTOS X DPTO'!$O$10</c:f>
              <c:strCache>
                <c:ptCount val="1"/>
                <c:pt idx="0">
                  <c:v>Suma de BANDEO (Serv 50u)  88uds.2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DPTO'!$O$11:$O$19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3813-47E7-ACD5-7102E716F2C7}"/>
            </c:ext>
          </c:extLst>
        </c:ser>
        <c:ser>
          <c:idx val="12"/>
          <c:order val="12"/>
          <c:tx>
            <c:strRef>
              <c:f>'PRODUCTOS X DPTO'!$P$10</c:f>
              <c:strCache>
                <c:ptCount val="1"/>
                <c:pt idx="0">
                  <c:v>Suma de BANDEO (Serv 50u) X Uds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DPTO'!$P$11:$P$19</c:f>
              <c:numCache>
                <c:formatCode>#,##0.00</c:formatCode>
                <c:ptCount val="8"/>
                <c:pt idx="0">
                  <c:v>10592</c:v>
                </c:pt>
                <c:pt idx="1">
                  <c:v>6306</c:v>
                </c:pt>
                <c:pt idx="2">
                  <c:v>5947</c:v>
                </c:pt>
                <c:pt idx="3">
                  <c:v>3581</c:v>
                </c:pt>
                <c:pt idx="4">
                  <c:v>1063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1-42D4-93FF-80C9937D2FE1}"/>
            </c:ext>
          </c:extLst>
        </c:ser>
        <c:ser>
          <c:idx val="13"/>
          <c:order val="13"/>
          <c:tx>
            <c:strRef>
              <c:f>'PRODUCTOS X DPTO'!$Q$10</c:f>
              <c:strCache>
                <c:ptCount val="1"/>
                <c:pt idx="0">
                  <c:v>Suma de SERV 2ª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DPTO'!$Q$11:$Q$19</c:f>
              <c:numCache>
                <c:formatCode>#,##0.00</c:formatCode>
                <c:ptCount val="8"/>
                <c:pt idx="0">
                  <c:v>3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1-42D4-93FF-80C9937D2FE1}"/>
            </c:ext>
          </c:extLst>
        </c:ser>
        <c:ser>
          <c:idx val="14"/>
          <c:order val="14"/>
          <c:tx>
            <c:strRef>
              <c:f>'PRODUCTOS X DPTO'!$R$10</c:f>
              <c:strCache>
                <c:ptCount val="1"/>
                <c:pt idx="0">
                  <c:v>Suma de TOALLA COCINA
2ª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'PRODUCTOS X DPTO'!$C$11:$C$19</c:f>
              <c:strCache>
                <c:ptCount val="8"/>
                <c:pt idx="0">
                  <c:v>Sucre</c:v>
                </c:pt>
                <c:pt idx="1">
                  <c:v>Potosi</c:v>
                </c:pt>
                <c:pt idx="2">
                  <c:v>Oruro</c:v>
                </c:pt>
                <c:pt idx="3">
                  <c:v>Tarija</c:v>
                </c:pt>
                <c:pt idx="4">
                  <c:v>Alto</c:v>
                </c:pt>
                <c:pt idx="5">
                  <c:v>Provincias</c:v>
                </c:pt>
                <c:pt idx="6">
                  <c:v>La paz</c:v>
                </c:pt>
                <c:pt idx="7">
                  <c:v>Chile</c:v>
                </c:pt>
              </c:strCache>
            </c:strRef>
          </c:cat>
          <c:val>
            <c:numRef>
              <c:f>'PRODUCTOS X DPTO'!$R$11:$R$19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A5D1-42D4-93FF-80C9937D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gapDepth val="263"/>
        <c:shape val="box"/>
        <c:axId val="1705210736"/>
        <c:axId val="1765652608"/>
        <c:axId val="0"/>
      </c:bar3DChart>
      <c:catAx>
        <c:axId val="17052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765652608"/>
        <c:crosses val="autoZero"/>
        <c:auto val="1"/>
        <c:lblAlgn val="ctr"/>
        <c:lblOffset val="100"/>
        <c:noMultiLvlLbl val="0"/>
      </c:catAx>
      <c:valAx>
        <c:axId val="176565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70521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002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>
          <a:solidFill>
            <a:schemeClr val="bg1"/>
          </a:solidFill>
        </a:defRPr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</xdr:row>
      <xdr:rowOff>57150</xdr:rowOff>
    </xdr:from>
    <xdr:ext cx="1581150" cy="704850"/>
    <xdr:pic>
      <xdr:nvPicPr>
        <xdr:cNvPr id="7" name="Imagen 6">
          <a:extLst>
            <a:ext uri="{FF2B5EF4-FFF2-40B4-BE49-F238E27FC236}">
              <a16:creationId xmlns:a16="http://schemas.microsoft.com/office/drawing/2014/main" id="{79DF8A46-513D-4D27-AF20-24DC09CCE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9075"/>
          <a:ext cx="1581150" cy="704850"/>
        </a:xfrm>
        <a:prstGeom prst="rect">
          <a:avLst/>
        </a:prstGeom>
      </xdr:spPr>
    </xdr:pic>
    <xdr:clientData/>
  </xdr:oneCellAnchor>
  <xdr:twoCellAnchor editAs="oneCell">
    <xdr:from>
      <xdr:col>37</xdr:col>
      <xdr:colOff>177800</xdr:colOff>
      <xdr:row>0</xdr:row>
      <xdr:rowOff>77258</xdr:rowOff>
    </xdr:from>
    <xdr:to>
      <xdr:col>39</xdr:col>
      <xdr:colOff>409575</xdr:colOff>
      <xdr:row>4</xdr:row>
      <xdr:rowOff>39158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674F06-F40F-484D-9703-25303B8A2AB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9275" y="77258"/>
          <a:ext cx="146685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95251</xdr:rowOff>
    </xdr:from>
    <xdr:to>
      <xdr:col>6</xdr:col>
      <xdr:colOff>128058</xdr:colOff>
      <xdr:row>4</xdr:row>
      <xdr:rowOff>57151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51567B-338A-49D7-9EF8-4887851B40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95251"/>
          <a:ext cx="1239308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142875</xdr:colOff>
      <xdr:row>0</xdr:row>
      <xdr:rowOff>180975</xdr:rowOff>
    </xdr:from>
    <xdr:ext cx="1485900" cy="704850"/>
    <xdr:pic>
      <xdr:nvPicPr>
        <xdr:cNvPr id="5" name="Imagen 4">
          <a:extLst>
            <a:ext uri="{FF2B5EF4-FFF2-40B4-BE49-F238E27FC236}">
              <a16:creationId xmlns:a16="http://schemas.microsoft.com/office/drawing/2014/main" id="{D8E6077A-4DF0-469D-976F-0454CC5E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80975"/>
          <a:ext cx="1485900" cy="704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28575</xdr:rowOff>
    </xdr:from>
    <xdr:to>
      <xdr:col>7</xdr:col>
      <xdr:colOff>207433</xdr:colOff>
      <xdr:row>3</xdr:row>
      <xdr:rowOff>200025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96FE6D-927B-444E-9FAB-AEAE4D6113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28575"/>
          <a:ext cx="1239308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0</xdr:row>
      <xdr:rowOff>114299</xdr:rowOff>
    </xdr:from>
    <xdr:ext cx="1323975" cy="704850"/>
    <xdr:pic>
      <xdr:nvPicPr>
        <xdr:cNvPr id="5" name="Imagen 4">
          <a:extLst>
            <a:ext uri="{FF2B5EF4-FFF2-40B4-BE49-F238E27FC236}">
              <a16:creationId xmlns:a16="http://schemas.microsoft.com/office/drawing/2014/main" id="{FA7995C9-EB22-453C-A15E-B54DF0CD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299"/>
          <a:ext cx="1323975" cy="704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24</xdr:row>
      <xdr:rowOff>42861</xdr:rowOff>
    </xdr:from>
    <xdr:to>
      <xdr:col>13</xdr:col>
      <xdr:colOff>466725</xdr:colOff>
      <xdr:row>48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F4DF68-83ED-4041-B3CB-4027E0F35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390525</xdr:colOff>
      <xdr:row>0</xdr:row>
      <xdr:rowOff>95250</xdr:rowOff>
    </xdr:from>
    <xdr:to>
      <xdr:col>18</xdr:col>
      <xdr:colOff>258233</xdr:colOff>
      <xdr:row>4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064B24-B2E9-45F9-8BD5-D0FDE8CC63E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95250"/>
          <a:ext cx="1239308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152400</xdr:colOff>
      <xdr:row>0</xdr:row>
      <xdr:rowOff>161924</xdr:rowOff>
    </xdr:from>
    <xdr:ext cx="1485900" cy="704850"/>
    <xdr:pic>
      <xdr:nvPicPr>
        <xdr:cNvPr id="6" name="Imagen 5">
          <a:extLst>
            <a:ext uri="{FF2B5EF4-FFF2-40B4-BE49-F238E27FC236}">
              <a16:creationId xmlns:a16="http://schemas.microsoft.com/office/drawing/2014/main" id="{A3D3BD06-5463-49E3-94C1-C3ADF4D7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61924"/>
          <a:ext cx="1485900" cy="70485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 TECHNOLOGY" refreshedDate="46273.506011342593" createdVersion="4" refreshedVersion="7" minRefreshableVersion="3" recordCount="91" xr:uid="{00000000-000A-0000-FFFF-FFFF00000000}">
  <cacheSource type="worksheet">
    <worksheetSource name="Tabla4"/>
  </cacheSource>
  <cacheFields count="52">
    <cacheField name="Nº" numFmtId="0">
      <sharedItems containsSemiMixedTypes="0" containsString="0" containsNumber="1" containsInteger="1" minValue="1" maxValue="91"/>
    </cacheField>
    <cacheField name="NOTA DE VENTA" numFmtId="0">
      <sharedItems containsSemiMixedTypes="0" containsString="0" containsNumber="1" containsInteger="1" minValue="260801" maxValue="260890"/>
    </cacheField>
    <cacheField name="NOTA DE ENTREGA " numFmtId="0">
      <sharedItems containsString="0" containsBlank="1" containsNumber="1" containsInteger="1" minValue="568" maxValue="662"/>
    </cacheField>
    <cacheField name="FECHA" numFmtId="14">
      <sharedItems containsSemiMixedTypes="0" containsNonDate="0" containsDate="1" containsString="0" minDate="2026-08-01T00:00:00" maxDate="2026-09-01T00:00:00"/>
    </cacheField>
    <cacheField name="CLIENTE" numFmtId="0">
      <sharedItems containsMixedTypes="1" containsNumber="1" containsInteger="1" minValue="0" maxValue="0" count="20">
        <s v="Ventas directas de Fabrica-Camion 2"/>
        <s v="Inocencio Cruz Gonzales"/>
        <s v="Juan Carlos (Tarabuco)"/>
        <s v="Pulperia San Francisco"/>
        <s v="Super Abasto Sur Ltda. SAS"/>
        <s v="PATISU"/>
        <s v="Roberto Yucra"/>
        <s v="Jhaneth Toroya"/>
        <s v="Luis Miguel Ajhuacho Velasco"/>
        <s v="MERCAMAX S.R.L"/>
        <s v="Carlos Eduardo Gutierrez Salazar"/>
        <s v="Eddy Calizaya"/>
        <s v="Victor Esquivel(vendedor potosi)"/>
        <s v="Victor Zarate"/>
        <s v="Supermercado SOLAR"/>
        <s v="Ventas en fabrica - Maria"/>
        <s v="Rudy Quispe Alejo "/>
        <s v="Juan Carlos Bustamante Pinto"/>
        <s v="Lesli Carrasco"/>
        <n v="0" u="1"/>
      </sharedItems>
    </cacheField>
    <cacheField name="DESTINO" numFmtId="0">
      <sharedItems containsBlank="1" count="31">
        <s v="Sucre"/>
        <s v="La paz"/>
        <s v="Oruro"/>
        <s v="Tarija"/>
        <s v="Chile"/>
        <s v="Potosi"/>
        <s v="Provincias"/>
        <s v="Alto"/>
        <s v="Pando" u="1"/>
        <m u="1"/>
        <s v="Donación" u="1"/>
        <s v="Chapare" u="1"/>
        <s v="Santa Cruz" u="1"/>
        <s v="Yacuiba" u="1"/>
        <s v="Llallagua" u="1"/>
        <s v="Villazón" u="1"/>
        <s v="Potosí" u="1"/>
        <s v="Riberalta" u="1"/>
        <s v="Fabrica" u="1"/>
        <s v="Bermejo" u="1"/>
        <s v="El Alto" u="1"/>
        <s v="Provincia" u="1"/>
        <s v="Cochabamba" u="1"/>
        <s v="Tupiza" u="1"/>
        <s v="Uyuni" u="1"/>
        <s v="Camargo" u="1"/>
        <s v="Pisiga" u="1"/>
        <s v="Provincias - Suc Pot" u="1"/>
        <s v="Beni" u="1"/>
        <s v="Huanuni " u="1"/>
        <s v="Villazon" u="1"/>
      </sharedItems>
    </cacheField>
    <cacheField name="CHOFER" numFmtId="0">
      <sharedItems containsBlank="1"/>
    </cacheField>
    <cacheField name="PLACA DEL CAMION " numFmtId="0">
      <sharedItems containsBlank="1"/>
    </cacheField>
    <cacheField name="MEGA 12R" numFmtId="0">
      <sharedItems containsString="0" containsBlank="1" containsNumber="1" containsInteger="1" minValue="-120" maxValue="3581"/>
    </cacheField>
    <cacheField name="Economico" numFmtId="0">
      <sharedItems containsNonDate="0" containsString="0" containsBlank="1"/>
    </cacheField>
    <cacheField name="MEGA 12R_x000a_30mtrs" numFmtId="0">
      <sharedItems containsString="0" containsBlank="1" containsNumber="1" containsInteger="1" minValue="5" maxValue="20"/>
    </cacheField>
    <cacheField name="LUX 6R" numFmtId="0">
      <sharedItems containsString="0" containsBlank="1" containsNumber="1" containsInteger="1" minValue="-3" maxValue="150"/>
    </cacheField>
    <cacheField name="LUX 12R" numFmtId="0">
      <sharedItems containsString="0" containsBlank="1" containsNumber="1" containsInteger="1" minValue="-2" maxValue="50"/>
    </cacheField>
    <cacheField name="LUX 24R" numFmtId="0">
      <sharedItems containsString="0" containsBlank="1" containsNumber="1" containsInteger="1" minValue="1" maxValue="1225"/>
    </cacheField>
    <cacheField name="SERV 500X6_x000a_." numFmtId="0">
      <sharedItems containsString="0" containsBlank="1" containsNumber="1" containsInteger="1" minValue="-27" maxValue="800"/>
    </cacheField>
    <cacheField name="SERV 200X12_x000a_." numFmtId="0">
      <sharedItems containsString="0" containsBlank="1" containsNumber="1" containsInteger="1" minValue="-4" maxValue="177"/>
    </cacheField>
    <cacheField name="TOALLA COCINA_x000a_." numFmtId="0">
      <sharedItems containsNonDate="0" containsString="0" containsBlank="1"/>
    </cacheField>
    <cacheField name="ECOPACK_x000a_4R_x000a_Jaba" numFmtId="0">
      <sharedItems containsString="0" containsBlank="1" containsNumber="1" containsInteger="1" minValue="4" maxValue="400"/>
    </cacheField>
    <cacheField name="ECOPACK_x000a_4R_x000a_unidades" numFmtId="0">
      <sharedItems containsNonDate="0" containsString="0" containsBlank="1"/>
    </cacheField>
    <cacheField name="ECOPACK 6R" numFmtId="0">
      <sharedItems containsString="0" containsBlank="1" containsNumber="1" containsInteger="1" minValue="-14" maxValue="600"/>
    </cacheField>
    <cacheField name="ECOPACK_x000a_12R" numFmtId="0">
      <sharedItems containsString="0" containsBlank="1" containsNumber="1" containsInteger="1" minValue="-5" maxValue="100"/>
    </cacheField>
    <cacheField name="BANDEO (Serv 50u)  88uds." numFmtId="0">
      <sharedItems containsNonDate="0" containsString="0" containsBlank="1"/>
    </cacheField>
    <cacheField name="BANDEO (Serv 50u) X Uds" numFmtId="0">
      <sharedItems containsString="0" containsBlank="1" containsNumber="1" containsInteger="1" minValue="-166" maxValue="3581"/>
    </cacheField>
    <cacheField name="BANDEO  (papel higienico) 48 unid" numFmtId="0">
      <sharedItems containsNonDate="0" containsString="0" containsBlank="1"/>
    </cacheField>
    <cacheField name="BANDEO  (papel higienico) x Unid." numFmtId="0">
      <sharedItems containsString="0" containsBlank="1" containsNumber="1" containsInteger="1" minValue="4" maxValue="4"/>
    </cacheField>
    <cacheField name="PAPE HIGIENICO 1 R (20 UNID)" numFmtId="0">
      <sharedItems containsNonDate="0" containsString="0" containsBlank="1"/>
    </cacheField>
    <cacheField name="Serv. 50ud de 28uds" numFmtId="0">
      <sharedItems containsString="0" containsBlank="1" containsNumber="1" containsInteger="1" minValue="-3" maxValue="3"/>
    </cacheField>
    <cacheField name="PUEBLO_x000a_2da." numFmtId="0">
      <sharedItems containsNonDate="0" containsString="0" containsBlank="1"/>
    </cacheField>
    <cacheField name="MEGA 2ª" numFmtId="0">
      <sharedItems containsString="0" containsBlank="1" containsNumber="1" containsInteger="1" minValue="4" maxValue="1000"/>
    </cacheField>
    <cacheField name="MEGA 3º" numFmtId="0">
      <sharedItems containsString="0" containsBlank="1" containsNumber="1" containsInteger="1" minValue="10" maxValue="500"/>
    </cacheField>
    <cacheField name="SERV 2ª" numFmtId="0">
      <sharedItems containsString="0" containsBlank="1" containsNumber="1" containsInteger="1" minValue="3" maxValue="20"/>
    </cacheField>
    <cacheField name="TOALLA COCINA_x000a_2ª" numFmtId="0">
      <sharedItems containsNonDate="0" containsString="0" containsBlank="1"/>
    </cacheField>
    <cacheField name="COLILLAS_x000a_plasticos_x000a_KG" numFmtId="0">
      <sharedItems containsString="0" containsBlank="1" containsNumber="1" minValue="4740.8" maxValue="4740.8"/>
    </cacheField>
    <cacheField name="TOTAL VENTA" numFmtId="43">
      <sharedItems containsSemiMixedTypes="0" containsString="0" containsNumber="1" minValue="-6596" maxValue="214786.48"/>
    </cacheField>
    <cacheField name="DESCUENTOS_x000a_BONIFICACION" numFmtId="43">
      <sharedItems containsString="0" containsBlank="1" containsNumber="1" minValue="-249" maxValue="5371.5"/>
    </cacheField>
    <cacheField name="PROMOCION" numFmtId="43">
      <sharedItems containsNonDate="0" containsString="0" containsBlank="1"/>
    </cacheField>
    <cacheField name="Ingreso por venta dircta" numFmtId="43">
      <sharedItems containsString="0" containsBlank="1" containsNumber="1" containsInteger="1" minValue="0" maxValue="0"/>
    </cacheField>
    <cacheField name="IMPORTE NETO" numFmtId="43">
      <sharedItems containsSemiMixedTypes="0" containsString="0" containsNumber="1" minValue="-6347" maxValue="214786.48"/>
    </cacheField>
    <cacheField name="CANTIDAD DE CAMIONES" numFmtId="4">
      <sharedItems containsSemiMixedTypes="0" containsString="0" containsNumber="1" minValue="-0.10578333333333333" maxValue="3.5797746666666668"/>
    </cacheField>
    <cacheField name="SALDO ANTERIOR" numFmtId="4">
      <sharedItems containsNonDate="0" containsString="0" containsBlank="1"/>
    </cacheField>
    <cacheField name="BANCO UNION_1" numFmtId="4">
      <sharedItems containsString="0" containsBlank="1" containsNumber="1" containsInteger="1" minValue="4920" maxValue="11852"/>
    </cacheField>
    <cacheField name="BANCO BNB_1" numFmtId="4">
      <sharedItems containsString="0" containsBlank="1" containsNumber="1" containsInteger="1" minValue="3000" maxValue="55000"/>
    </cacheField>
    <cacheField name="BANCO UNION-2" numFmtId="4">
      <sharedItems containsNonDate="0" containsString="0" containsBlank="1"/>
    </cacheField>
    <cacheField name="BANCO BNB_2" numFmtId="4">
      <sharedItems containsString="0" containsBlank="1" containsNumber="1" minValue="8285.6" maxValue="68888.41"/>
    </cacheField>
    <cacheField name="BANCO UNION_3" numFmtId="4">
      <sharedItems containsNonDate="0" containsString="0" containsBlank="1"/>
    </cacheField>
    <cacheField name="BANCO MERCANTIL STA CRUZ2" numFmtId="4">
      <sharedItems containsString="0" containsBlank="1" containsNumber="1" containsInteger="1" minValue="106" maxValue="13000"/>
    </cacheField>
    <cacheField name="CAJA" numFmtId="4">
      <sharedItems containsString="0" containsBlank="1" containsNumber="1" minValue="66" maxValue="60637.5"/>
    </cacheField>
    <cacheField name="DÓLAR_x000a_$us" numFmtId="4">
      <sharedItems containsNonDate="0" containsString="0" containsBlank="1"/>
    </cacheField>
    <cacheField name="TOTAL_x000a_BANCO UNION" numFmtId="4">
      <sharedItems containsSemiMixedTypes="0" containsString="0" containsNumber="1" containsInteger="1" minValue="0" maxValue="11852"/>
    </cacheField>
    <cacheField name="TOTAL_x000a_BANCO BNB" numFmtId="4">
      <sharedItems containsSemiMixedTypes="0" containsString="0" containsNumber="1" minValue="0" maxValue="118888.41"/>
    </cacheField>
    <cacheField name="TOTAL CANCELADO" numFmtId="4">
      <sharedItems containsSemiMixedTypes="0" containsString="0" containsNumber="1" minValue="0" maxValue="118888.41"/>
    </cacheField>
    <cacheField name="SALDOS" numFmtId="4">
      <sharedItems containsSemiMixedTypes="0" containsString="0" containsNumber="1" minValue="-33860" maxValue="214786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"/>
    <n v="260801"/>
    <n v="568"/>
    <d v="2026-08-01T00:00:00"/>
    <x v="0"/>
    <x v="0"/>
    <s v="Luis"/>
    <s v="5738UPK"/>
    <n v="258"/>
    <m/>
    <n v="5"/>
    <n v="2"/>
    <n v="4"/>
    <n v="15"/>
    <n v="23"/>
    <n v="7"/>
    <m/>
    <n v="4"/>
    <m/>
    <n v="10"/>
    <n v="4"/>
    <m/>
    <n v="258"/>
    <m/>
    <n v="4"/>
    <m/>
    <n v="3"/>
    <m/>
    <m/>
    <m/>
    <m/>
    <m/>
    <m/>
    <n v="11083.58"/>
    <n v="395"/>
    <m/>
    <n v="0"/>
    <n v="10688.58"/>
    <n v="0.178143"/>
    <m/>
    <m/>
    <m/>
    <m/>
    <m/>
    <m/>
    <n v="120"/>
    <n v="440"/>
    <m/>
    <n v="0"/>
    <n v="120"/>
    <n v="560"/>
    <n v="10128.58"/>
  </r>
  <r>
    <n v="2"/>
    <n v="260802"/>
    <n v="569"/>
    <d v="2026-08-01T00:00:00"/>
    <x v="1"/>
    <x v="0"/>
    <m/>
    <m/>
    <n v="140"/>
    <m/>
    <m/>
    <m/>
    <m/>
    <m/>
    <n v="40"/>
    <n v="2"/>
    <m/>
    <m/>
    <m/>
    <m/>
    <m/>
    <m/>
    <n v="140"/>
    <m/>
    <m/>
    <m/>
    <m/>
    <m/>
    <m/>
    <m/>
    <m/>
    <m/>
    <m/>
    <n v="5894"/>
    <n v="210"/>
    <m/>
    <n v="0"/>
    <n v="5684"/>
    <n v="9.4733333333333336E-2"/>
    <m/>
    <m/>
    <m/>
    <m/>
    <m/>
    <m/>
    <m/>
    <n v="3550"/>
    <m/>
    <n v="0"/>
    <n v="0"/>
    <n v="3550"/>
    <n v="2134"/>
  </r>
  <r>
    <n v="3"/>
    <n v="260803"/>
    <n v="570"/>
    <d v="2026-08-01T00:00:00"/>
    <x v="2"/>
    <x v="0"/>
    <m/>
    <m/>
    <m/>
    <m/>
    <m/>
    <m/>
    <m/>
    <m/>
    <m/>
    <m/>
    <m/>
    <m/>
    <m/>
    <m/>
    <m/>
    <m/>
    <m/>
    <m/>
    <m/>
    <m/>
    <m/>
    <m/>
    <n v="150"/>
    <m/>
    <m/>
    <m/>
    <m/>
    <n v="2550"/>
    <m/>
    <m/>
    <n v="0"/>
    <n v="2550"/>
    <n v="4.2500000000000003E-2"/>
    <m/>
    <m/>
    <m/>
    <m/>
    <m/>
    <m/>
    <m/>
    <n v="2550"/>
    <m/>
    <n v="0"/>
    <n v="0"/>
    <n v="2550"/>
    <n v="0"/>
  </r>
  <r>
    <n v="4"/>
    <n v="260804"/>
    <n v="571"/>
    <d v="2026-08-03T00:00:00"/>
    <x v="1"/>
    <x v="0"/>
    <m/>
    <m/>
    <n v="200"/>
    <m/>
    <m/>
    <m/>
    <m/>
    <n v="5"/>
    <n v="5"/>
    <m/>
    <m/>
    <m/>
    <m/>
    <m/>
    <m/>
    <m/>
    <n v="200"/>
    <m/>
    <m/>
    <m/>
    <m/>
    <m/>
    <m/>
    <m/>
    <m/>
    <m/>
    <m/>
    <n v="5430"/>
    <n v="300"/>
    <m/>
    <n v="0"/>
    <n v="5130"/>
    <n v="8.5500000000000007E-2"/>
    <m/>
    <m/>
    <m/>
    <m/>
    <m/>
    <m/>
    <n v="13000"/>
    <n v="25990"/>
    <m/>
    <n v="0"/>
    <n v="13000"/>
    <n v="38990"/>
    <n v="-33860"/>
  </r>
  <r>
    <n v="5"/>
    <n v="260805"/>
    <n v="572"/>
    <d v="2026-08-03T00:00:00"/>
    <x v="0"/>
    <x v="0"/>
    <s v="Luis"/>
    <s v="5738UPK"/>
    <n v="200"/>
    <m/>
    <m/>
    <n v="2"/>
    <m/>
    <n v="15"/>
    <n v="50"/>
    <m/>
    <m/>
    <m/>
    <m/>
    <n v="20"/>
    <m/>
    <m/>
    <n v="200"/>
    <m/>
    <m/>
    <m/>
    <m/>
    <m/>
    <m/>
    <m/>
    <m/>
    <m/>
    <m/>
    <n v="10392"/>
    <n v="300"/>
    <m/>
    <n v="0"/>
    <n v="10092"/>
    <n v="0.16819999999999999"/>
    <m/>
    <m/>
    <m/>
    <m/>
    <m/>
    <m/>
    <n v="3562"/>
    <n v="3096"/>
    <m/>
    <n v="0"/>
    <n v="3562"/>
    <n v="6658"/>
    <n v="3434"/>
  </r>
  <r>
    <n v="6"/>
    <n v="260806"/>
    <n v="573"/>
    <d v="2026-08-04T00:00:00"/>
    <x v="1"/>
    <x v="0"/>
    <m/>
    <m/>
    <n v="180"/>
    <m/>
    <m/>
    <m/>
    <m/>
    <n v="30"/>
    <n v="5"/>
    <n v="4"/>
    <m/>
    <m/>
    <m/>
    <n v="3"/>
    <m/>
    <m/>
    <n v="180"/>
    <m/>
    <m/>
    <m/>
    <m/>
    <m/>
    <m/>
    <m/>
    <m/>
    <m/>
    <m/>
    <n v="7482"/>
    <n v="270"/>
    <m/>
    <n v="0"/>
    <n v="7212"/>
    <n v="0.1202"/>
    <m/>
    <m/>
    <m/>
    <m/>
    <m/>
    <m/>
    <m/>
    <m/>
    <m/>
    <n v="0"/>
    <n v="0"/>
    <n v="0"/>
    <n v="7212"/>
  </r>
  <r>
    <n v="7"/>
    <n v="260807"/>
    <n v="574"/>
    <d v="2026-08-04T00:00:00"/>
    <x v="3"/>
    <x v="0"/>
    <m/>
    <m/>
    <n v="30"/>
    <m/>
    <m/>
    <n v="10"/>
    <n v="20"/>
    <n v="20"/>
    <m/>
    <m/>
    <m/>
    <m/>
    <m/>
    <m/>
    <m/>
    <m/>
    <n v="30"/>
    <m/>
    <m/>
    <m/>
    <m/>
    <m/>
    <m/>
    <m/>
    <m/>
    <m/>
    <m/>
    <n v="4965"/>
    <n v="45"/>
    <m/>
    <n v="0"/>
    <n v="4920"/>
    <n v="8.2000000000000003E-2"/>
    <m/>
    <n v="4920"/>
    <m/>
    <m/>
    <m/>
    <m/>
    <m/>
    <m/>
    <m/>
    <n v="4920"/>
    <n v="0"/>
    <n v="4920"/>
    <n v="0"/>
  </r>
  <r>
    <n v="8"/>
    <n v="260808"/>
    <n v="575"/>
    <d v="2026-08-04T00:00:00"/>
    <x v="4"/>
    <x v="0"/>
    <m/>
    <m/>
    <n v="50"/>
    <m/>
    <m/>
    <m/>
    <m/>
    <m/>
    <n v="15"/>
    <m/>
    <m/>
    <m/>
    <m/>
    <m/>
    <n v="10"/>
    <m/>
    <n v="50"/>
    <m/>
    <m/>
    <m/>
    <m/>
    <m/>
    <m/>
    <m/>
    <m/>
    <m/>
    <m/>
    <n v="2685"/>
    <n v="75"/>
    <m/>
    <m/>
    <n v="2610"/>
    <n v="4.3499999999999997E-2"/>
    <m/>
    <m/>
    <m/>
    <m/>
    <m/>
    <m/>
    <m/>
    <m/>
    <m/>
    <n v="0"/>
    <n v="0"/>
    <n v="0"/>
    <n v="2610"/>
  </r>
  <r>
    <n v="9"/>
    <n v="260809"/>
    <n v="576"/>
    <d v="2026-08-04T00:00:00"/>
    <x v="0"/>
    <x v="0"/>
    <s v="Luis"/>
    <s v="5738UPK"/>
    <n v="60"/>
    <m/>
    <m/>
    <m/>
    <m/>
    <n v="20"/>
    <n v="20"/>
    <m/>
    <m/>
    <m/>
    <m/>
    <m/>
    <m/>
    <m/>
    <n v="60"/>
    <m/>
    <m/>
    <m/>
    <m/>
    <m/>
    <m/>
    <m/>
    <m/>
    <m/>
    <m/>
    <n v="4330"/>
    <n v="90"/>
    <m/>
    <n v="0"/>
    <n v="4240"/>
    <n v="7.0666666666666669E-2"/>
    <m/>
    <m/>
    <m/>
    <m/>
    <m/>
    <m/>
    <n v="1378"/>
    <n v="1498"/>
    <m/>
    <n v="0"/>
    <n v="1378"/>
    <n v="2876"/>
    <n v="1364"/>
  </r>
  <r>
    <n v="10"/>
    <n v="260810"/>
    <m/>
    <d v="2026-08-04T00:00:00"/>
    <x v="5"/>
    <x v="1"/>
    <m/>
    <m/>
    <m/>
    <m/>
    <m/>
    <m/>
    <m/>
    <m/>
    <m/>
    <m/>
    <m/>
    <m/>
    <m/>
    <m/>
    <m/>
    <m/>
    <m/>
    <m/>
    <m/>
    <m/>
    <m/>
    <m/>
    <m/>
    <m/>
    <m/>
    <m/>
    <n v="4740.8"/>
    <n v="11852"/>
    <m/>
    <m/>
    <m/>
    <n v="11852"/>
    <n v="0.19753333333333334"/>
    <m/>
    <n v="11852"/>
    <m/>
    <m/>
    <m/>
    <m/>
    <m/>
    <m/>
    <m/>
    <n v="11852"/>
    <n v="0"/>
    <n v="11852"/>
    <n v="0"/>
  </r>
  <r>
    <n v="11"/>
    <n v="260811"/>
    <n v="577"/>
    <d v="2026-08-05T00:00:00"/>
    <x v="1"/>
    <x v="0"/>
    <m/>
    <m/>
    <n v="250"/>
    <m/>
    <m/>
    <m/>
    <m/>
    <n v="5"/>
    <n v="8"/>
    <n v="2"/>
    <m/>
    <m/>
    <m/>
    <n v="4"/>
    <m/>
    <m/>
    <n v="250"/>
    <m/>
    <m/>
    <m/>
    <m/>
    <m/>
    <m/>
    <m/>
    <m/>
    <m/>
    <m/>
    <n v="7147"/>
    <n v="375"/>
    <m/>
    <n v="0"/>
    <n v="6772"/>
    <n v="0.11286666666666667"/>
    <m/>
    <m/>
    <m/>
    <m/>
    <m/>
    <m/>
    <m/>
    <m/>
    <m/>
    <n v="0"/>
    <n v="0"/>
    <n v="0"/>
    <n v="6772"/>
  </r>
  <r>
    <n v="12"/>
    <n v="260812"/>
    <n v="578"/>
    <d v="2026-08-05T00:00:00"/>
    <x v="0"/>
    <x v="0"/>
    <s v="Luis"/>
    <s v="5738UPK"/>
    <n v="200"/>
    <m/>
    <m/>
    <n v="3"/>
    <m/>
    <n v="10"/>
    <n v="10"/>
    <m/>
    <m/>
    <m/>
    <m/>
    <m/>
    <m/>
    <m/>
    <n v="200"/>
    <m/>
    <m/>
    <m/>
    <m/>
    <m/>
    <m/>
    <m/>
    <m/>
    <m/>
    <m/>
    <n v="6418"/>
    <n v="300"/>
    <m/>
    <n v="0"/>
    <n v="6118"/>
    <n v="0.10196666666666666"/>
    <m/>
    <m/>
    <m/>
    <m/>
    <m/>
    <m/>
    <n v="968"/>
    <n v="2536"/>
    <m/>
    <n v="0"/>
    <n v="968"/>
    <n v="3504"/>
    <n v="2614"/>
  </r>
  <r>
    <n v="13"/>
    <n v="260813"/>
    <n v="579"/>
    <d v="2026-08-05T00:00:00"/>
    <x v="6"/>
    <x v="0"/>
    <m/>
    <m/>
    <m/>
    <m/>
    <m/>
    <m/>
    <m/>
    <m/>
    <m/>
    <m/>
    <m/>
    <m/>
    <m/>
    <m/>
    <m/>
    <m/>
    <m/>
    <m/>
    <m/>
    <m/>
    <m/>
    <m/>
    <n v="200"/>
    <m/>
    <m/>
    <m/>
    <m/>
    <n v="3000"/>
    <m/>
    <m/>
    <n v="0"/>
    <n v="3000"/>
    <n v="0.05"/>
    <m/>
    <m/>
    <n v="3000"/>
    <m/>
    <m/>
    <m/>
    <m/>
    <m/>
    <m/>
    <n v="0"/>
    <n v="3000"/>
    <n v="3000"/>
    <n v="0"/>
  </r>
  <r>
    <n v="14"/>
    <n v="260814"/>
    <n v="580"/>
    <d v="2026-08-05T00:00:00"/>
    <x v="7"/>
    <x v="2"/>
    <m/>
    <m/>
    <n v="1500"/>
    <m/>
    <m/>
    <m/>
    <m/>
    <n v="196"/>
    <n v="150"/>
    <n v="100"/>
    <m/>
    <m/>
    <m/>
    <m/>
    <m/>
    <m/>
    <n v="1500"/>
    <m/>
    <m/>
    <m/>
    <m/>
    <m/>
    <m/>
    <m/>
    <m/>
    <m/>
    <m/>
    <n v="64840.86"/>
    <n v="2250"/>
    <m/>
    <n v="0"/>
    <n v="62590.86"/>
    <n v="1.0431809999999999"/>
    <m/>
    <m/>
    <n v="30000"/>
    <m/>
    <n v="32590.86"/>
    <m/>
    <m/>
    <m/>
    <m/>
    <n v="0"/>
    <n v="62590.86"/>
    <n v="62590.86"/>
    <n v="0"/>
  </r>
  <r>
    <n v="15"/>
    <n v="260815"/>
    <n v="581"/>
    <d v="2026-08-07T00:00:00"/>
    <x v="1"/>
    <x v="0"/>
    <m/>
    <m/>
    <n v="250"/>
    <m/>
    <m/>
    <m/>
    <m/>
    <n v="15"/>
    <n v="15"/>
    <n v="3"/>
    <m/>
    <m/>
    <m/>
    <n v="6"/>
    <m/>
    <m/>
    <n v="250"/>
    <m/>
    <m/>
    <m/>
    <m/>
    <m/>
    <m/>
    <m/>
    <m/>
    <m/>
    <m/>
    <n v="8599"/>
    <n v="375"/>
    <m/>
    <n v="0"/>
    <n v="8224"/>
    <n v="0.13706666666666667"/>
    <m/>
    <m/>
    <m/>
    <m/>
    <m/>
    <m/>
    <m/>
    <m/>
    <m/>
    <n v="0"/>
    <n v="0"/>
    <n v="0"/>
    <n v="8224"/>
  </r>
  <r>
    <n v="16"/>
    <n v="260816"/>
    <n v="582"/>
    <d v="2026-08-07T00:00:00"/>
    <x v="0"/>
    <x v="0"/>
    <s v="Ernesto"/>
    <s v="5738UPK"/>
    <m/>
    <m/>
    <m/>
    <m/>
    <m/>
    <n v="20"/>
    <n v="10"/>
    <m/>
    <m/>
    <m/>
    <m/>
    <m/>
    <m/>
    <m/>
    <m/>
    <m/>
    <m/>
    <m/>
    <m/>
    <m/>
    <m/>
    <m/>
    <m/>
    <m/>
    <m/>
    <n v="2300"/>
    <m/>
    <m/>
    <n v="0"/>
    <n v="2300"/>
    <n v="3.833333333333333E-2"/>
    <m/>
    <m/>
    <m/>
    <m/>
    <m/>
    <m/>
    <m/>
    <n v="6434"/>
    <m/>
    <n v="0"/>
    <n v="0"/>
    <n v="6434"/>
    <n v="-4134"/>
  </r>
  <r>
    <n v="17"/>
    <n v="260817"/>
    <n v="583"/>
    <d v="2026-08-08T00:00:00"/>
    <x v="1"/>
    <x v="0"/>
    <m/>
    <m/>
    <n v="250"/>
    <m/>
    <m/>
    <m/>
    <n v="3"/>
    <n v="25"/>
    <n v="10"/>
    <n v="2"/>
    <m/>
    <m/>
    <m/>
    <m/>
    <m/>
    <m/>
    <n v="250"/>
    <m/>
    <m/>
    <m/>
    <m/>
    <m/>
    <m/>
    <m/>
    <m/>
    <m/>
    <m/>
    <n v="8977"/>
    <n v="375"/>
    <m/>
    <n v="0"/>
    <n v="8602"/>
    <n v="0.14336666666666667"/>
    <m/>
    <m/>
    <m/>
    <m/>
    <m/>
    <m/>
    <m/>
    <m/>
    <m/>
    <n v="0"/>
    <n v="0"/>
    <n v="0"/>
    <n v="8602"/>
  </r>
  <r>
    <n v="18"/>
    <n v="260818"/>
    <n v="584"/>
    <d v="2026-08-08T00:00:00"/>
    <x v="1"/>
    <x v="0"/>
    <m/>
    <m/>
    <n v="150"/>
    <m/>
    <m/>
    <m/>
    <m/>
    <n v="10"/>
    <n v="10"/>
    <n v="3"/>
    <m/>
    <m/>
    <m/>
    <m/>
    <m/>
    <m/>
    <n v="150"/>
    <m/>
    <m/>
    <m/>
    <m/>
    <m/>
    <m/>
    <m/>
    <m/>
    <m/>
    <m/>
    <n v="5171"/>
    <n v="225"/>
    <m/>
    <n v="0"/>
    <n v="4946"/>
    <n v="8.2433333333333331E-2"/>
    <m/>
    <m/>
    <m/>
    <m/>
    <m/>
    <m/>
    <m/>
    <n v="4030"/>
    <m/>
    <n v="0"/>
    <n v="0"/>
    <n v="4030"/>
    <n v="916"/>
  </r>
  <r>
    <n v="19"/>
    <n v="260819"/>
    <n v="585"/>
    <d v="2026-08-08T00:00:00"/>
    <x v="0"/>
    <x v="0"/>
    <s v="Luis"/>
    <s v="5738UPK"/>
    <n v="250"/>
    <m/>
    <m/>
    <m/>
    <m/>
    <m/>
    <n v="10"/>
    <n v="2"/>
    <m/>
    <m/>
    <m/>
    <n v="15"/>
    <m/>
    <m/>
    <n v="250"/>
    <m/>
    <m/>
    <m/>
    <n v="3"/>
    <m/>
    <m/>
    <m/>
    <m/>
    <m/>
    <m/>
    <n v="7657"/>
    <n v="375"/>
    <m/>
    <n v="0"/>
    <n v="7282"/>
    <n v="0.12136666666666666"/>
    <m/>
    <m/>
    <m/>
    <m/>
    <m/>
    <m/>
    <n v="2130"/>
    <n v="2068"/>
    <m/>
    <n v="0"/>
    <n v="2130"/>
    <n v="4198"/>
    <n v="3084"/>
  </r>
  <r>
    <n v="20"/>
    <n v="260820"/>
    <n v="586"/>
    <d v="2026-08-08T00:00:00"/>
    <x v="8"/>
    <x v="3"/>
    <m/>
    <m/>
    <n v="3581"/>
    <m/>
    <m/>
    <n v="50"/>
    <m/>
    <n v="100"/>
    <n v="300"/>
    <n v="177"/>
    <m/>
    <m/>
    <m/>
    <n v="50"/>
    <m/>
    <m/>
    <n v="3581"/>
    <m/>
    <m/>
    <m/>
    <m/>
    <m/>
    <m/>
    <m/>
    <m/>
    <m/>
    <m/>
    <n v="124259.91"/>
    <n v="5371.5"/>
    <m/>
    <n v="0"/>
    <n v="118888.41"/>
    <n v="1.9814735000000001"/>
    <m/>
    <m/>
    <n v="50000"/>
    <m/>
    <n v="68888.41"/>
    <m/>
    <m/>
    <m/>
    <m/>
    <n v="0"/>
    <n v="118888.41"/>
    <n v="118888.41"/>
    <n v="0"/>
  </r>
  <r>
    <n v="21"/>
    <n v="260821"/>
    <n v="587"/>
    <d v="2026-08-10T00:00:00"/>
    <x v="1"/>
    <x v="0"/>
    <m/>
    <m/>
    <n v="200"/>
    <m/>
    <m/>
    <m/>
    <m/>
    <n v="15"/>
    <n v="9"/>
    <n v="3"/>
    <m/>
    <m/>
    <m/>
    <n v="5"/>
    <m/>
    <m/>
    <n v="200"/>
    <m/>
    <m/>
    <m/>
    <m/>
    <m/>
    <m/>
    <m/>
    <m/>
    <m/>
    <m/>
    <n v="6994"/>
    <n v="300"/>
    <m/>
    <n v="0"/>
    <n v="6694"/>
    <n v="0.11156666666666666"/>
    <m/>
    <m/>
    <m/>
    <m/>
    <m/>
    <m/>
    <n v="7000"/>
    <n v="24646"/>
    <m/>
    <n v="0"/>
    <n v="7000"/>
    <n v="31646"/>
    <n v="-24952"/>
  </r>
  <r>
    <n v="22"/>
    <n v="260822"/>
    <n v="588"/>
    <d v="2026-08-10T00:00:00"/>
    <x v="0"/>
    <x v="0"/>
    <s v="Luis"/>
    <s v="5738UPK"/>
    <n v="200"/>
    <m/>
    <m/>
    <n v="4"/>
    <n v="3"/>
    <n v="10"/>
    <n v="20"/>
    <n v="3"/>
    <m/>
    <m/>
    <m/>
    <n v="15"/>
    <n v="2"/>
    <m/>
    <n v="200"/>
    <m/>
    <m/>
    <m/>
    <m/>
    <m/>
    <m/>
    <m/>
    <m/>
    <m/>
    <m/>
    <n v="8554"/>
    <n v="300"/>
    <m/>
    <n v="0"/>
    <n v="8254"/>
    <n v="0.13756666666666667"/>
    <m/>
    <m/>
    <m/>
    <m/>
    <m/>
    <m/>
    <m/>
    <n v="1390"/>
    <m/>
    <n v="0"/>
    <n v="0"/>
    <n v="1390"/>
    <n v="6864"/>
  </r>
  <r>
    <n v="23"/>
    <n v="260823"/>
    <n v="590"/>
    <d v="2026-08-10T00:00:00"/>
    <x v="1"/>
    <x v="0"/>
    <m/>
    <m/>
    <n v="200"/>
    <m/>
    <m/>
    <m/>
    <m/>
    <m/>
    <n v="5"/>
    <m/>
    <m/>
    <m/>
    <m/>
    <m/>
    <m/>
    <m/>
    <n v="200"/>
    <m/>
    <m/>
    <m/>
    <m/>
    <m/>
    <m/>
    <m/>
    <m/>
    <m/>
    <m/>
    <n v="5010"/>
    <n v="300"/>
    <m/>
    <n v="0"/>
    <n v="4710"/>
    <n v="7.85E-2"/>
    <m/>
    <m/>
    <m/>
    <m/>
    <m/>
    <m/>
    <m/>
    <m/>
    <m/>
    <n v="0"/>
    <n v="0"/>
    <n v="0"/>
    <n v="4710"/>
  </r>
  <r>
    <n v="24"/>
    <n v="260824"/>
    <n v="591"/>
    <d v="2026-08-11T00:00:00"/>
    <x v="1"/>
    <x v="0"/>
    <m/>
    <m/>
    <n v="200"/>
    <m/>
    <m/>
    <m/>
    <m/>
    <n v="10"/>
    <n v="5"/>
    <m/>
    <m/>
    <m/>
    <m/>
    <n v="3"/>
    <m/>
    <m/>
    <n v="200"/>
    <m/>
    <m/>
    <m/>
    <m/>
    <m/>
    <m/>
    <m/>
    <m/>
    <m/>
    <m/>
    <n v="6024"/>
    <n v="300"/>
    <m/>
    <n v="0"/>
    <n v="5724"/>
    <n v="9.5399999999999999E-2"/>
    <m/>
    <m/>
    <m/>
    <m/>
    <m/>
    <m/>
    <m/>
    <m/>
    <m/>
    <n v="0"/>
    <n v="0"/>
    <n v="0"/>
    <n v="5724"/>
  </r>
  <r>
    <n v="25"/>
    <n v="260825"/>
    <n v="592"/>
    <d v="2026-08-11T00:00:00"/>
    <x v="9"/>
    <x v="0"/>
    <m/>
    <m/>
    <n v="10"/>
    <m/>
    <m/>
    <m/>
    <n v="2"/>
    <n v="12"/>
    <n v="10"/>
    <n v="2"/>
    <m/>
    <n v="4"/>
    <m/>
    <n v="4"/>
    <m/>
    <m/>
    <n v="10"/>
    <m/>
    <m/>
    <m/>
    <m/>
    <m/>
    <m/>
    <m/>
    <m/>
    <m/>
    <m/>
    <n v="2559"/>
    <n v="15"/>
    <m/>
    <n v="0"/>
    <n v="2544"/>
    <n v="4.24E-2"/>
    <m/>
    <m/>
    <m/>
    <m/>
    <m/>
    <m/>
    <m/>
    <m/>
    <m/>
    <n v="0"/>
    <n v="0"/>
    <n v="0"/>
    <n v="2544"/>
  </r>
  <r>
    <n v="26"/>
    <n v="260826"/>
    <n v="593"/>
    <d v="2026-08-11T00:00:00"/>
    <x v="4"/>
    <x v="0"/>
    <m/>
    <m/>
    <n v="30"/>
    <m/>
    <m/>
    <m/>
    <m/>
    <n v="30"/>
    <n v="30"/>
    <n v="8"/>
    <m/>
    <m/>
    <m/>
    <n v="8"/>
    <n v="6"/>
    <m/>
    <n v="30"/>
    <m/>
    <m/>
    <m/>
    <m/>
    <m/>
    <m/>
    <m/>
    <m/>
    <m/>
    <m/>
    <n v="6393"/>
    <n v="45"/>
    <m/>
    <n v="0"/>
    <n v="6348"/>
    <n v="0.10580000000000001"/>
    <m/>
    <m/>
    <m/>
    <m/>
    <m/>
    <m/>
    <m/>
    <m/>
    <m/>
    <n v="0"/>
    <n v="0"/>
    <n v="0"/>
    <n v="6348"/>
  </r>
  <r>
    <n v="27"/>
    <n v="260827"/>
    <n v="594"/>
    <d v="2026-08-11T00:00:00"/>
    <x v="10"/>
    <x v="0"/>
    <m/>
    <m/>
    <m/>
    <m/>
    <m/>
    <m/>
    <m/>
    <m/>
    <m/>
    <m/>
    <m/>
    <m/>
    <m/>
    <n v="10"/>
    <m/>
    <m/>
    <m/>
    <m/>
    <m/>
    <m/>
    <m/>
    <m/>
    <m/>
    <m/>
    <m/>
    <m/>
    <m/>
    <n v="540"/>
    <m/>
    <m/>
    <n v="0"/>
    <n v="540"/>
    <n v="8.9999999999999993E-3"/>
    <m/>
    <m/>
    <m/>
    <m/>
    <m/>
    <m/>
    <m/>
    <n v="540"/>
    <m/>
    <n v="0"/>
    <n v="0"/>
    <n v="540"/>
    <n v="0"/>
  </r>
  <r>
    <n v="28"/>
    <n v="260828"/>
    <n v="595"/>
    <d v="2026-08-11T00:00:00"/>
    <x v="0"/>
    <x v="0"/>
    <s v="Luis"/>
    <s v="5738UPK"/>
    <n v="150"/>
    <m/>
    <m/>
    <m/>
    <m/>
    <n v="20"/>
    <n v="10"/>
    <n v="2"/>
    <m/>
    <m/>
    <m/>
    <m/>
    <m/>
    <m/>
    <n v="150"/>
    <m/>
    <m/>
    <m/>
    <m/>
    <m/>
    <m/>
    <m/>
    <m/>
    <m/>
    <m/>
    <n v="5949"/>
    <n v="225"/>
    <m/>
    <m/>
    <n v="5724"/>
    <n v="9.5399999999999999E-2"/>
    <m/>
    <m/>
    <m/>
    <m/>
    <m/>
    <m/>
    <n v="1114"/>
    <n v="10792"/>
    <m/>
    <n v="0"/>
    <n v="1114"/>
    <n v="11906"/>
    <n v="-6182"/>
  </r>
  <r>
    <n v="29"/>
    <n v="260829"/>
    <n v="596"/>
    <d v="2026-08-11T00:00:00"/>
    <x v="0"/>
    <x v="0"/>
    <s v="Luis"/>
    <s v="5738UPK"/>
    <n v="200"/>
    <m/>
    <m/>
    <n v="5"/>
    <m/>
    <n v="20"/>
    <m/>
    <m/>
    <m/>
    <n v="5"/>
    <m/>
    <m/>
    <n v="4"/>
    <m/>
    <n v="200"/>
    <m/>
    <m/>
    <m/>
    <m/>
    <m/>
    <m/>
    <m/>
    <m/>
    <m/>
    <m/>
    <n v="7252"/>
    <n v="300"/>
    <m/>
    <m/>
    <n v="6952"/>
    <n v="0.11586666666666667"/>
    <m/>
    <m/>
    <m/>
    <m/>
    <m/>
    <m/>
    <n v="106"/>
    <n v="4790"/>
    <m/>
    <n v="0"/>
    <n v="106"/>
    <n v="4896"/>
    <n v="2056"/>
  </r>
  <r>
    <n v="30"/>
    <n v="260830"/>
    <n v="597"/>
    <d v="2026-08-12T00:00:00"/>
    <x v="1"/>
    <x v="0"/>
    <m/>
    <m/>
    <n v="250"/>
    <m/>
    <m/>
    <m/>
    <m/>
    <n v="5"/>
    <n v="20"/>
    <m/>
    <m/>
    <m/>
    <m/>
    <n v="5"/>
    <m/>
    <m/>
    <n v="250"/>
    <m/>
    <m/>
    <m/>
    <m/>
    <m/>
    <m/>
    <m/>
    <m/>
    <m/>
    <m/>
    <n v="7825"/>
    <n v="375"/>
    <m/>
    <m/>
    <n v="7450"/>
    <n v="0.12416666666666666"/>
    <m/>
    <m/>
    <m/>
    <m/>
    <m/>
    <m/>
    <m/>
    <m/>
    <m/>
    <n v="0"/>
    <n v="0"/>
    <n v="0"/>
    <n v="7450"/>
  </r>
  <r>
    <n v="31"/>
    <n v="260831"/>
    <n v="598"/>
    <d v="2026-08-12T00:00:00"/>
    <x v="0"/>
    <x v="0"/>
    <s v="Luis"/>
    <s v="5738UPK"/>
    <n v="200"/>
    <m/>
    <m/>
    <n v="2"/>
    <m/>
    <n v="30"/>
    <n v="20"/>
    <m/>
    <m/>
    <n v="5"/>
    <m/>
    <n v="10"/>
    <n v="5"/>
    <m/>
    <n v="200"/>
    <m/>
    <m/>
    <m/>
    <m/>
    <m/>
    <m/>
    <m/>
    <m/>
    <m/>
    <m/>
    <n v="9712"/>
    <n v="300"/>
    <m/>
    <m/>
    <n v="9412"/>
    <n v="0.15686666666666665"/>
    <m/>
    <m/>
    <m/>
    <m/>
    <m/>
    <m/>
    <n v="3458"/>
    <n v="4150"/>
    <m/>
    <n v="0"/>
    <n v="3458"/>
    <n v="7608"/>
    <n v="1804"/>
  </r>
  <r>
    <n v="32"/>
    <n v="260832"/>
    <n v="599"/>
    <d v="2026-08-13T00:00:00"/>
    <x v="0"/>
    <x v="0"/>
    <s v="Luis"/>
    <s v="5738UPK"/>
    <n v="400"/>
    <m/>
    <m/>
    <m/>
    <m/>
    <n v="30"/>
    <m/>
    <n v="5"/>
    <m/>
    <m/>
    <m/>
    <n v="6"/>
    <n v="5"/>
    <m/>
    <n v="400"/>
    <m/>
    <m/>
    <m/>
    <n v="3"/>
    <m/>
    <m/>
    <m/>
    <m/>
    <m/>
    <m/>
    <n v="13036"/>
    <n v="600"/>
    <m/>
    <m/>
    <n v="12436"/>
    <n v="0.20726666666666665"/>
    <m/>
    <m/>
    <m/>
    <m/>
    <m/>
    <m/>
    <n v="310"/>
    <n v="1390"/>
    <m/>
    <n v="0"/>
    <n v="310"/>
    <n v="1700"/>
    <n v="10736"/>
  </r>
  <r>
    <n v="33"/>
    <n v="260833"/>
    <n v="600"/>
    <d v="2026-08-13T00:00:00"/>
    <x v="0"/>
    <x v="0"/>
    <s v="Luis"/>
    <s v="5738UPK"/>
    <m/>
    <m/>
    <n v="10"/>
    <m/>
    <m/>
    <m/>
    <m/>
    <m/>
    <m/>
    <m/>
    <m/>
    <m/>
    <m/>
    <m/>
    <m/>
    <m/>
    <m/>
    <m/>
    <m/>
    <m/>
    <m/>
    <m/>
    <m/>
    <m/>
    <m/>
    <n v="240"/>
    <m/>
    <m/>
    <m/>
    <n v="240"/>
    <n v="4.0000000000000001E-3"/>
    <m/>
    <m/>
    <m/>
    <m/>
    <m/>
    <m/>
    <n v="2400"/>
    <n v="5196"/>
    <m/>
    <n v="0"/>
    <n v="2400"/>
    <n v="7596"/>
    <n v="-7356"/>
  </r>
  <r>
    <n v="34"/>
    <n v="260834"/>
    <n v="601"/>
    <d v="2026-08-13T00:00:00"/>
    <x v="11"/>
    <x v="4"/>
    <m/>
    <m/>
    <m/>
    <m/>
    <m/>
    <m/>
    <m/>
    <n v="1225"/>
    <n v="500"/>
    <m/>
    <m/>
    <n v="311"/>
    <m/>
    <n v="300"/>
    <m/>
    <m/>
    <m/>
    <m/>
    <m/>
    <m/>
    <m/>
    <m/>
    <m/>
    <m/>
    <m/>
    <m/>
    <m/>
    <n v="195308.5"/>
    <m/>
    <m/>
    <m/>
    <n v="195308.5"/>
    <n v="3.2551416666666668"/>
    <m/>
    <m/>
    <m/>
    <m/>
    <m/>
    <m/>
    <m/>
    <m/>
    <m/>
    <n v="0"/>
    <n v="0"/>
    <n v="0"/>
    <n v="195308.5"/>
  </r>
  <r>
    <n v="35"/>
    <n v="260835"/>
    <n v="602"/>
    <d v="2026-08-13T00:00:00"/>
    <x v="1"/>
    <x v="0"/>
    <m/>
    <m/>
    <n v="250"/>
    <m/>
    <m/>
    <m/>
    <m/>
    <n v="10"/>
    <m/>
    <n v="2"/>
    <m/>
    <m/>
    <m/>
    <n v="5"/>
    <m/>
    <m/>
    <n v="250"/>
    <m/>
    <m/>
    <m/>
    <m/>
    <m/>
    <m/>
    <m/>
    <m/>
    <m/>
    <m/>
    <n v="7129"/>
    <n v="375"/>
    <m/>
    <n v="0"/>
    <n v="6754"/>
    <n v="0.11256666666666666"/>
    <m/>
    <m/>
    <m/>
    <m/>
    <m/>
    <m/>
    <m/>
    <m/>
    <m/>
    <n v="0"/>
    <n v="0"/>
    <n v="0"/>
    <n v="6754"/>
  </r>
  <r>
    <n v="36"/>
    <n v="260836"/>
    <n v="603"/>
    <d v="2026-08-13T00:00:00"/>
    <x v="12"/>
    <x v="5"/>
    <m/>
    <m/>
    <n v="1920"/>
    <m/>
    <m/>
    <m/>
    <m/>
    <n v="100"/>
    <n v="84"/>
    <m/>
    <m/>
    <m/>
    <m/>
    <m/>
    <m/>
    <m/>
    <n v="1920"/>
    <m/>
    <m/>
    <m/>
    <m/>
    <m/>
    <m/>
    <m/>
    <m/>
    <m/>
    <m/>
    <n v="60916"/>
    <n v="2880"/>
    <m/>
    <m/>
    <n v="58036"/>
    <n v="0.96726666666666672"/>
    <m/>
    <m/>
    <m/>
    <m/>
    <m/>
    <m/>
    <m/>
    <m/>
    <m/>
    <n v="0"/>
    <n v="0"/>
    <n v="0"/>
    <n v="58036"/>
  </r>
  <r>
    <n v="37"/>
    <n v="260837"/>
    <n v="604"/>
    <d v="2026-08-13T00:00:00"/>
    <x v="13"/>
    <x v="6"/>
    <m/>
    <m/>
    <m/>
    <m/>
    <m/>
    <m/>
    <m/>
    <n v="735"/>
    <m/>
    <m/>
    <m/>
    <m/>
    <m/>
    <m/>
    <m/>
    <m/>
    <m/>
    <m/>
    <m/>
    <m/>
    <m/>
    <m/>
    <m/>
    <m/>
    <m/>
    <m/>
    <m/>
    <n v="60637.5"/>
    <m/>
    <m/>
    <m/>
    <n v="60637.5"/>
    <n v="1.0106250000000001"/>
    <m/>
    <m/>
    <m/>
    <m/>
    <m/>
    <m/>
    <m/>
    <n v="60637.5"/>
    <m/>
    <n v="0"/>
    <n v="0"/>
    <n v="60637.5"/>
    <n v="0"/>
  </r>
  <r>
    <n v="38"/>
    <n v="260838"/>
    <n v="605"/>
    <d v="2026-08-13T00:00:00"/>
    <x v="13"/>
    <x v="6"/>
    <m/>
    <m/>
    <m/>
    <m/>
    <m/>
    <m/>
    <m/>
    <n v="300"/>
    <n v="190"/>
    <m/>
    <m/>
    <m/>
    <m/>
    <n v="200"/>
    <m/>
    <m/>
    <m/>
    <m/>
    <m/>
    <m/>
    <m/>
    <m/>
    <m/>
    <m/>
    <m/>
    <m/>
    <m/>
    <n v="49300"/>
    <m/>
    <m/>
    <m/>
    <n v="49300"/>
    <n v="0.82166666666666666"/>
    <m/>
    <m/>
    <m/>
    <m/>
    <m/>
    <m/>
    <m/>
    <n v="49300"/>
    <m/>
    <n v="0"/>
    <n v="0"/>
    <n v="49300"/>
    <n v="0"/>
  </r>
  <r>
    <n v="39"/>
    <n v="260839"/>
    <n v="606"/>
    <d v="2026-08-14T00:00:00"/>
    <x v="14"/>
    <x v="0"/>
    <m/>
    <m/>
    <n v="36"/>
    <m/>
    <m/>
    <n v="8"/>
    <m/>
    <n v="6"/>
    <n v="8"/>
    <n v="2"/>
    <m/>
    <m/>
    <m/>
    <n v="9"/>
    <n v="3"/>
    <m/>
    <n v="36"/>
    <m/>
    <m/>
    <m/>
    <m/>
    <m/>
    <m/>
    <m/>
    <m/>
    <m/>
    <m/>
    <n v="3354"/>
    <n v="54"/>
    <m/>
    <n v="0"/>
    <n v="3300"/>
    <n v="5.5E-2"/>
    <m/>
    <m/>
    <m/>
    <m/>
    <m/>
    <m/>
    <m/>
    <m/>
    <m/>
    <n v="0"/>
    <n v="0"/>
    <n v="0"/>
    <n v="3300"/>
  </r>
  <r>
    <n v="40"/>
    <n v="260840"/>
    <n v="607"/>
    <d v="2026-08-14T00:00:00"/>
    <x v="0"/>
    <x v="0"/>
    <s v="Luis"/>
    <s v="5738UPK"/>
    <n v="250"/>
    <m/>
    <n v="5"/>
    <m/>
    <m/>
    <n v="30"/>
    <m/>
    <m/>
    <m/>
    <m/>
    <m/>
    <n v="10"/>
    <m/>
    <m/>
    <n v="250"/>
    <m/>
    <m/>
    <m/>
    <m/>
    <m/>
    <m/>
    <m/>
    <m/>
    <m/>
    <m/>
    <n v="9095"/>
    <n v="375"/>
    <m/>
    <m/>
    <n v="8720"/>
    <n v="0.14533333333333334"/>
    <m/>
    <m/>
    <m/>
    <m/>
    <m/>
    <m/>
    <n v="1744"/>
    <n v="5376"/>
    <m/>
    <n v="0"/>
    <n v="1744"/>
    <n v="7120"/>
    <n v="1600"/>
  </r>
  <r>
    <n v="41"/>
    <n v="260841"/>
    <n v="608"/>
    <d v="2026-08-14T00:00:00"/>
    <x v="1"/>
    <x v="0"/>
    <m/>
    <m/>
    <n v="250"/>
    <m/>
    <m/>
    <m/>
    <m/>
    <n v="5"/>
    <n v="5"/>
    <m/>
    <m/>
    <m/>
    <m/>
    <m/>
    <m/>
    <m/>
    <n v="250"/>
    <m/>
    <m/>
    <m/>
    <m/>
    <m/>
    <m/>
    <m/>
    <m/>
    <m/>
    <m/>
    <n v="6605"/>
    <n v="375"/>
    <m/>
    <n v="0"/>
    <n v="6230"/>
    <n v="0.10383333333333333"/>
    <m/>
    <m/>
    <m/>
    <m/>
    <m/>
    <m/>
    <m/>
    <m/>
    <m/>
    <n v="0"/>
    <n v="0"/>
    <n v="0"/>
    <n v="6230"/>
  </r>
  <r>
    <n v="42"/>
    <n v="260842"/>
    <n v="609"/>
    <d v="2026-08-14T00:00:00"/>
    <x v="0"/>
    <x v="0"/>
    <s v="Luis"/>
    <s v="5738UPK"/>
    <m/>
    <m/>
    <m/>
    <m/>
    <m/>
    <m/>
    <n v="1"/>
    <m/>
    <m/>
    <m/>
    <m/>
    <m/>
    <m/>
    <m/>
    <m/>
    <m/>
    <m/>
    <m/>
    <m/>
    <m/>
    <m/>
    <m/>
    <m/>
    <m/>
    <m/>
    <n v="62"/>
    <m/>
    <m/>
    <n v="0"/>
    <n v="62"/>
    <n v="1.0333333333333334E-3"/>
    <m/>
    <m/>
    <m/>
    <m/>
    <m/>
    <m/>
    <m/>
    <n v="292"/>
    <m/>
    <n v="0"/>
    <n v="0"/>
    <n v="292"/>
    <n v="-230"/>
  </r>
  <r>
    <n v="43"/>
    <n v="260843"/>
    <n v="610"/>
    <d v="2026-08-14T00:00:00"/>
    <x v="15"/>
    <x v="0"/>
    <m/>
    <m/>
    <m/>
    <m/>
    <m/>
    <m/>
    <m/>
    <n v="1"/>
    <m/>
    <m/>
    <m/>
    <m/>
    <m/>
    <m/>
    <m/>
    <m/>
    <m/>
    <m/>
    <m/>
    <m/>
    <m/>
    <m/>
    <n v="4"/>
    <m/>
    <n v="3"/>
    <m/>
    <m/>
    <n v="229"/>
    <m/>
    <m/>
    <n v="0"/>
    <n v="229"/>
    <n v="3.8166666666666666E-3"/>
    <m/>
    <m/>
    <m/>
    <m/>
    <m/>
    <m/>
    <m/>
    <n v="229"/>
    <m/>
    <n v="0"/>
    <n v="0"/>
    <n v="229"/>
    <n v="0"/>
  </r>
  <r>
    <n v="44"/>
    <n v="260844"/>
    <n v="612"/>
    <d v="2026-08-15T00:00:00"/>
    <x v="0"/>
    <x v="0"/>
    <s v="Luis"/>
    <s v="5738UPK"/>
    <n v="150"/>
    <m/>
    <m/>
    <m/>
    <m/>
    <n v="20"/>
    <n v="30"/>
    <n v="1"/>
    <m/>
    <m/>
    <m/>
    <n v="15"/>
    <m/>
    <m/>
    <n v="150"/>
    <m/>
    <m/>
    <m/>
    <m/>
    <m/>
    <m/>
    <m/>
    <m/>
    <m/>
    <m/>
    <n v="7997"/>
    <n v="225"/>
    <m/>
    <n v="0"/>
    <n v="7772"/>
    <n v="0.12953333333333333"/>
    <m/>
    <m/>
    <m/>
    <m/>
    <m/>
    <m/>
    <m/>
    <n v="3182"/>
    <m/>
    <n v="0"/>
    <n v="0"/>
    <n v="3182"/>
    <n v="4590"/>
  </r>
  <r>
    <n v="45"/>
    <n v="260845"/>
    <n v="613"/>
    <d v="2026-08-15T00:00:00"/>
    <x v="1"/>
    <x v="0"/>
    <m/>
    <m/>
    <n v="230"/>
    <m/>
    <m/>
    <m/>
    <n v="3"/>
    <n v="5"/>
    <n v="20"/>
    <m/>
    <m/>
    <m/>
    <m/>
    <n v="4"/>
    <n v="3"/>
    <m/>
    <n v="230"/>
    <m/>
    <m/>
    <m/>
    <m/>
    <m/>
    <m/>
    <m/>
    <m/>
    <m/>
    <m/>
    <n v="7729"/>
    <n v="345"/>
    <m/>
    <n v="0"/>
    <n v="7384"/>
    <n v="0.12306666666666667"/>
    <m/>
    <m/>
    <m/>
    <m/>
    <m/>
    <m/>
    <m/>
    <n v="13300"/>
    <m/>
    <n v="0"/>
    <n v="0"/>
    <n v="13300"/>
    <n v="-5916"/>
  </r>
  <r>
    <n v="46"/>
    <n v="260846"/>
    <n v="614"/>
    <d v="2026-08-17T00:00:00"/>
    <x v="0"/>
    <x v="0"/>
    <s v="Luis"/>
    <s v="5738UPK"/>
    <n v="100"/>
    <m/>
    <m/>
    <m/>
    <m/>
    <m/>
    <n v="20"/>
    <m/>
    <m/>
    <m/>
    <m/>
    <n v="5"/>
    <m/>
    <m/>
    <n v="100"/>
    <m/>
    <m/>
    <m/>
    <m/>
    <m/>
    <m/>
    <m/>
    <m/>
    <m/>
    <m/>
    <n v="3940"/>
    <n v="150"/>
    <m/>
    <n v="0"/>
    <n v="3790"/>
    <n v="6.3166666666666663E-2"/>
    <m/>
    <m/>
    <m/>
    <m/>
    <m/>
    <m/>
    <n v="1357"/>
    <n v="5241.3"/>
    <m/>
    <n v="0"/>
    <n v="1357"/>
    <n v="6598.3"/>
    <n v="-2808.3"/>
  </r>
  <r>
    <n v="47"/>
    <n v="260847"/>
    <n v="615"/>
    <d v="2026-08-17T00:00:00"/>
    <x v="0"/>
    <x v="0"/>
    <s v="Luis"/>
    <s v="5738UPK"/>
    <m/>
    <m/>
    <m/>
    <m/>
    <m/>
    <m/>
    <m/>
    <m/>
    <m/>
    <m/>
    <m/>
    <m/>
    <m/>
    <m/>
    <n v="52"/>
    <m/>
    <m/>
    <m/>
    <m/>
    <m/>
    <m/>
    <m/>
    <m/>
    <m/>
    <m/>
    <n v="78"/>
    <n v="78"/>
    <m/>
    <n v="0"/>
    <n v="0"/>
    <n v="0"/>
    <m/>
    <m/>
    <m/>
    <m/>
    <m/>
    <m/>
    <m/>
    <m/>
    <m/>
    <n v="0"/>
    <n v="0"/>
    <n v="0"/>
    <n v="0"/>
  </r>
  <r>
    <n v="48"/>
    <n v="260848"/>
    <n v="616"/>
    <d v="2026-08-17T00:00:00"/>
    <x v="1"/>
    <x v="0"/>
    <m/>
    <m/>
    <n v="250"/>
    <m/>
    <m/>
    <m/>
    <m/>
    <n v="10"/>
    <m/>
    <m/>
    <m/>
    <m/>
    <m/>
    <n v="5"/>
    <m/>
    <m/>
    <n v="270"/>
    <m/>
    <m/>
    <m/>
    <m/>
    <m/>
    <m/>
    <m/>
    <m/>
    <m/>
    <m/>
    <n v="7055"/>
    <n v="405"/>
    <m/>
    <n v="0"/>
    <n v="6650"/>
    <n v="0.11083333333333334"/>
    <m/>
    <m/>
    <m/>
    <m/>
    <m/>
    <m/>
    <m/>
    <m/>
    <m/>
    <n v="0"/>
    <n v="0"/>
    <n v="0"/>
    <n v="6650"/>
  </r>
  <r>
    <n v="49"/>
    <n v="260849"/>
    <n v="617"/>
    <d v="2026-08-17T00:00:00"/>
    <x v="7"/>
    <x v="2"/>
    <m/>
    <m/>
    <n v="1575"/>
    <m/>
    <m/>
    <m/>
    <m/>
    <n v="250"/>
    <m/>
    <m/>
    <m/>
    <m/>
    <m/>
    <m/>
    <m/>
    <m/>
    <n v="1575"/>
    <m/>
    <m/>
    <m/>
    <m/>
    <m/>
    <m/>
    <m/>
    <m/>
    <m/>
    <m/>
    <n v="56279.25"/>
    <n v="2362.5"/>
    <m/>
    <n v="0"/>
    <n v="53916.75"/>
    <n v="0.89861250000000004"/>
    <m/>
    <m/>
    <n v="30000"/>
    <m/>
    <n v="23916.75"/>
    <m/>
    <m/>
    <m/>
    <m/>
    <n v="0"/>
    <n v="53916.75"/>
    <n v="53916.75"/>
    <n v="0"/>
  </r>
  <r>
    <n v="50"/>
    <n v="260850"/>
    <n v="618"/>
    <d v="2026-08-18T00:00:00"/>
    <x v="0"/>
    <x v="0"/>
    <s v="Luis"/>
    <s v="5738UPK"/>
    <n v="150"/>
    <m/>
    <m/>
    <m/>
    <m/>
    <n v="10"/>
    <n v="30"/>
    <m/>
    <m/>
    <m/>
    <m/>
    <n v="15"/>
    <n v="5"/>
    <m/>
    <n v="170"/>
    <m/>
    <m/>
    <m/>
    <n v="3"/>
    <m/>
    <m/>
    <m/>
    <m/>
    <m/>
    <m/>
    <n v="7693"/>
    <n v="255"/>
    <m/>
    <n v="0"/>
    <n v="7438"/>
    <n v="0.12396666666666667"/>
    <m/>
    <m/>
    <m/>
    <m/>
    <m/>
    <m/>
    <n v="1160"/>
    <n v="4549"/>
    <m/>
    <n v="0"/>
    <n v="1160"/>
    <n v="5709"/>
    <n v="1729"/>
  </r>
  <r>
    <n v="51"/>
    <n v="260851"/>
    <n v="619"/>
    <d v="2026-08-18T00:00:00"/>
    <x v="0"/>
    <x v="0"/>
    <s v="Luis"/>
    <s v="5738UPK"/>
    <m/>
    <m/>
    <m/>
    <m/>
    <m/>
    <n v="20"/>
    <m/>
    <m/>
    <m/>
    <m/>
    <m/>
    <m/>
    <m/>
    <m/>
    <n v="40"/>
    <m/>
    <m/>
    <m/>
    <m/>
    <m/>
    <m/>
    <m/>
    <m/>
    <m/>
    <m/>
    <n v="1780"/>
    <n v="60"/>
    <m/>
    <n v="0"/>
    <n v="1720"/>
    <n v="2.8666666666666667E-2"/>
    <m/>
    <m/>
    <m/>
    <m/>
    <m/>
    <m/>
    <m/>
    <m/>
    <m/>
    <n v="0"/>
    <n v="0"/>
    <n v="0"/>
    <n v="1720"/>
  </r>
  <r>
    <n v="52"/>
    <n v="260852"/>
    <n v="620"/>
    <d v="2026-08-18T00:00:00"/>
    <x v="1"/>
    <x v="0"/>
    <m/>
    <m/>
    <n v="150"/>
    <m/>
    <m/>
    <m/>
    <m/>
    <n v="15"/>
    <n v="5"/>
    <m/>
    <m/>
    <m/>
    <m/>
    <m/>
    <m/>
    <m/>
    <n v="180"/>
    <m/>
    <m/>
    <m/>
    <m/>
    <m/>
    <m/>
    <m/>
    <m/>
    <m/>
    <m/>
    <n v="5185"/>
    <n v="270"/>
    <m/>
    <n v="0"/>
    <n v="4915"/>
    <n v="8.1916666666666665E-2"/>
    <m/>
    <m/>
    <m/>
    <m/>
    <m/>
    <m/>
    <m/>
    <m/>
    <m/>
    <n v="0"/>
    <n v="0"/>
    <n v="0"/>
    <n v="4915"/>
  </r>
  <r>
    <n v="53"/>
    <n v="260853"/>
    <n v="621"/>
    <d v="2026-08-19T00:00:00"/>
    <x v="0"/>
    <x v="0"/>
    <s v="Luis"/>
    <s v="5738UPK"/>
    <n v="100"/>
    <m/>
    <m/>
    <m/>
    <m/>
    <m/>
    <n v="10"/>
    <n v="3"/>
    <m/>
    <m/>
    <m/>
    <n v="5"/>
    <m/>
    <m/>
    <n v="100"/>
    <m/>
    <m/>
    <m/>
    <m/>
    <m/>
    <m/>
    <m/>
    <m/>
    <m/>
    <m/>
    <n v="3479"/>
    <n v="150"/>
    <m/>
    <m/>
    <n v="3329"/>
    <n v="5.5483333333333336E-2"/>
    <m/>
    <m/>
    <m/>
    <m/>
    <m/>
    <m/>
    <n v="2224"/>
    <n v="7421"/>
    <m/>
    <n v="0"/>
    <n v="2224"/>
    <n v="9645"/>
    <n v="-6316"/>
  </r>
  <r>
    <n v="54"/>
    <n v="260854"/>
    <n v="622"/>
    <d v="2026-08-19T00:00:00"/>
    <x v="12"/>
    <x v="5"/>
    <m/>
    <m/>
    <n v="1051"/>
    <m/>
    <m/>
    <m/>
    <m/>
    <n v="100"/>
    <n v="100"/>
    <n v="50"/>
    <m/>
    <m/>
    <m/>
    <n v="300"/>
    <n v="50"/>
    <m/>
    <n v="1051"/>
    <m/>
    <m/>
    <m/>
    <m/>
    <m/>
    <m/>
    <m/>
    <m/>
    <m/>
    <m/>
    <n v="65299.5"/>
    <n v="1576.5"/>
    <m/>
    <n v="0"/>
    <n v="63723"/>
    <n v="1.0620499999999999"/>
    <m/>
    <m/>
    <m/>
    <m/>
    <m/>
    <m/>
    <m/>
    <m/>
    <m/>
    <n v="0"/>
    <n v="0"/>
    <n v="0"/>
    <n v="63723"/>
  </r>
  <r>
    <n v="55"/>
    <n v="260855"/>
    <n v="623"/>
    <d v="2026-08-19T00:00:00"/>
    <x v="16"/>
    <x v="7"/>
    <m/>
    <m/>
    <n v="1063"/>
    <m/>
    <m/>
    <n v="150"/>
    <n v="50"/>
    <n v="200"/>
    <n v="50"/>
    <m/>
    <m/>
    <m/>
    <m/>
    <n v="100"/>
    <m/>
    <m/>
    <n v="1063"/>
    <m/>
    <m/>
    <m/>
    <m/>
    <m/>
    <m/>
    <m/>
    <m/>
    <m/>
    <m/>
    <n v="64880.07"/>
    <n v="1594.5"/>
    <m/>
    <n v="0"/>
    <n v="63285.57"/>
    <n v="1.0547595000000001"/>
    <m/>
    <m/>
    <n v="55000"/>
    <m/>
    <n v="8285.6"/>
    <m/>
    <m/>
    <m/>
    <m/>
    <n v="0"/>
    <n v="63285.599999999999"/>
    <n v="63285.599999999999"/>
    <n v="-2.9999999998835847E-2"/>
  </r>
  <r>
    <n v="56"/>
    <n v="260856"/>
    <n v="624"/>
    <d v="2026-08-20T00:00:00"/>
    <x v="1"/>
    <x v="0"/>
    <m/>
    <m/>
    <n v="300"/>
    <m/>
    <m/>
    <m/>
    <n v="2"/>
    <n v="7"/>
    <n v="5"/>
    <n v="3"/>
    <m/>
    <m/>
    <m/>
    <n v="7"/>
    <m/>
    <m/>
    <n v="314"/>
    <m/>
    <m/>
    <m/>
    <m/>
    <m/>
    <m/>
    <m/>
    <m/>
    <m/>
    <m/>
    <n v="8765"/>
    <n v="471"/>
    <m/>
    <n v="0"/>
    <n v="8294"/>
    <n v="0.13823333333333335"/>
    <m/>
    <m/>
    <m/>
    <m/>
    <m/>
    <m/>
    <m/>
    <m/>
    <m/>
    <n v="0"/>
    <n v="0"/>
    <n v="0"/>
    <n v="8294"/>
  </r>
  <r>
    <n v="57"/>
    <n v="260857"/>
    <n v="625"/>
    <d v="2026-08-20T00:00:00"/>
    <x v="0"/>
    <x v="0"/>
    <s v="Luis"/>
    <s v="5738UPK"/>
    <n v="250"/>
    <m/>
    <m/>
    <m/>
    <m/>
    <n v="20"/>
    <m/>
    <m/>
    <m/>
    <m/>
    <m/>
    <n v="8"/>
    <m/>
    <m/>
    <n v="290"/>
    <m/>
    <m/>
    <m/>
    <m/>
    <m/>
    <m/>
    <m/>
    <m/>
    <m/>
    <m/>
    <n v="8119"/>
    <n v="435"/>
    <m/>
    <n v="0"/>
    <n v="7684"/>
    <n v="0.12806666666666666"/>
    <m/>
    <m/>
    <m/>
    <m/>
    <m/>
    <m/>
    <m/>
    <n v="120"/>
    <m/>
    <n v="0"/>
    <n v="0"/>
    <n v="120"/>
    <n v="7564"/>
  </r>
  <r>
    <n v="58"/>
    <n v="260858"/>
    <n v="626"/>
    <d v="2026-08-20T00:00:00"/>
    <x v="1"/>
    <x v="0"/>
    <m/>
    <m/>
    <n v="20"/>
    <m/>
    <m/>
    <m/>
    <m/>
    <m/>
    <m/>
    <m/>
    <m/>
    <m/>
    <m/>
    <m/>
    <m/>
    <m/>
    <n v="20"/>
    <m/>
    <m/>
    <m/>
    <m/>
    <m/>
    <m/>
    <m/>
    <m/>
    <m/>
    <m/>
    <n v="470"/>
    <n v="30"/>
    <m/>
    <n v="0"/>
    <n v="440"/>
    <n v="7.3333333333333332E-3"/>
    <m/>
    <m/>
    <m/>
    <m/>
    <m/>
    <m/>
    <m/>
    <m/>
    <m/>
    <n v="0"/>
    <n v="0"/>
    <n v="0"/>
    <n v="440"/>
  </r>
  <r>
    <n v="59"/>
    <n v="260859"/>
    <n v="627"/>
    <d v="2026-08-20T00:00:00"/>
    <x v="17"/>
    <x v="6"/>
    <m/>
    <m/>
    <n v="50"/>
    <m/>
    <m/>
    <m/>
    <m/>
    <m/>
    <n v="20"/>
    <m/>
    <m/>
    <m/>
    <m/>
    <m/>
    <m/>
    <m/>
    <n v="50"/>
    <m/>
    <m/>
    <m/>
    <m/>
    <m/>
    <n v="1000"/>
    <n v="500"/>
    <n v="20"/>
    <m/>
    <m/>
    <n v="26185"/>
    <n v="75"/>
    <m/>
    <n v="0"/>
    <n v="26110"/>
    <n v="0.43516666666666665"/>
    <m/>
    <m/>
    <m/>
    <m/>
    <m/>
    <m/>
    <m/>
    <n v="6000"/>
    <m/>
    <n v="0"/>
    <n v="0"/>
    <n v="6000"/>
    <n v="20110"/>
  </r>
  <r>
    <n v="60"/>
    <n v="260860"/>
    <n v="628"/>
    <d v="2026-08-20T00:00:00"/>
    <x v="13"/>
    <x v="6"/>
    <m/>
    <m/>
    <m/>
    <m/>
    <m/>
    <m/>
    <m/>
    <n v="600"/>
    <m/>
    <m/>
    <m/>
    <m/>
    <m/>
    <m/>
    <m/>
    <m/>
    <m/>
    <m/>
    <m/>
    <m/>
    <m/>
    <m/>
    <m/>
    <m/>
    <m/>
    <m/>
    <m/>
    <n v="49500"/>
    <m/>
    <m/>
    <n v="0"/>
    <n v="49500"/>
    <n v="0.82499999999999996"/>
    <m/>
    <m/>
    <m/>
    <m/>
    <m/>
    <m/>
    <m/>
    <n v="49500"/>
    <m/>
    <n v="0"/>
    <n v="0"/>
    <n v="49500"/>
    <n v="0"/>
  </r>
  <r>
    <n v="61"/>
    <n v="260861"/>
    <n v="629"/>
    <d v="2026-08-20T00:00:00"/>
    <x v="13"/>
    <x v="6"/>
    <m/>
    <m/>
    <m/>
    <m/>
    <m/>
    <m/>
    <m/>
    <n v="634"/>
    <n v="93"/>
    <m/>
    <m/>
    <m/>
    <m/>
    <m/>
    <m/>
    <m/>
    <m/>
    <m/>
    <m/>
    <m/>
    <m/>
    <m/>
    <m/>
    <m/>
    <m/>
    <m/>
    <m/>
    <n v="58350"/>
    <m/>
    <m/>
    <n v="0"/>
    <n v="58350"/>
    <n v="0.97250000000000003"/>
    <m/>
    <m/>
    <m/>
    <m/>
    <m/>
    <m/>
    <m/>
    <n v="58350"/>
    <m/>
    <n v="0"/>
    <n v="0"/>
    <n v="58350"/>
    <n v="0"/>
  </r>
  <r>
    <n v="62"/>
    <n v="260862"/>
    <n v="630"/>
    <d v="2026-08-21T00:00:00"/>
    <x v="0"/>
    <x v="0"/>
    <s v="Luis"/>
    <s v="5738UPK"/>
    <n v="150"/>
    <m/>
    <m/>
    <m/>
    <n v="3"/>
    <m/>
    <m/>
    <n v="3"/>
    <m/>
    <m/>
    <m/>
    <n v="15"/>
    <m/>
    <m/>
    <n v="150"/>
    <m/>
    <m/>
    <m/>
    <m/>
    <m/>
    <m/>
    <m/>
    <m/>
    <m/>
    <m/>
    <n v="4842"/>
    <n v="225"/>
    <m/>
    <n v="0"/>
    <n v="4617"/>
    <n v="7.6950000000000005E-2"/>
    <m/>
    <m/>
    <m/>
    <m/>
    <m/>
    <m/>
    <n v="433"/>
    <n v="2853"/>
    <m/>
    <n v="0"/>
    <n v="433"/>
    <n v="3286"/>
    <n v="1331"/>
  </r>
  <r>
    <n v="63"/>
    <n v="260863"/>
    <n v="631"/>
    <d v="2026-08-21T00:00:00"/>
    <x v="1"/>
    <x v="0"/>
    <m/>
    <m/>
    <n v="150"/>
    <m/>
    <m/>
    <m/>
    <m/>
    <n v="5"/>
    <n v="5"/>
    <n v="4"/>
    <m/>
    <m/>
    <m/>
    <n v="3"/>
    <m/>
    <m/>
    <n v="160"/>
    <m/>
    <m/>
    <m/>
    <m/>
    <m/>
    <m/>
    <m/>
    <m/>
    <m/>
    <m/>
    <n v="4721"/>
    <n v="240"/>
    <m/>
    <m/>
    <n v="4481"/>
    <n v="7.4683333333333338E-2"/>
    <m/>
    <m/>
    <m/>
    <m/>
    <m/>
    <m/>
    <m/>
    <m/>
    <m/>
    <n v="0"/>
    <n v="0"/>
    <n v="0"/>
    <n v="4481"/>
  </r>
  <r>
    <n v="64"/>
    <n v="260864"/>
    <n v="632"/>
    <d v="2026-08-22T00:00:00"/>
    <x v="0"/>
    <x v="0"/>
    <s v="Luis"/>
    <s v="5738UPK"/>
    <n v="100"/>
    <m/>
    <m/>
    <n v="4"/>
    <m/>
    <n v="15"/>
    <n v="20"/>
    <n v="3"/>
    <m/>
    <m/>
    <m/>
    <n v="15"/>
    <n v="4"/>
    <m/>
    <n v="130"/>
    <m/>
    <m/>
    <m/>
    <n v="3"/>
    <m/>
    <m/>
    <m/>
    <m/>
    <m/>
    <m/>
    <n v="6788"/>
    <n v="195"/>
    <m/>
    <m/>
    <n v="6593"/>
    <n v="0.10988333333333333"/>
    <m/>
    <m/>
    <m/>
    <m/>
    <m/>
    <m/>
    <n v="440"/>
    <n v="4769"/>
    <m/>
    <n v="0"/>
    <n v="440"/>
    <n v="5209"/>
    <n v="1384"/>
  </r>
  <r>
    <n v="65"/>
    <n v="260865"/>
    <n v="633"/>
    <d v="2026-08-22T00:00:00"/>
    <x v="1"/>
    <x v="0"/>
    <m/>
    <m/>
    <n v="250"/>
    <m/>
    <m/>
    <m/>
    <m/>
    <n v="15"/>
    <n v="4"/>
    <n v="4"/>
    <m/>
    <m/>
    <m/>
    <n v="3"/>
    <m/>
    <m/>
    <n v="280"/>
    <m/>
    <m/>
    <m/>
    <m/>
    <m/>
    <m/>
    <m/>
    <m/>
    <m/>
    <m/>
    <n v="7896"/>
    <n v="420"/>
    <m/>
    <n v="0"/>
    <n v="7476"/>
    <n v="0.1246"/>
    <m/>
    <m/>
    <m/>
    <m/>
    <m/>
    <m/>
    <n v="10000"/>
    <n v="22256"/>
    <m/>
    <n v="0"/>
    <n v="10000"/>
    <n v="32256"/>
    <n v="-24780"/>
  </r>
  <r>
    <n v="66"/>
    <n v="260866"/>
    <n v="635"/>
    <d v="2026-08-24T00:00:00"/>
    <x v="0"/>
    <x v="0"/>
    <s v="Luis"/>
    <s v="5738UPK"/>
    <n v="150"/>
    <m/>
    <m/>
    <n v="4"/>
    <m/>
    <n v="25"/>
    <n v="15"/>
    <m/>
    <m/>
    <m/>
    <m/>
    <n v="15"/>
    <m/>
    <m/>
    <n v="200"/>
    <m/>
    <m/>
    <m/>
    <m/>
    <m/>
    <m/>
    <m/>
    <m/>
    <m/>
    <m/>
    <n v="7939"/>
    <n v="300"/>
    <m/>
    <n v="0"/>
    <n v="7639"/>
    <n v="0.12731666666666666"/>
    <m/>
    <m/>
    <m/>
    <m/>
    <m/>
    <m/>
    <n v="1595"/>
    <n v="4784"/>
    <m/>
    <n v="0"/>
    <n v="1595"/>
    <n v="6379"/>
    <n v="1260"/>
  </r>
  <r>
    <n v="67"/>
    <n v="260867"/>
    <n v="636"/>
    <d v="2026-08-24T00:00:00"/>
    <x v="10"/>
    <x v="0"/>
    <m/>
    <m/>
    <m/>
    <m/>
    <m/>
    <m/>
    <m/>
    <m/>
    <m/>
    <m/>
    <m/>
    <m/>
    <m/>
    <n v="10"/>
    <m/>
    <m/>
    <m/>
    <m/>
    <m/>
    <m/>
    <m/>
    <m/>
    <m/>
    <m/>
    <m/>
    <m/>
    <m/>
    <n v="540"/>
    <m/>
    <m/>
    <n v="0"/>
    <n v="540"/>
    <n v="8.9999999999999993E-3"/>
    <m/>
    <m/>
    <m/>
    <m/>
    <m/>
    <m/>
    <n v="340"/>
    <n v="200"/>
    <m/>
    <n v="0"/>
    <n v="340"/>
    <n v="540"/>
    <n v="0"/>
  </r>
  <r>
    <n v="68"/>
    <n v="260868"/>
    <n v="637"/>
    <d v="2026-08-24T00:00:00"/>
    <x v="1"/>
    <x v="0"/>
    <m/>
    <m/>
    <n v="250"/>
    <m/>
    <m/>
    <m/>
    <m/>
    <n v="20"/>
    <n v="10"/>
    <m/>
    <m/>
    <m/>
    <m/>
    <n v="3"/>
    <m/>
    <m/>
    <n v="290"/>
    <m/>
    <m/>
    <m/>
    <m/>
    <m/>
    <m/>
    <m/>
    <m/>
    <m/>
    <m/>
    <n v="8479"/>
    <n v="435"/>
    <m/>
    <n v="0"/>
    <n v="8044"/>
    <n v="0.13406666666666667"/>
    <m/>
    <m/>
    <m/>
    <m/>
    <m/>
    <m/>
    <m/>
    <n v="66"/>
    <m/>
    <n v="0"/>
    <n v="0"/>
    <n v="66"/>
    <n v="7978"/>
  </r>
  <r>
    <n v="69"/>
    <n v="260869"/>
    <n v="638"/>
    <d v="2026-08-25T00:00:00"/>
    <x v="1"/>
    <x v="0"/>
    <m/>
    <m/>
    <n v="250"/>
    <m/>
    <m/>
    <m/>
    <m/>
    <n v="7"/>
    <n v="7"/>
    <m/>
    <m/>
    <m/>
    <m/>
    <n v="6"/>
    <n v="3"/>
    <m/>
    <n v="264"/>
    <m/>
    <m/>
    <m/>
    <m/>
    <m/>
    <m/>
    <m/>
    <m/>
    <m/>
    <m/>
    <n v="7475"/>
    <n v="396"/>
    <m/>
    <n v="0"/>
    <n v="7079"/>
    <n v="0.11798333333333333"/>
    <m/>
    <m/>
    <m/>
    <m/>
    <m/>
    <m/>
    <n v="7480"/>
    <n v="20200"/>
    <m/>
    <n v="0"/>
    <n v="7480"/>
    <n v="27680"/>
    <n v="-20601"/>
  </r>
  <r>
    <n v="70"/>
    <n v="260870"/>
    <n v="639"/>
    <d v="2026-08-25T00:00:00"/>
    <x v="0"/>
    <x v="0"/>
    <s v="Luis"/>
    <s v="5738UPK"/>
    <n v="200"/>
    <m/>
    <m/>
    <m/>
    <m/>
    <n v="10"/>
    <n v="15"/>
    <m/>
    <m/>
    <m/>
    <m/>
    <n v="10"/>
    <m/>
    <m/>
    <n v="220"/>
    <m/>
    <m/>
    <m/>
    <n v="3"/>
    <m/>
    <m/>
    <m/>
    <m/>
    <m/>
    <m/>
    <n v="7313"/>
    <n v="330"/>
    <m/>
    <n v="0"/>
    <n v="6983"/>
    <n v="0.11638333333333334"/>
    <m/>
    <m/>
    <m/>
    <m/>
    <m/>
    <m/>
    <n v="871"/>
    <n v="4890"/>
    <m/>
    <n v="0"/>
    <n v="871"/>
    <n v="5761"/>
    <n v="1222"/>
  </r>
  <r>
    <n v="71"/>
    <n v="260871"/>
    <n v="641"/>
    <d v="2026-08-25T00:00:00"/>
    <x v="0"/>
    <x v="0"/>
    <s v="Luis"/>
    <s v="5738UPK"/>
    <m/>
    <m/>
    <m/>
    <m/>
    <m/>
    <n v="4"/>
    <m/>
    <m/>
    <m/>
    <m/>
    <m/>
    <m/>
    <m/>
    <m/>
    <m/>
    <m/>
    <m/>
    <m/>
    <m/>
    <m/>
    <m/>
    <m/>
    <m/>
    <m/>
    <m/>
    <n v="344"/>
    <m/>
    <m/>
    <n v="0"/>
    <n v="344"/>
    <n v="5.7333333333333333E-3"/>
    <m/>
    <m/>
    <m/>
    <m/>
    <m/>
    <m/>
    <n v="1292"/>
    <n v="4185"/>
    <m/>
    <n v="0"/>
    <n v="1292"/>
    <n v="5477"/>
    <n v="-5133"/>
  </r>
  <r>
    <n v="72"/>
    <n v="260872"/>
    <n v="642"/>
    <d v="2026-08-25T00:00:00"/>
    <x v="4"/>
    <x v="0"/>
    <m/>
    <m/>
    <n v="50"/>
    <m/>
    <m/>
    <m/>
    <m/>
    <n v="20"/>
    <n v="20"/>
    <m/>
    <m/>
    <m/>
    <m/>
    <m/>
    <m/>
    <m/>
    <n v="90"/>
    <m/>
    <m/>
    <m/>
    <m/>
    <m/>
    <m/>
    <m/>
    <m/>
    <m/>
    <m/>
    <n v="4255"/>
    <n v="135"/>
    <m/>
    <n v="0"/>
    <n v="4120"/>
    <n v="6.8666666666666668E-2"/>
    <m/>
    <m/>
    <m/>
    <m/>
    <m/>
    <m/>
    <m/>
    <m/>
    <m/>
    <n v="0"/>
    <n v="0"/>
    <n v="0"/>
    <n v="4120"/>
  </r>
  <r>
    <n v="73"/>
    <n v="260873"/>
    <n v="643"/>
    <d v="2026-08-26T00:00:00"/>
    <x v="0"/>
    <x v="0"/>
    <s v="Luis"/>
    <s v="5738UPK"/>
    <n v="100"/>
    <m/>
    <m/>
    <m/>
    <m/>
    <n v="10"/>
    <n v="5"/>
    <m/>
    <m/>
    <m/>
    <m/>
    <n v="10"/>
    <m/>
    <m/>
    <n v="120"/>
    <m/>
    <m/>
    <m/>
    <m/>
    <m/>
    <m/>
    <m/>
    <m/>
    <m/>
    <m/>
    <n v="4145"/>
    <n v="180"/>
    <m/>
    <n v="0"/>
    <n v="3965"/>
    <n v="6.6083333333333327E-2"/>
    <m/>
    <m/>
    <m/>
    <m/>
    <m/>
    <m/>
    <n v="1806"/>
    <n v="4185"/>
    <m/>
    <n v="0"/>
    <n v="1806"/>
    <n v="5991"/>
    <n v="-2026"/>
  </r>
  <r>
    <n v="74"/>
    <n v="260874"/>
    <n v="644"/>
    <d v="2026-08-26T00:00:00"/>
    <x v="1"/>
    <x v="0"/>
    <m/>
    <m/>
    <n v="200"/>
    <m/>
    <m/>
    <m/>
    <m/>
    <m/>
    <n v="7"/>
    <m/>
    <m/>
    <m/>
    <m/>
    <n v="5"/>
    <n v="2"/>
    <m/>
    <n v="200"/>
    <m/>
    <m/>
    <m/>
    <m/>
    <m/>
    <m/>
    <m/>
    <m/>
    <m/>
    <m/>
    <n v="5561"/>
    <n v="300"/>
    <m/>
    <n v="0"/>
    <n v="5261"/>
    <n v="8.7683333333333335E-2"/>
    <m/>
    <m/>
    <m/>
    <m/>
    <m/>
    <m/>
    <m/>
    <m/>
    <m/>
    <n v="0"/>
    <n v="0"/>
    <n v="0"/>
    <n v="5261"/>
  </r>
  <r>
    <n v="75"/>
    <n v="260875"/>
    <n v="645"/>
    <d v="2026-08-26T00:00:00"/>
    <x v="7"/>
    <x v="2"/>
    <m/>
    <m/>
    <n v="1980"/>
    <m/>
    <m/>
    <m/>
    <m/>
    <n v="250"/>
    <n v="30"/>
    <m/>
    <m/>
    <m/>
    <m/>
    <m/>
    <m/>
    <m/>
    <n v="1980"/>
    <m/>
    <m/>
    <m/>
    <m/>
    <m/>
    <m/>
    <m/>
    <m/>
    <m/>
    <m/>
    <n v="67446.899999999994"/>
    <n v="2970"/>
    <m/>
    <m/>
    <n v="64476.899999999994"/>
    <n v="1.0746149999999999"/>
    <m/>
    <m/>
    <n v="30000"/>
    <m/>
    <n v="34476"/>
    <m/>
    <m/>
    <m/>
    <m/>
    <n v="0"/>
    <n v="64476"/>
    <n v="64476"/>
    <n v="0.89999999999417923"/>
  </r>
  <r>
    <n v="76"/>
    <n v="260876"/>
    <n v="646"/>
    <d v="2026-08-27T00:00:00"/>
    <x v="0"/>
    <x v="0"/>
    <s v="Luis"/>
    <s v="5738UPK"/>
    <n v="100"/>
    <m/>
    <m/>
    <m/>
    <m/>
    <m/>
    <m/>
    <m/>
    <m/>
    <m/>
    <m/>
    <n v="10"/>
    <m/>
    <m/>
    <n v="100"/>
    <m/>
    <m/>
    <m/>
    <n v="3"/>
    <m/>
    <m/>
    <m/>
    <m/>
    <m/>
    <m/>
    <n v="3098"/>
    <n v="150"/>
    <m/>
    <n v="0"/>
    <n v="2948"/>
    <n v="4.9133333333333334E-2"/>
    <m/>
    <m/>
    <m/>
    <m/>
    <m/>
    <m/>
    <n v="1966"/>
    <n v="9506"/>
    <m/>
    <n v="0"/>
    <n v="1966"/>
    <n v="11472"/>
    <n v="-8524"/>
  </r>
  <r>
    <n v="77"/>
    <n v="260877"/>
    <n v="647"/>
    <d v="2026-08-27T00:00:00"/>
    <x v="12"/>
    <x v="5"/>
    <m/>
    <m/>
    <n v="2165"/>
    <m/>
    <m/>
    <m/>
    <m/>
    <m/>
    <m/>
    <m/>
    <m/>
    <m/>
    <m/>
    <m/>
    <n v="100"/>
    <m/>
    <n v="2165"/>
    <m/>
    <m/>
    <m/>
    <m/>
    <m/>
    <m/>
    <m/>
    <m/>
    <m/>
    <m/>
    <n v="59042.5"/>
    <n v="3247.5"/>
    <m/>
    <n v="0"/>
    <n v="55795"/>
    <n v="0.92991666666666661"/>
    <m/>
    <m/>
    <m/>
    <m/>
    <m/>
    <m/>
    <m/>
    <m/>
    <m/>
    <n v="0"/>
    <n v="0"/>
    <n v="0"/>
    <n v="55795"/>
  </r>
  <r>
    <n v="78"/>
    <n v="260878"/>
    <n v="649"/>
    <d v="2026-08-28T00:00:00"/>
    <x v="1"/>
    <x v="0"/>
    <m/>
    <m/>
    <n v="250"/>
    <m/>
    <m/>
    <m/>
    <m/>
    <n v="5"/>
    <n v="3"/>
    <n v="2"/>
    <m/>
    <m/>
    <m/>
    <n v="3"/>
    <m/>
    <m/>
    <n v="260"/>
    <m/>
    <m/>
    <m/>
    <m/>
    <m/>
    <m/>
    <m/>
    <m/>
    <m/>
    <m/>
    <n v="6815"/>
    <n v="390"/>
    <m/>
    <n v="0"/>
    <n v="6425"/>
    <n v="0.10708333333333334"/>
    <m/>
    <m/>
    <m/>
    <m/>
    <m/>
    <m/>
    <m/>
    <m/>
    <m/>
    <n v="0"/>
    <n v="0"/>
    <n v="0"/>
    <n v="6425"/>
  </r>
  <r>
    <n v="79"/>
    <n v="260879"/>
    <n v="650"/>
    <d v="2026-08-27T00:00:00"/>
    <x v="1"/>
    <x v="0"/>
    <m/>
    <m/>
    <n v="50"/>
    <m/>
    <n v="20"/>
    <m/>
    <m/>
    <n v="5"/>
    <n v="5"/>
    <m/>
    <m/>
    <m/>
    <m/>
    <n v="5"/>
    <m/>
    <m/>
    <n v="60"/>
    <m/>
    <m/>
    <m/>
    <m/>
    <m/>
    <m/>
    <m/>
    <m/>
    <m/>
    <m/>
    <n v="2715"/>
    <n v="90"/>
    <m/>
    <n v="0"/>
    <n v="2625"/>
    <n v="4.3749999999999997E-2"/>
    <m/>
    <m/>
    <m/>
    <m/>
    <m/>
    <m/>
    <m/>
    <m/>
    <m/>
    <n v="0"/>
    <n v="0"/>
    <n v="0"/>
    <n v="2625"/>
  </r>
  <r>
    <n v="80"/>
    <n v="260880"/>
    <n v="651"/>
    <d v="2026-08-28T00:00:00"/>
    <x v="0"/>
    <x v="0"/>
    <s v="Luis"/>
    <s v="5738UPK"/>
    <n v="300"/>
    <m/>
    <m/>
    <n v="3"/>
    <n v="2"/>
    <n v="10"/>
    <n v="5"/>
    <m/>
    <m/>
    <m/>
    <m/>
    <n v="20"/>
    <n v="25"/>
    <m/>
    <n v="320"/>
    <m/>
    <m/>
    <m/>
    <m/>
    <m/>
    <m/>
    <m/>
    <m/>
    <m/>
    <m/>
    <n v="11305"/>
    <n v="480"/>
    <m/>
    <n v="0"/>
    <n v="10825"/>
    <n v="0.18041666666666667"/>
    <m/>
    <m/>
    <m/>
    <m/>
    <m/>
    <m/>
    <n v="7477"/>
    <n v="3382"/>
    <m/>
    <n v="0"/>
    <n v="7477"/>
    <n v="10859"/>
    <n v="-34"/>
  </r>
  <r>
    <n v="81"/>
    <n v="260881"/>
    <n v="652"/>
    <d v="2026-08-28T00:00:00"/>
    <x v="18"/>
    <x v="0"/>
    <m/>
    <m/>
    <m/>
    <m/>
    <m/>
    <m/>
    <m/>
    <m/>
    <n v="1"/>
    <m/>
    <m/>
    <m/>
    <m/>
    <m/>
    <m/>
    <m/>
    <n v="20"/>
    <m/>
    <m/>
    <m/>
    <m/>
    <m/>
    <m/>
    <m/>
    <m/>
    <m/>
    <m/>
    <n v="95"/>
    <n v="95"/>
    <m/>
    <n v="0"/>
    <n v="0"/>
    <n v="0"/>
    <m/>
    <m/>
    <m/>
    <m/>
    <m/>
    <m/>
    <m/>
    <m/>
    <m/>
    <n v="0"/>
    <n v="0"/>
    <n v="0"/>
    <n v="0"/>
  </r>
  <r>
    <n v="82"/>
    <n v="260882"/>
    <n v="653"/>
    <d v="2026-08-29T00:00:00"/>
    <x v="0"/>
    <x v="0"/>
    <s v="Luis"/>
    <s v="5738UPK"/>
    <n v="200"/>
    <m/>
    <n v="5"/>
    <n v="2"/>
    <m/>
    <m/>
    <n v="10"/>
    <n v="6"/>
    <m/>
    <m/>
    <m/>
    <n v="10"/>
    <n v="3"/>
    <m/>
    <n v="200"/>
    <m/>
    <m/>
    <m/>
    <m/>
    <m/>
    <m/>
    <m/>
    <m/>
    <m/>
    <m/>
    <n v="6774"/>
    <n v="300"/>
    <m/>
    <n v="0"/>
    <n v="6474"/>
    <n v="0.1079"/>
    <m/>
    <m/>
    <m/>
    <m/>
    <m/>
    <m/>
    <n v="204"/>
    <n v="2210"/>
    <m/>
    <n v="0"/>
    <n v="204"/>
    <n v="2414"/>
    <n v="4060"/>
  </r>
  <r>
    <n v="83"/>
    <n v="260883"/>
    <n v="654"/>
    <d v="2026-08-29T00:00:00"/>
    <x v="1"/>
    <x v="0"/>
    <m/>
    <m/>
    <n v="220"/>
    <m/>
    <m/>
    <m/>
    <m/>
    <n v="10"/>
    <n v="3"/>
    <m/>
    <m/>
    <m/>
    <m/>
    <n v="10"/>
    <m/>
    <m/>
    <n v="240"/>
    <m/>
    <m/>
    <m/>
    <m/>
    <m/>
    <m/>
    <m/>
    <m/>
    <m/>
    <m/>
    <n v="6835"/>
    <n v="360"/>
    <m/>
    <n v="0"/>
    <n v="6475"/>
    <n v="0.10791666666666666"/>
    <m/>
    <m/>
    <m/>
    <m/>
    <m/>
    <m/>
    <m/>
    <m/>
    <m/>
    <n v="0"/>
    <n v="0"/>
    <n v="0"/>
    <n v="6475"/>
  </r>
  <r>
    <n v="84"/>
    <n v="260884"/>
    <n v="655"/>
    <d v="2026-08-29T00:00:00"/>
    <x v="15"/>
    <x v="0"/>
    <m/>
    <m/>
    <m/>
    <m/>
    <m/>
    <m/>
    <m/>
    <m/>
    <m/>
    <m/>
    <m/>
    <m/>
    <m/>
    <m/>
    <m/>
    <m/>
    <m/>
    <m/>
    <m/>
    <m/>
    <m/>
    <m/>
    <m/>
    <n v="10"/>
    <m/>
    <m/>
    <m/>
    <n v="160"/>
    <m/>
    <m/>
    <n v="0"/>
    <n v="160"/>
    <n v="2.6666666666666666E-3"/>
    <m/>
    <m/>
    <m/>
    <m/>
    <m/>
    <m/>
    <n v="160"/>
    <m/>
    <m/>
    <n v="0"/>
    <n v="160"/>
    <n v="160"/>
    <n v="0"/>
  </r>
  <r>
    <n v="85"/>
    <n v="260885"/>
    <n v="656"/>
    <d v="2026-08-31T00:00:00"/>
    <x v="0"/>
    <x v="0"/>
    <s v="Luis"/>
    <s v="5738UPK"/>
    <m/>
    <m/>
    <m/>
    <m/>
    <m/>
    <n v="10"/>
    <n v="15"/>
    <m/>
    <m/>
    <m/>
    <m/>
    <n v="10"/>
    <n v="5"/>
    <m/>
    <n v="20"/>
    <m/>
    <m/>
    <m/>
    <m/>
    <m/>
    <m/>
    <m/>
    <m/>
    <m/>
    <m/>
    <n v="2735"/>
    <n v="30"/>
    <m/>
    <m/>
    <n v="2705"/>
    <n v="4.5083333333333336E-2"/>
    <m/>
    <m/>
    <m/>
    <m/>
    <m/>
    <m/>
    <n v="1454"/>
    <n v="5484"/>
    <m/>
    <n v="0"/>
    <n v="1454"/>
    <n v="6938"/>
    <n v="-4233"/>
  </r>
  <r>
    <n v="86"/>
    <n v="260886"/>
    <n v="657"/>
    <d v="2026-08-31T00:00:00"/>
    <x v="10"/>
    <x v="0"/>
    <m/>
    <m/>
    <m/>
    <m/>
    <m/>
    <m/>
    <m/>
    <m/>
    <m/>
    <m/>
    <m/>
    <m/>
    <m/>
    <n v="10"/>
    <m/>
    <m/>
    <m/>
    <m/>
    <m/>
    <m/>
    <m/>
    <m/>
    <m/>
    <m/>
    <m/>
    <m/>
    <m/>
    <n v="540"/>
    <m/>
    <m/>
    <m/>
    <n v="540"/>
    <n v="8.9999999999999993E-3"/>
    <m/>
    <m/>
    <m/>
    <m/>
    <m/>
    <m/>
    <m/>
    <m/>
    <m/>
    <n v="0"/>
    <n v="0"/>
    <n v="0"/>
    <n v="540"/>
  </r>
  <r>
    <n v="87"/>
    <n v="260887"/>
    <n v="658"/>
    <d v="2026-08-31T00:00:00"/>
    <x v="1"/>
    <x v="0"/>
    <m/>
    <m/>
    <n v="200"/>
    <m/>
    <m/>
    <m/>
    <n v="1"/>
    <n v="12"/>
    <n v="15"/>
    <n v="3"/>
    <m/>
    <m/>
    <m/>
    <n v="12"/>
    <n v="2"/>
    <m/>
    <n v="224"/>
    <m/>
    <m/>
    <m/>
    <m/>
    <m/>
    <m/>
    <m/>
    <m/>
    <m/>
    <m/>
    <n v="7830"/>
    <n v="336"/>
    <m/>
    <m/>
    <n v="7494"/>
    <n v="0.1249"/>
    <m/>
    <m/>
    <m/>
    <m/>
    <m/>
    <m/>
    <m/>
    <m/>
    <m/>
    <n v="0"/>
    <n v="0"/>
    <n v="0"/>
    <n v="7494"/>
  </r>
  <r>
    <n v="88"/>
    <n v="260888"/>
    <n v="659"/>
    <d v="2026-08-31T00:00:00"/>
    <x v="7"/>
    <x v="2"/>
    <m/>
    <m/>
    <n v="892"/>
    <m/>
    <m/>
    <m/>
    <m/>
    <n v="250"/>
    <n v="315"/>
    <n v="60"/>
    <m/>
    <m/>
    <m/>
    <m/>
    <m/>
    <m/>
    <n v="892"/>
    <m/>
    <m/>
    <m/>
    <m/>
    <m/>
    <m/>
    <m/>
    <m/>
    <m/>
    <m/>
    <n v="64248.78"/>
    <n v="1338"/>
    <m/>
    <m/>
    <n v="62910.78"/>
    <n v="1.048513"/>
    <m/>
    <m/>
    <n v="30000"/>
    <m/>
    <n v="32910.78"/>
    <m/>
    <m/>
    <m/>
    <m/>
    <n v="0"/>
    <n v="62910.78"/>
    <n v="62910.78"/>
    <n v="0"/>
  </r>
  <r>
    <n v="89"/>
    <n v="260889"/>
    <n v="660"/>
    <d v="2026-08-31T00:00:00"/>
    <x v="0"/>
    <x v="0"/>
    <s v="Luis"/>
    <s v="5738UPK"/>
    <n v="-120"/>
    <m/>
    <m/>
    <n v="-3"/>
    <n v="-2"/>
    <m/>
    <n v="-27"/>
    <n v="-4"/>
    <m/>
    <m/>
    <m/>
    <n v="-14"/>
    <n v="-5"/>
    <m/>
    <n v="-166"/>
    <m/>
    <m/>
    <m/>
    <n v="-3"/>
    <m/>
    <m/>
    <m/>
    <m/>
    <m/>
    <m/>
    <n v="-6596"/>
    <n v="-249"/>
    <m/>
    <m/>
    <n v="-6347"/>
    <n v="-0.10578333333333333"/>
    <m/>
    <m/>
    <m/>
    <m/>
    <m/>
    <m/>
    <n v="784"/>
    <n v="6655"/>
    <m/>
    <n v="0"/>
    <n v="784"/>
    <n v="7439"/>
    <n v="-13786"/>
  </r>
  <r>
    <n v="90"/>
    <n v="260890"/>
    <n v="661"/>
    <d v="2026-08-31T00:00:00"/>
    <x v="12"/>
    <x v="5"/>
    <m/>
    <m/>
    <n v="1170"/>
    <m/>
    <m/>
    <m/>
    <m/>
    <m/>
    <n v="200"/>
    <n v="50"/>
    <m/>
    <m/>
    <m/>
    <n v="200"/>
    <n v="100"/>
    <m/>
    <n v="1170"/>
    <m/>
    <m/>
    <m/>
    <m/>
    <m/>
    <m/>
    <m/>
    <m/>
    <m/>
    <m/>
    <n v="63315"/>
    <n v="1755"/>
    <m/>
    <m/>
    <n v="61560"/>
    <n v="1.026"/>
    <m/>
    <m/>
    <m/>
    <m/>
    <m/>
    <m/>
    <m/>
    <m/>
    <m/>
    <n v="0"/>
    <n v="0"/>
    <n v="0"/>
    <n v="61560"/>
  </r>
  <r>
    <n v="91"/>
    <n v="260890"/>
    <n v="662"/>
    <d v="2026-08-31T00:00:00"/>
    <x v="11"/>
    <x v="4"/>
    <m/>
    <m/>
    <m/>
    <m/>
    <m/>
    <m/>
    <m/>
    <n v="877"/>
    <n v="800"/>
    <m/>
    <m/>
    <n v="400"/>
    <m/>
    <n v="600"/>
    <m/>
    <m/>
    <m/>
    <m/>
    <m/>
    <m/>
    <m/>
    <m/>
    <m/>
    <m/>
    <m/>
    <m/>
    <m/>
    <n v="214786.48"/>
    <m/>
    <m/>
    <m/>
    <n v="214786.48"/>
    <n v="3.5797746666666668"/>
    <m/>
    <m/>
    <m/>
    <m/>
    <m/>
    <m/>
    <m/>
    <m/>
    <m/>
    <n v="0"/>
    <n v="0"/>
    <n v="0"/>
    <n v="214786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DISTRIBUIDORES">
  <location ref="C9:F29" firstHeaderRow="0" firstDataRow="1" firstDataCol="1"/>
  <pivotFields count="52">
    <pivotField showAll="0"/>
    <pivotField showAll="0"/>
    <pivotField showAll="0"/>
    <pivotField showAll="0"/>
    <pivotField axis="axisRow" dataField="1" showAll="0" sortType="descending">
      <items count="21">
        <item m="1" x="19"/>
        <item x="4"/>
        <item x="15"/>
        <item x="7"/>
        <item x="0"/>
        <item x="12"/>
        <item x="10"/>
        <item x="17"/>
        <item x="13"/>
        <item x="8"/>
        <item x="1"/>
        <item x="16"/>
        <item x="2"/>
        <item x="3"/>
        <item x="5"/>
        <item x="6"/>
        <item x="9"/>
        <item x="11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dataField="1" showAll="0"/>
    <pivotField showAll="0"/>
    <pivotField showAll="0"/>
    <pivotField numFmtId="43" showAll="0"/>
    <pivotField numFmtId="4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</pivotFields>
  <rowFields count="1">
    <field x="4"/>
  </rowFields>
  <rowItems count="20">
    <i>
      <x v="17"/>
    </i>
    <i>
      <x v="3"/>
    </i>
    <i>
      <x v="5"/>
    </i>
    <i>
      <x v="8"/>
    </i>
    <i>
      <x v="4"/>
    </i>
    <i>
      <x v="10"/>
    </i>
    <i>
      <x v="9"/>
    </i>
    <i>
      <x v="11"/>
    </i>
    <i>
      <x v="7"/>
    </i>
    <i>
      <x v="1"/>
    </i>
    <i>
      <x v="14"/>
    </i>
    <i>
      <x v="13"/>
    </i>
    <i>
      <x v="18"/>
    </i>
    <i>
      <x v="15"/>
    </i>
    <i>
      <x v="16"/>
    </i>
    <i>
      <x v="12"/>
    </i>
    <i>
      <x v="6"/>
    </i>
    <i>
      <x v="2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 VENTA" fld="33" baseField="0" baseItem="0" numFmtId="4"/>
    <dataField name="Suma de CANTIDAD DE CAMIONES" fld="38" baseField="0" baseItem="0" numFmtId="4"/>
    <dataField name="Frecuencia de despacho" fld="4" subtotal="count" baseField="0" baseItem="0"/>
  </dataFields>
  <formats count="31">
    <format dxfId="91">
      <pivotArea field="4" type="button" dataOnly="0" labelOnly="1" outline="0" axis="axisRow" fieldPosition="0"/>
    </format>
    <format dxfId="90">
      <pivotArea outline="0" collapsedLevelsAreSubtotals="1" fieldPosition="0"/>
    </format>
    <format dxfId="89">
      <pivotArea dataOnly="0" labelOnly="1" fieldPosition="0">
        <references count="1">
          <reference field="4" count="0"/>
        </references>
      </pivotArea>
    </format>
    <format dxfId="88">
      <pivotArea dataOnly="0" labelOnly="1" grandRow="1" outline="0" fieldPosition="0"/>
    </format>
    <format dxfId="87">
      <pivotArea outline="0" collapsedLevelsAreSubtotals="1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outline="0" collapsedLevelsAreSubtotals="1" fieldPosition="0"/>
    </format>
    <format dxfId="83">
      <pivotArea dataOnly="0" labelOnly="1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1">
      <pivotArea dataOnly="0" labelOnly="1" grandRow="1" outline="0" fieldPosition="0"/>
    </format>
    <format dxfId="80">
      <pivotArea dataOnly="0" labelOnly="1" grandRow="1" outline="0" fieldPosition="0"/>
    </format>
    <format dxfId="79">
      <pivotArea dataOnly="0" labelOnly="1" grandRow="1" outline="0" fieldPosition="0"/>
    </format>
    <format dxfId="78">
      <pivotArea field="4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5">
      <pivotArea field="4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73">
      <pivotArea field="4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71">
      <pivotArea field="4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field="4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4">
      <pivotArea field="4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rowHeaderCaption="DEPARTAMENTO">
  <location ref="C10:I19" firstHeaderRow="0" firstDataRow="1" firstDataCol="1"/>
  <pivotFields count="52">
    <pivotField showAll="0"/>
    <pivotField showAll="0"/>
    <pivotField showAll="0"/>
    <pivotField showAll="0"/>
    <pivotField showAll="0"/>
    <pivotField axis="axisRow" dataField="1" showAll="0" sortType="descending">
      <items count="32">
        <item m="1" x="25"/>
        <item m="1" x="22"/>
        <item m="1" x="18"/>
        <item x="1"/>
        <item x="2"/>
        <item m="1" x="16"/>
        <item m="1" x="21"/>
        <item m="1" x="27"/>
        <item m="1" x="12"/>
        <item x="0"/>
        <item x="3"/>
        <item m="1" x="13"/>
        <item m="1" x="9"/>
        <item m="1" x="20"/>
        <item m="1" x="10"/>
        <item m="1" x="28"/>
        <item x="5"/>
        <item m="1" x="11"/>
        <item x="4"/>
        <item m="1" x="23"/>
        <item m="1" x="30"/>
        <item m="1" x="15"/>
        <item m="1" x="26"/>
        <item m="1" x="24"/>
        <item m="1" x="19"/>
        <item m="1" x="14"/>
        <item m="1" x="8"/>
        <item m="1" x="29"/>
        <item x="6"/>
        <item m="1" x="17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dataField="1" showAll="0"/>
    <pivotField dataField="1" showAll="0"/>
    <pivotField dataField="1" showAll="0"/>
    <pivotField numFmtId="43" showAll="0"/>
    <pivotField dataField="1" numFmtId="43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</pivotFields>
  <rowFields count="1">
    <field x="5"/>
  </rowFields>
  <rowItems count="9">
    <i>
      <x v="18"/>
    </i>
    <i>
      <x v="9"/>
    </i>
    <i>
      <x v="4"/>
    </i>
    <i>
      <x v="16"/>
    </i>
    <i>
      <x v="28"/>
    </i>
    <i>
      <x v="10"/>
    </i>
    <i>
      <x v="30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OTAL VENTA" fld="33" baseField="0" baseItem="0"/>
    <dataField name="Suma de CANTIDAD DE CAMIONES" fld="38" baseField="0" baseItem="0"/>
    <dataField name="FRECUENCIA DE DESTINO" fld="5" subtotal="count" baseField="0" baseItem="0"/>
    <dataField name="Suma de DESCUENTOS_x000a_BONIFICACION" fld="34" baseField="0" baseItem="0"/>
    <dataField name="Suma de PROMOCION" fld="35" baseField="0" baseItem="0"/>
    <dataField name="Suma de IMPORTE NETO" fld="37" baseField="0" baseItem="0"/>
  </dataFields>
  <formats count="28">
    <format dxfId="60">
      <pivotArea collapsedLevelsAreSubtotals="1" fieldPosition="0">
        <references count="1">
          <reference field="5" count="6">
            <x v="7"/>
            <x v="8"/>
            <x v="9"/>
            <x v="10"/>
            <x v="11"/>
            <x v="12"/>
          </reference>
        </references>
      </pivotArea>
    </format>
    <format dxfId="59">
      <pivotArea dataOnly="0" labelOnly="1" fieldPosition="0">
        <references count="1">
          <reference field="5" count="6">
            <x v="7"/>
            <x v="8"/>
            <x v="9"/>
            <x v="10"/>
            <x v="11"/>
            <x v="12"/>
          </reference>
        </references>
      </pivotArea>
    </format>
    <format dxfId="58">
      <pivotArea field="5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6">
      <pivotArea dataOnly="0" labelOnly="1" grandRow="1" outline="0" fieldPosition="0"/>
    </format>
    <format dxfId="55">
      <pivotArea collapsedLevelsAreSubtotals="1" fieldPosition="0">
        <references count="1">
          <reference field="5" count="0"/>
        </references>
      </pivotArea>
    </format>
    <format dxfId="54">
      <pivotArea dataOnly="0" labelOnly="1" fieldPosition="0">
        <references count="1">
          <reference field="5" count="0"/>
        </references>
      </pivotArea>
    </format>
    <format dxfId="53">
      <pivotArea collapsedLevelsAreSubtotals="1" fieldPosition="0">
        <references count="1">
          <reference field="5" count="0"/>
        </references>
      </pivotArea>
    </format>
    <format dxfId="52">
      <pivotArea dataOnly="0" labelOnly="1" fieldPosition="0">
        <references count="1">
          <reference field="5" count="0"/>
        </references>
      </pivotArea>
    </format>
    <format dxfId="51">
      <pivotArea collapsedLevelsAreSubtotals="1" fieldPosition="0">
        <references count="1">
          <reference field="5" count="0"/>
        </references>
      </pivotArea>
    </format>
    <format dxfId="50">
      <pivotArea dataOnly="0" labelOnly="1" fieldPosition="0">
        <references count="1">
          <reference field="5" count="0"/>
        </references>
      </pivotArea>
    </format>
    <format dxfId="49">
      <pivotArea outline="0" collapsedLevelsAreSubtotals="1" fieldPosition="0"/>
    </format>
    <format dxfId="48">
      <pivotArea field="5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6">
      <pivotArea field="5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4">
      <pivotArea collapsedLevelsAreSubtotals="1" fieldPosition="0">
        <references count="1">
          <reference field="5" count="0"/>
        </references>
      </pivotArea>
    </format>
    <format dxfId="43">
      <pivotArea grandRow="1"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5" count="0"/>
        </references>
      </pivotArea>
    </format>
    <format dxfId="34">
      <pivotArea dataOnly="0" labelOnly="1" grandRow="1" outline="0" fieldPosition="0"/>
    </format>
    <format dxfId="33">
      <pivotArea dataOnly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73BDA-B415-4E31-B718-CC3812F6371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4" indent="0" outline="1" outlineData="1" multipleFieldFilters="0" chartFormat="1" rowHeaderCaption="DEPARTAMENTO">
  <location ref="C10:R19" firstHeaderRow="0" firstDataRow="1" firstDataCol="1"/>
  <pivotFields count="52">
    <pivotField showAll="0"/>
    <pivotField showAll="0"/>
    <pivotField showAll="0"/>
    <pivotField showAll="0"/>
    <pivotField showAll="0"/>
    <pivotField axis="axisRow" showAll="0" sortType="descending">
      <items count="32">
        <item m="1" x="25"/>
        <item m="1" x="22"/>
        <item m="1" x="18"/>
        <item x="1"/>
        <item x="2"/>
        <item m="1" x="16"/>
        <item m="1" x="21"/>
        <item m="1" x="27"/>
        <item m="1" x="12"/>
        <item x="0"/>
        <item x="3"/>
        <item m="1" x="13"/>
        <item m="1" x="9"/>
        <item m="1" x="20"/>
        <item m="1" x="10"/>
        <item m="1" x="28"/>
        <item x="5"/>
        <item m="1" x="11"/>
        <item x="4"/>
        <item m="1" x="23"/>
        <item m="1" x="30"/>
        <item m="1" x="15"/>
        <item m="1" x="26"/>
        <item m="1" x="24"/>
        <item m="1" x="19"/>
        <item m="1" x="14"/>
        <item m="1" x="8"/>
        <item m="1" x="29"/>
        <item x="6"/>
        <item m="1" x="17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 defaultSubtotal="0"/>
    <pivotField dataField="1"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</pivotFields>
  <rowFields count="1">
    <field x="5"/>
  </rowFields>
  <rowItems count="9">
    <i>
      <x v="9"/>
    </i>
    <i>
      <x v="16"/>
    </i>
    <i>
      <x v="4"/>
    </i>
    <i>
      <x v="10"/>
    </i>
    <i>
      <x v="30"/>
    </i>
    <i>
      <x v="28"/>
    </i>
    <i>
      <x v="3"/>
    </i>
    <i>
      <x v="18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a de MEGA 12R" fld="8" baseField="0" baseItem="0"/>
    <dataField name="Suma de SERV 200X12_x000a_." fld="15" baseField="0" baseItem="0"/>
    <dataField name="Suma de LUX 6R" fld="11" baseField="0" baseItem="0"/>
    <dataField name="Suma de LUX 12R" fld="12" baseField="0" baseItem="0"/>
    <dataField name="Suma de LUX 24R" fld="13" baseField="0" baseItem="0"/>
    <dataField name="Suma de SERV 500X6_x000a_." fld="14" baseField="0" baseItem="0"/>
    <dataField name="Suma de TOALLA COCINA_x000a_." fld="16" baseField="0" baseItem="0"/>
    <dataField name="Suma de ECOPACK 6R" fld="19" baseField="0" baseItem="0"/>
    <dataField name="Suma de ECOPACK_x000a_12R" fld="20" baseField="0" baseItem="0"/>
    <dataField name="Suma de MEGA 2ª" fld="28" baseField="0" baseItem="0"/>
    <dataField name="Suma de MEGA 3º" fld="29" baseField="0" baseItem="0"/>
    <dataField name="Suma de BANDEO (Serv 50u)  88uds.2" fld="21" baseField="0" baseItem="0"/>
    <dataField name="Suma de BANDEO (Serv 50u) X Uds" fld="22" baseField="0" baseItem="0"/>
    <dataField name="Suma de SERV 2ª" fld="30" baseField="0" baseItem="0"/>
    <dataField name="Suma de TOALLA COCINA_x000a_2ª" fld="31" baseField="0" baseItem="0"/>
  </dataFields>
  <formats count="33">
    <format dxfId="32">
      <pivotArea collapsedLevelsAreSubtotals="1" fieldPosition="0">
        <references count="1">
          <reference field="5" count="6"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fieldPosition="0">
        <references count="1">
          <reference field="5" count="6">
            <x v="7"/>
            <x v="8"/>
            <x v="9"/>
            <x v="10"/>
            <x v="11"/>
            <x v="12"/>
          </reference>
        </references>
      </pivotArea>
    </format>
    <format dxfId="30">
      <pivotArea field="5" type="button" dataOnly="0" labelOnly="1" outline="0" axis="axisRow" fieldPosition="0"/>
    </format>
    <format dxfId="29">
      <pivotArea dataOnly="0" labelOnly="1" grandRow="1" outline="0" fieldPosition="0"/>
    </format>
    <format dxfId="28">
      <pivotArea collapsedLevelsAreSubtotals="1" fieldPosition="0">
        <references count="1">
          <reference field="5" count="0"/>
        </references>
      </pivotArea>
    </format>
    <format dxfId="27">
      <pivotArea dataOnly="0" labelOnly="1" fieldPosition="0">
        <references count="1">
          <reference field="5" count="0"/>
        </references>
      </pivotArea>
    </format>
    <format dxfId="26">
      <pivotArea collapsedLevelsAreSubtotals="1" fieldPosition="0">
        <references count="1">
          <reference field="5" count="0"/>
        </references>
      </pivotArea>
    </format>
    <format dxfId="25">
      <pivotArea dataOnly="0" labelOnly="1" fieldPosition="0">
        <references count="1">
          <reference field="5" count="0"/>
        </references>
      </pivotArea>
    </format>
    <format dxfId="24">
      <pivotArea collapsedLevelsAreSubtotals="1" fieldPosition="0">
        <references count="1">
          <reference field="5" count="0"/>
        </references>
      </pivotArea>
    </format>
    <format dxfId="23">
      <pivotArea dataOnly="0" labelOnly="1" fieldPosition="0">
        <references count="1">
          <reference field="5" count="0"/>
        </references>
      </pivotArea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field="5" type="button" dataOnly="0" labelOnly="1" outline="0" axis="axisRow" fieldPosition="0"/>
    </format>
    <format dxfId="19">
      <pivotArea collapsedLevelsAreSubtotals="1" fieldPosition="0">
        <references count="1">
          <reference field="5" count="0"/>
        </references>
      </pivotArea>
    </format>
    <format dxfId="18">
      <pivotArea dataOnly="0" labelOnly="1" fieldPosition="0">
        <references count="1">
          <reference field="5" count="0"/>
        </references>
      </pivotArea>
    </format>
    <format dxfId="17">
      <pivotArea grandRow="1" outline="0" collapsedLevelsAreSubtotals="1" fieldPosition="0"/>
    </format>
    <format dxfId="16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4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3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2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1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10">
      <pivotArea collapsedLevelsAreSubtotals="1" fieldPosition="0">
        <references count="1">
          <reference field="5" count="0"/>
        </references>
      </pivotArea>
    </format>
    <format dxfId="9">
      <pivotArea dataOnly="0" labelOnly="1" fieldPosition="0">
        <references count="1">
          <reference field="5" count="0"/>
        </references>
      </pivotArea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6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0">
            <x v="0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">
      <pivotArea outline="0" collapsedLevelsAreSubtotals="1" fieldPosition="0">
        <references count="1">
          <reference field="4294967294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">
      <pivotArea dataOnly="0" labelOnly="1" outline="0" fieldPosition="0">
        <references count="1">
          <reference field="4294967294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outline="0" collapsedLevelsAreSubtotals="1" fieldPosition="0">
        <references count="1">
          <reference field="4294967294" count="3" selected="0">
            <x v="12"/>
            <x v="13"/>
            <x v="14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12"/>
            <x v="13"/>
            <x v="1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34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35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B7:BA54" totalsRowShown="0" headerRowDxfId="146" dataDxfId="145" tableBorderDxfId="144">
  <autoFilter ref="B7:BA54" xr:uid="{00000000-000C-0000-FFFF-FFFF00000000}"/>
  <tableColumns count="52">
    <tableColumn id="1" xr3:uid="{00000000-0010-0000-0000-000001000000}" name="Nº" dataDxfId="143"/>
    <tableColumn id="2" xr3:uid="{00000000-0010-0000-0000-000002000000}" name="NOTA DE VENTA" dataDxfId="142"/>
    <tableColumn id="3" xr3:uid="{00000000-0010-0000-0000-000003000000}" name="NOTA DE ENTREGA " dataDxfId="141"/>
    <tableColumn id="4" xr3:uid="{00000000-0010-0000-0000-000004000000}" name="FECHA" dataDxfId="140"/>
    <tableColumn id="5" xr3:uid="{00000000-0010-0000-0000-000005000000}" name="CLIENTE" dataDxfId="139"/>
    <tableColumn id="6" xr3:uid="{00000000-0010-0000-0000-000006000000}" name="DESTINO" dataDxfId="138"/>
    <tableColumn id="7" xr3:uid="{00000000-0010-0000-0000-000007000000}" name="CHOFER" dataDxfId="137"/>
    <tableColumn id="8" xr3:uid="{00000000-0010-0000-0000-000008000000}" name="PLACA DEL CAMION " dataDxfId="136"/>
    <tableColumn id="9" xr3:uid="{00000000-0010-0000-0000-000009000000}" name="MEGA 12R" dataDxfId="135"/>
    <tableColumn id="48" xr3:uid="{566391B5-408B-443E-9EF3-A3482066CD67}" name="Economico" dataDxfId="134"/>
    <tableColumn id="47" xr3:uid="{F0852EDB-19F6-4AFA-91EA-783D8CA0B164}" name="MEGA 12R_x000a_30mtrs" dataDxfId="133"/>
    <tableColumn id="10" xr3:uid="{00000000-0010-0000-0000-00000A000000}" name="LUX 6R" dataDxfId="132"/>
    <tableColumn id="11" xr3:uid="{00000000-0010-0000-0000-00000B000000}" name="LUX 12R" dataDxfId="131"/>
    <tableColumn id="12" xr3:uid="{00000000-0010-0000-0000-00000C000000}" name="LUX 24R" dataDxfId="130"/>
    <tableColumn id="14" xr3:uid="{00000000-0010-0000-0000-00000E000000}" name="SERV 500X6_x000a_." dataDxfId="129"/>
    <tableColumn id="15" xr3:uid="{00000000-0010-0000-0000-00000F000000}" name="SERV 200X12_x000a_." dataDxfId="128"/>
    <tableColumn id="30" xr3:uid="{00000000-0010-0000-0000-00001E000000}" name="TOALLA COCINA_x000a_." dataDxfId="127"/>
    <tableColumn id="16" xr3:uid="{00000000-0010-0000-0000-000010000000}" name="ECOPACK_x000a_4R_x000a_Jaba" dataDxfId="126"/>
    <tableColumn id="50" xr3:uid="{BA66C8D3-BDBC-4559-9249-2279948C862E}" name="ECOPACK_x000a_4R_x000a_unidades" dataDxfId="125"/>
    <tableColumn id="21" xr3:uid="{00000000-0010-0000-0000-000015000000}" name="ECOPACK 6R" dataDxfId="124"/>
    <tableColumn id="29" xr3:uid="{00000000-0010-0000-0000-00001D000000}" name="ECOPACK_x000a_12R" dataDxfId="123"/>
    <tableColumn id="19" xr3:uid="{F8842B91-7A28-4EFE-B01A-E8E0EEA2E8AC}" name="BANDEO (Serv 50u)  88uds." dataDxfId="122"/>
    <tableColumn id="28" xr3:uid="{00000000-0010-0000-0000-00001C000000}" name="BANDEO (Serv 50u) X Uds" dataDxfId="121"/>
    <tableColumn id="13" xr3:uid="{F7D0204B-94C3-4926-8FCA-BB043264C178}" name="BANDEO  (papel higienico) 48 unid" dataDxfId="120"/>
    <tableColumn id="51" xr3:uid="{263782D5-AD42-4BC9-9A45-13A9C89EBA23}" name="BANDEO  (papel higienico) x Unid." dataDxfId="119"/>
    <tableColumn id="52" xr3:uid="{9EC47EA2-6826-4480-A8AB-B1C4593BCE8E}" name="PAPE HIGIENICO 1 R (20 UNID)" dataDxfId="118"/>
    <tableColumn id="32" xr3:uid="{F00FE5CA-17C1-49AE-BEEC-41EAF1BC5FA1}" name="Serv. 50ud de 28uds" dataDxfId="117"/>
    <tableColumn id="26" xr3:uid="{8E502D9D-29EB-4146-B34F-4988BCABF53F}" name="PUEBLO_x000a_2da." dataDxfId="116"/>
    <tableColumn id="20" xr3:uid="{00000000-0010-0000-0000-000014000000}" name="MEGA 2ª" dataDxfId="115"/>
    <tableColumn id="22" xr3:uid="{00000000-0010-0000-0000-000016000000}" name="MEGA 3º" dataDxfId="114"/>
    <tableColumn id="23" xr3:uid="{00000000-0010-0000-0000-000017000000}" name="SERV 2ª" dataDxfId="113"/>
    <tableColumn id="33" xr3:uid="{470B4ED0-6162-404C-9CDF-1966F58F906A}" name="TOALLA COCINA_x000a_2ª" dataDxfId="112"/>
    <tableColumn id="31" xr3:uid="{00000000-0010-0000-0000-00001F000000}" name="COLILLAS_x000a_plasticos_x000a_KG" dataDxfId="111"/>
    <tableColumn id="24" xr3:uid="{00000000-0010-0000-0000-000018000000}" name="TOTAL VENTA" dataDxfId="110"/>
    <tableColumn id="25" xr3:uid="{00000000-0010-0000-0000-000019000000}" name="DESCUENTOS_x000a_BONIFICACION" dataDxfId="109"/>
    <tableColumn id="27" xr3:uid="{F3A05DD0-DBA0-4D50-B5E4-ED3C4A59291B}" name="PROMOCION" dataDxfId="108"/>
    <tableColumn id="49" xr3:uid="{B4A61E40-4408-4E07-9707-1AE5E203D4EF}" name="Ingreso por venta dircta" dataDxfId="107"/>
    <tableColumn id="17" xr3:uid="{00000000-0010-0000-0000-000011000000}" name="IMPORTE NETO" dataDxfId="106">
      <calculatedColumnFormula>+Tabla4[[#This Row],[TOTAL VENTA]]-Tabla4[[#This Row],[DESCUENTOS
BONIFICACION]]-Tabla4[[#This Row],[PROMOCION]]+Tabla4[[#This Row],[Ingreso por venta dircta]]</calculatedColumnFormula>
    </tableColumn>
    <tableColumn id="18" xr3:uid="{00000000-0010-0000-0000-000012000000}" name="CANTIDAD DE CAMIONES" dataDxfId="105">
      <calculatedColumnFormula>+Tabla4[[#This Row],[IMPORTE NETO]]*1/60000</calculatedColumnFormula>
    </tableColumn>
    <tableColumn id="45" xr3:uid="{9A748733-8B9C-4650-B2FB-62A880AD0D48}" name="SALDO ANTERIOR" dataDxfId="104"/>
    <tableColumn id="37" xr3:uid="{E65A864B-23C2-41D0-9328-1C4405D42965}" name="BANCO UNION_1" dataDxfId="103"/>
    <tableColumn id="36" xr3:uid="{3FD74BC0-FF6B-44FE-9B20-05B78CD28132}" name="BANCO BNB_1" dataDxfId="102"/>
    <tableColumn id="39" xr3:uid="{13C8720F-FA39-481A-B02B-8F1D181F92B9}" name="BANCO UNION-2" dataDxfId="101"/>
    <tableColumn id="38" xr3:uid="{91DD4AAF-CEDF-4EAE-95C7-08FA038851FF}" name="BANCO BNB_2" dataDxfId="100"/>
    <tableColumn id="35" xr3:uid="{0614FD24-FCAF-49D5-BF37-F0D0634DA6AA}" name="BANCO UNION_3" dataDxfId="99"/>
    <tableColumn id="34" xr3:uid="{DAD1705D-1BB1-402B-8DD1-9A239B87FAC7}" name="BANCO MERCANTIL STA CRUZ2" dataDxfId="98">
      <calculatedColumnFormula>1270-1150</calculatedColumnFormula>
    </tableColumn>
    <tableColumn id="44" xr3:uid="{5795B3C3-869B-4FAE-805B-278DF5C17F0E}" name="CAJA" dataDxfId="97"/>
    <tableColumn id="46" xr3:uid="{074C76E2-DED6-4D2A-81B3-A85F1E2EBC37}" name="DÓLAR_x000a_$us" dataDxfId="96"/>
    <tableColumn id="40" xr3:uid="{FD1042EF-F7A2-4961-81E8-E398C406B9C3}" name="TOTAL_x000a_BANCO UNION" dataDxfId="95">
      <calculatedColumnFormula>+Tabla4[[#This Row],[BANCO UNION_1]]+Tabla4[[#This Row],[BANCO UNION-2]]+Tabla4[[#This Row],[BANCO UNION_3]]</calculatedColumnFormula>
    </tableColumn>
    <tableColumn id="41" xr3:uid="{6BE3BFEC-6E36-40D8-AEB3-08D5C85670F2}" name="TOTAL_x000a_BANCO BNB" dataDxfId="94">
      <calculatedColumnFormula>+Tabla4[[#This Row],[BANCO BNB_1]]+Tabla4[[#This Row],[BANCO BNB_2]]+Tabla4[[#This Row],[BANCO MERCANTIL STA CRUZ2]]</calculatedColumnFormula>
    </tableColumn>
    <tableColumn id="42" xr3:uid="{4B470094-6FDC-4CDD-9C28-48C4EF02EE50}" name="TOTAL CANCELADO" dataDxfId="93">
      <calculatedColumnFormula>+Tabla4[[#This Row],[SALDO ANTERIOR]]+Tabla4[[#This Row],[CAJA]]+Tabla4[[#This Row],[TOTAL
BANCO UNION]]+Tabla4[[#This Row],[TOTAL
BANCO BNB]]+Tabla4[[#This Row],[DÓLAR
$us]]</calculatedColumnFormula>
    </tableColumn>
    <tableColumn id="43" xr3:uid="{ACE90140-5515-4993-B298-4AB54AD8EF0A}" name="SALDOS" dataDxfId="92">
      <calculatedColumnFormula>+Tabla4[[#This Row],[IMPORTE NETO]]-Tabla4[[#This Row],[TOTAL CANCELADO]]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0000"/>
  </sheetPr>
  <dimension ref="A1:BB59"/>
  <sheetViews>
    <sheetView tabSelected="1" topLeftCell="B7" workbookViewId="0">
      <pane xSplit="5" ySplit="1" topLeftCell="G8" activePane="bottomRight" state="frozen"/>
      <selection activeCell="B7" sqref="B7"/>
      <selection pane="topRight" activeCell="G7" sqref="G7"/>
      <selection pane="bottomLeft" activeCell="B8" sqref="B8"/>
      <selection pane="bottomRight" activeCell="H60" sqref="H60"/>
    </sheetView>
  </sheetViews>
  <sheetFormatPr baseColWidth="10" defaultColWidth="11.42578125" defaultRowHeight="16.5" x14ac:dyDescent="0.25"/>
  <cols>
    <col min="1" max="1" width="2.42578125" style="2" hidden="1" customWidth="1"/>
    <col min="2" max="2" width="4.140625" style="2" customWidth="1"/>
    <col min="3" max="3" width="8.42578125" style="2" customWidth="1"/>
    <col min="4" max="4" width="6.5703125" style="2" customWidth="1"/>
    <col min="5" max="5" width="13.7109375" style="2" customWidth="1"/>
    <col min="6" max="6" width="33.7109375" style="2" customWidth="1"/>
    <col min="7" max="7" width="9.7109375" style="7" customWidth="1"/>
    <col min="8" max="8" width="8.42578125" style="81" customWidth="1"/>
    <col min="9" max="9" width="9.7109375" style="83" customWidth="1"/>
    <col min="10" max="11" width="8.7109375" style="2" customWidth="1"/>
    <col min="12" max="12" width="7.85546875" style="2" customWidth="1"/>
    <col min="13" max="13" width="7" customWidth="1"/>
    <col min="14" max="14" width="7.85546875" customWidth="1"/>
    <col min="15" max="15" width="8" style="2" customWidth="1"/>
    <col min="16" max="17" width="7" style="2" customWidth="1"/>
    <col min="18" max="18" width="7" customWidth="1"/>
    <col min="19" max="19" width="7.85546875" customWidth="1"/>
    <col min="20" max="20" width="7.85546875" hidden="1" customWidth="1"/>
    <col min="21" max="23" width="7.85546875" customWidth="1"/>
    <col min="24" max="24" width="12.140625" style="2" bestFit="1" customWidth="1"/>
    <col min="25" max="29" width="7.85546875" style="2" customWidth="1"/>
    <col min="30" max="30" width="7.28515625" style="2" customWidth="1"/>
    <col min="31" max="31" width="7" customWidth="1"/>
    <col min="32" max="32" width="7" style="2" customWidth="1"/>
    <col min="33" max="33" width="7.42578125" style="2" customWidth="1"/>
    <col min="34" max="34" width="9.5703125" customWidth="1"/>
    <col min="35" max="35" width="14.7109375" style="2" customWidth="1"/>
    <col min="36" max="37" width="12.42578125" style="2" customWidth="1"/>
    <col min="38" max="38" width="12.42578125" style="2" hidden="1" customWidth="1"/>
    <col min="39" max="39" width="15.85546875" style="2" customWidth="1"/>
    <col min="40" max="40" width="7" style="2" customWidth="1"/>
    <col min="41" max="41" width="12.28515625" style="2" customWidth="1"/>
    <col min="42" max="42" width="11.5703125" style="2" customWidth="1"/>
    <col min="43" max="43" width="11.28515625" style="2" customWidth="1"/>
    <col min="44" max="44" width="11.5703125" style="2" customWidth="1"/>
    <col min="45" max="45" width="11" style="2" customWidth="1"/>
    <col min="46" max="46" width="10.28515625" style="2" customWidth="1"/>
    <col min="47" max="47" width="11.85546875" style="2" customWidth="1"/>
    <col min="48" max="48" width="13" style="19" customWidth="1"/>
    <col min="49" max="52" width="11.42578125" style="19" customWidth="1"/>
    <col min="53" max="53" width="12.85546875" style="19" customWidth="1"/>
    <col min="54" max="54" width="11.42578125" style="19" customWidth="1"/>
    <col min="55" max="55" width="11.42578125" style="2" customWidth="1"/>
    <col min="56" max="56" width="14.140625" style="2" customWidth="1"/>
    <col min="57" max="57" width="11.42578125" style="2" customWidth="1"/>
    <col min="58" max="58" width="14.85546875" style="2" customWidth="1"/>
    <col min="59" max="59" width="12.7109375" style="2" customWidth="1"/>
    <col min="60" max="60" width="16.140625" style="2" customWidth="1"/>
    <col min="61" max="61" width="16.5703125" style="2" customWidth="1"/>
    <col min="62" max="16384" width="11.42578125" style="2"/>
  </cols>
  <sheetData>
    <row r="1" spans="2:54" ht="12.75" customHeight="1" x14ac:dyDescent="0.25">
      <c r="M1" s="2"/>
      <c r="N1" s="2"/>
      <c r="R1" s="2"/>
      <c r="S1" s="2"/>
      <c r="T1" s="2"/>
      <c r="U1" s="2"/>
      <c r="V1" s="2"/>
      <c r="W1" s="2"/>
      <c r="AE1" s="2"/>
      <c r="AH1" s="2"/>
      <c r="AN1" s="19"/>
      <c r="AO1" s="19"/>
      <c r="AP1" s="19"/>
      <c r="AQ1" s="19"/>
      <c r="AR1" s="19"/>
      <c r="AS1" s="19"/>
      <c r="AT1" s="19"/>
      <c r="AV1" s="2"/>
      <c r="AW1" s="2"/>
      <c r="AX1" s="2"/>
      <c r="AY1" s="2"/>
      <c r="AZ1" s="2"/>
      <c r="BA1" s="2"/>
      <c r="BB1" s="2"/>
    </row>
    <row r="2" spans="2:54" ht="12.75" customHeight="1" x14ac:dyDescent="0.25">
      <c r="M2" s="2"/>
      <c r="N2" s="2"/>
      <c r="R2" s="2"/>
      <c r="S2" s="2"/>
      <c r="T2" s="2"/>
      <c r="U2" s="2"/>
      <c r="V2" s="2"/>
      <c r="W2" s="2"/>
      <c r="AE2" s="2"/>
      <c r="AH2" s="2"/>
      <c r="AN2" s="19"/>
      <c r="AO2" s="19"/>
      <c r="AP2" s="19"/>
      <c r="AQ2" s="19"/>
      <c r="AR2" s="19"/>
      <c r="AS2" s="19"/>
      <c r="AT2" s="19"/>
      <c r="AV2" s="2"/>
      <c r="AW2" s="2"/>
      <c r="AX2" s="2"/>
      <c r="AY2" s="2"/>
      <c r="AZ2" s="2"/>
      <c r="BA2" s="2"/>
      <c r="BB2" s="2"/>
    </row>
    <row r="3" spans="2:54" ht="24" customHeight="1" x14ac:dyDescent="0.25">
      <c r="B3" s="172" t="s">
        <v>49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2"/>
    </row>
    <row r="4" spans="2:54" ht="24" customHeight="1" x14ac:dyDescent="0.25">
      <c r="B4" s="172" t="s">
        <v>81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2"/>
    </row>
    <row r="5" spans="2:54" ht="12.75" customHeight="1" thickBot="1" x14ac:dyDescent="0.3">
      <c r="B5" s="11"/>
      <c r="C5" s="11"/>
      <c r="D5" s="11"/>
      <c r="E5" s="10"/>
      <c r="F5" s="11"/>
      <c r="G5" s="11"/>
      <c r="H5" s="82"/>
      <c r="I5" s="84"/>
      <c r="J5" s="11"/>
      <c r="K5" s="11"/>
      <c r="L5" s="11"/>
      <c r="M5" s="11"/>
      <c r="N5" s="11"/>
      <c r="O5" s="11"/>
      <c r="P5" s="11"/>
      <c r="Q5" s="11"/>
      <c r="R5" s="2"/>
      <c r="S5" s="2"/>
      <c r="T5" s="2"/>
      <c r="U5" s="2"/>
      <c r="V5" s="2"/>
      <c r="W5" s="2"/>
      <c r="AD5" s="11"/>
      <c r="AE5" s="11"/>
      <c r="AH5" s="2"/>
      <c r="AN5" s="19"/>
      <c r="AO5" s="19"/>
      <c r="AP5" s="19"/>
      <c r="AQ5" s="19"/>
      <c r="AR5" s="19"/>
      <c r="AS5" s="19"/>
      <c r="AT5" s="19"/>
      <c r="AV5" s="2"/>
      <c r="AW5" s="2"/>
      <c r="AX5" s="2"/>
      <c r="AY5" s="2"/>
      <c r="AZ5" s="2"/>
      <c r="BA5" s="2"/>
      <c r="BB5" s="2"/>
    </row>
    <row r="6" spans="2:54" ht="18.75" customHeight="1" thickBot="1" x14ac:dyDescent="0.3">
      <c r="J6" s="173" t="s">
        <v>29</v>
      </c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N6" s="19"/>
      <c r="AO6" s="19"/>
      <c r="AP6" s="171" t="s">
        <v>31</v>
      </c>
      <c r="AQ6" s="171"/>
      <c r="AR6" s="171" t="s">
        <v>32</v>
      </c>
      <c r="AS6" s="171"/>
      <c r="AT6" s="171" t="s">
        <v>33</v>
      </c>
      <c r="AU6" s="171"/>
      <c r="AV6" s="45"/>
      <c r="AW6" s="45"/>
      <c r="AX6" s="41"/>
      <c r="AY6" s="43"/>
      <c r="AZ6" s="2"/>
      <c r="BA6" s="2"/>
      <c r="BB6" s="2"/>
    </row>
    <row r="7" spans="2:54" ht="49.5" customHeight="1" x14ac:dyDescent="0.3">
      <c r="B7" s="14" t="s">
        <v>6</v>
      </c>
      <c r="C7" s="14" t="s">
        <v>0</v>
      </c>
      <c r="D7" s="14" t="s">
        <v>5</v>
      </c>
      <c r="E7" s="12" t="s">
        <v>1</v>
      </c>
      <c r="F7" s="35" t="s">
        <v>2</v>
      </c>
      <c r="G7" s="14" t="s">
        <v>9</v>
      </c>
      <c r="H7" s="14" t="s">
        <v>3</v>
      </c>
      <c r="I7" s="50" t="s">
        <v>4</v>
      </c>
      <c r="J7" s="9" t="s">
        <v>17</v>
      </c>
      <c r="K7" s="9" t="s">
        <v>76</v>
      </c>
      <c r="L7" s="9" t="s">
        <v>71</v>
      </c>
      <c r="M7" s="9" t="s">
        <v>20</v>
      </c>
      <c r="N7" s="9" t="s">
        <v>21</v>
      </c>
      <c r="O7" s="9" t="s">
        <v>22</v>
      </c>
      <c r="P7" s="9" t="s">
        <v>54</v>
      </c>
      <c r="Q7" s="9" t="s">
        <v>55</v>
      </c>
      <c r="R7" s="51" t="s">
        <v>56</v>
      </c>
      <c r="S7" s="51" t="s">
        <v>80</v>
      </c>
      <c r="T7" s="51" t="s">
        <v>79</v>
      </c>
      <c r="U7" s="51" t="s">
        <v>57</v>
      </c>
      <c r="V7" s="51" t="s">
        <v>58</v>
      </c>
      <c r="W7" s="51" t="s">
        <v>51</v>
      </c>
      <c r="X7" s="51" t="s">
        <v>28</v>
      </c>
      <c r="Y7" s="51" t="s">
        <v>85</v>
      </c>
      <c r="Z7" s="51" t="s">
        <v>86</v>
      </c>
      <c r="AA7" s="51" t="s">
        <v>89</v>
      </c>
      <c r="AB7" s="51" t="s">
        <v>72</v>
      </c>
      <c r="AC7" s="51" t="s">
        <v>68</v>
      </c>
      <c r="AD7" s="9" t="s">
        <v>18</v>
      </c>
      <c r="AE7" s="9" t="s">
        <v>19</v>
      </c>
      <c r="AF7" s="9" t="s">
        <v>23</v>
      </c>
      <c r="AG7" s="52" t="s">
        <v>30</v>
      </c>
      <c r="AH7" s="52" t="s">
        <v>52</v>
      </c>
      <c r="AI7" s="54" t="s">
        <v>26</v>
      </c>
      <c r="AJ7" s="63" t="s">
        <v>75</v>
      </c>
      <c r="AK7" s="64" t="s">
        <v>74</v>
      </c>
      <c r="AL7" s="64" t="s">
        <v>78</v>
      </c>
      <c r="AM7" s="13" t="s">
        <v>27</v>
      </c>
      <c r="AN7" s="20" t="s">
        <v>8</v>
      </c>
      <c r="AO7" s="47" t="s">
        <v>47</v>
      </c>
      <c r="AP7" s="38" t="s">
        <v>34</v>
      </c>
      <c r="AQ7" s="39" t="s">
        <v>35</v>
      </c>
      <c r="AR7" s="38" t="s">
        <v>36</v>
      </c>
      <c r="AS7" s="39" t="s">
        <v>106</v>
      </c>
      <c r="AT7" s="38" t="s">
        <v>37</v>
      </c>
      <c r="AU7" s="39" t="s">
        <v>105</v>
      </c>
      <c r="AV7" s="46" t="s">
        <v>42</v>
      </c>
      <c r="AW7" s="48" t="s">
        <v>48</v>
      </c>
      <c r="AX7" s="42" t="s">
        <v>39</v>
      </c>
      <c r="AY7" s="44" t="s">
        <v>40</v>
      </c>
      <c r="AZ7" s="49" t="s">
        <v>38</v>
      </c>
      <c r="BA7" s="36" t="s">
        <v>41</v>
      </c>
      <c r="BB7" s="2"/>
    </row>
    <row r="8" spans="2:54" ht="15.75" customHeight="1" x14ac:dyDescent="0.25">
      <c r="B8" s="78">
        <v>1</v>
      </c>
      <c r="C8" s="3">
        <v>260801</v>
      </c>
      <c r="D8" s="4">
        <v>568</v>
      </c>
      <c r="E8" s="5">
        <v>46235</v>
      </c>
      <c r="F8" s="113" t="s">
        <v>90</v>
      </c>
      <c r="G8" s="68" t="s">
        <v>10</v>
      </c>
      <c r="H8" s="80" t="s">
        <v>96</v>
      </c>
      <c r="I8" s="85" t="s">
        <v>91</v>
      </c>
      <c r="J8" s="28">
        <v>258</v>
      </c>
      <c r="K8" s="28"/>
      <c r="L8" s="28">
        <v>5</v>
      </c>
      <c r="M8" s="28">
        <v>2</v>
      </c>
      <c r="N8" s="28">
        <v>4</v>
      </c>
      <c r="O8" s="28">
        <v>15</v>
      </c>
      <c r="P8" s="28">
        <v>23</v>
      </c>
      <c r="Q8" s="28">
        <v>7</v>
      </c>
      <c r="R8" s="28"/>
      <c r="S8" s="28">
        <v>4</v>
      </c>
      <c r="T8" s="28"/>
      <c r="U8" s="28">
        <v>10</v>
      </c>
      <c r="V8" s="28">
        <v>4</v>
      </c>
      <c r="W8" s="28"/>
      <c r="X8" s="28">
        <v>258</v>
      </c>
      <c r="Y8" s="28"/>
      <c r="Z8" s="28">
        <v>4</v>
      </c>
      <c r="AA8" s="28"/>
      <c r="AB8" s="28">
        <v>3</v>
      </c>
      <c r="AC8" s="28"/>
      <c r="AD8" s="28"/>
      <c r="AE8" s="28"/>
      <c r="AF8" s="28"/>
      <c r="AG8" s="28"/>
      <c r="AH8" s="28"/>
      <c r="AI8" s="29">
        <v>11083.58</v>
      </c>
      <c r="AJ8" s="29">
        <v>395</v>
      </c>
      <c r="AK8" s="29"/>
      <c r="AL8" s="29">
        <v>0</v>
      </c>
      <c r="AM8" s="37">
        <f>+Tabla4[[#This Row],[TOTAL VENTA]]-Tabla4[[#This Row],[DESCUENTOS
BONIFICACION]]-Tabla4[[#This Row],[PROMOCION]]+Tabla4[[#This Row],[Ingreso por venta dircta]]</f>
        <v>10688.58</v>
      </c>
      <c r="AN8" s="30">
        <f>+Tabla4[[#This Row],[IMPORTE NETO]]*1/60000</f>
        <v>0.178143</v>
      </c>
      <c r="AO8" s="30"/>
      <c r="AP8" s="30"/>
      <c r="AQ8" s="30"/>
      <c r="AR8" s="30"/>
      <c r="AS8" s="30"/>
      <c r="AT8" s="30"/>
      <c r="AU8" s="30">
        <f t="shared" ref="AU8" si="0">1270-1150</f>
        <v>120</v>
      </c>
      <c r="AV8" s="30">
        <f>1494-1054</f>
        <v>440</v>
      </c>
      <c r="AW8" s="40"/>
      <c r="AX8" s="40">
        <f>+Tabla4[[#This Row],[BANCO UNION_1]]+Tabla4[[#This Row],[BANCO UNION-2]]+Tabla4[[#This Row],[BANCO UNION_3]]</f>
        <v>0</v>
      </c>
      <c r="AY8" s="40">
        <f>+Tabla4[[#This Row],[BANCO BNB_1]]+Tabla4[[#This Row],[BANCO BNB_2]]+Tabla4[[#This Row],[BANCO MERCANTIL STA CRUZ2]]</f>
        <v>120</v>
      </c>
      <c r="AZ8" s="40">
        <f>+Tabla4[[#This Row],[SALDO ANTERIOR]]+Tabla4[[#This Row],[CAJA]]+Tabla4[[#This Row],[TOTAL
BANCO UNION]]+Tabla4[[#This Row],[TOTAL
BANCO BNB]]+Tabla4[[#This Row],[DÓLAR
$us]]</f>
        <v>560</v>
      </c>
      <c r="BA8" s="40">
        <f>+Tabla4[[#This Row],[IMPORTE NETO]]-Tabla4[[#This Row],[TOTAL CANCELADO]]</f>
        <v>10128.58</v>
      </c>
      <c r="BB8" s="2"/>
    </row>
    <row r="9" spans="2:54" ht="15.75" customHeight="1" x14ac:dyDescent="0.25">
      <c r="B9" s="79">
        <f>1+B8</f>
        <v>2</v>
      </c>
      <c r="C9" s="3">
        <v>260802</v>
      </c>
      <c r="D9" s="62">
        <v>569</v>
      </c>
      <c r="E9" s="98">
        <v>46235</v>
      </c>
      <c r="F9" s="113" t="s">
        <v>102</v>
      </c>
      <c r="G9" s="114" t="s">
        <v>10</v>
      </c>
      <c r="H9" s="115"/>
      <c r="I9" s="116"/>
      <c r="J9" s="59">
        <v>140</v>
      </c>
      <c r="K9" s="59"/>
      <c r="L9" s="59"/>
      <c r="M9" s="59"/>
      <c r="N9" s="59"/>
      <c r="O9" s="59"/>
      <c r="P9" s="59">
        <v>40</v>
      </c>
      <c r="Q9" s="59">
        <v>2</v>
      </c>
      <c r="R9" s="59"/>
      <c r="S9" s="28"/>
      <c r="T9" s="28"/>
      <c r="U9" s="28"/>
      <c r="V9" s="28"/>
      <c r="W9" s="28"/>
      <c r="X9" s="28">
        <v>140</v>
      </c>
      <c r="Y9" s="28"/>
      <c r="Z9" s="28"/>
      <c r="AA9" s="28"/>
      <c r="AB9" s="28"/>
      <c r="AC9" s="28"/>
      <c r="AD9" s="28"/>
      <c r="AE9" s="28"/>
      <c r="AF9" s="28"/>
      <c r="AG9" s="28"/>
      <c r="AH9" s="59"/>
      <c r="AI9" s="60">
        <v>5894</v>
      </c>
      <c r="AJ9" s="60">
        <v>210</v>
      </c>
      <c r="AK9" s="65"/>
      <c r="AL9" s="65">
        <v>0</v>
      </c>
      <c r="AM9" s="37">
        <f>+Tabla4[[#This Row],[TOTAL VENTA]]-Tabla4[[#This Row],[DESCUENTOS
BONIFICACION]]-Tabla4[[#This Row],[PROMOCION]]+Tabla4[[#This Row],[Ingreso por venta dircta]]</f>
        <v>5684</v>
      </c>
      <c r="AN9" s="61">
        <f>+Tabla4[[#This Row],[IMPORTE NETO]]*1/60000</f>
        <v>9.4733333333333336E-2</v>
      </c>
      <c r="AO9" s="30"/>
      <c r="AP9" s="30"/>
      <c r="AQ9" s="30"/>
      <c r="AR9" s="30"/>
      <c r="AS9" s="30"/>
      <c r="AT9" s="30"/>
      <c r="AU9" s="30"/>
      <c r="AV9" s="30">
        <v>3550</v>
      </c>
      <c r="AW9" s="30"/>
      <c r="AX9" s="61">
        <f>+Tabla4[[#This Row],[BANCO UNION_1]]+Tabla4[[#This Row],[BANCO UNION-2]]+Tabla4[[#This Row],[BANCO UNION_3]]</f>
        <v>0</v>
      </c>
      <c r="AY9" s="61">
        <f>+Tabla4[[#This Row],[BANCO BNB_1]]+Tabla4[[#This Row],[BANCO BNB_2]]+Tabla4[[#This Row],[BANCO MERCANTIL STA CRUZ2]]</f>
        <v>0</v>
      </c>
      <c r="AZ9" s="61">
        <f>+Tabla4[[#This Row],[SALDO ANTERIOR]]+Tabla4[[#This Row],[CAJA]]+Tabla4[[#This Row],[TOTAL
BANCO UNION]]+Tabla4[[#This Row],[TOTAL
BANCO BNB]]+Tabla4[[#This Row],[DÓLAR
$us]]</f>
        <v>3550</v>
      </c>
      <c r="BA9" s="61">
        <f>+Tabla4[[#This Row],[IMPORTE NETO]]-Tabla4[[#This Row],[TOTAL CANCELADO]]</f>
        <v>2134</v>
      </c>
      <c r="BB9" s="2"/>
    </row>
    <row r="10" spans="2:54" ht="15.75" customHeight="1" x14ac:dyDescent="0.25">
      <c r="B10" s="79">
        <f t="shared" ref="B10:B54" si="1">1+B9</f>
        <v>3</v>
      </c>
      <c r="C10" s="3">
        <v>260803</v>
      </c>
      <c r="D10" s="4">
        <v>570</v>
      </c>
      <c r="E10" s="98">
        <v>46235</v>
      </c>
      <c r="F10" s="113" t="s">
        <v>116</v>
      </c>
      <c r="G10" s="114" t="s">
        <v>10</v>
      </c>
      <c r="H10" s="80"/>
      <c r="I10" s="85"/>
      <c r="J10" s="59"/>
      <c r="K10" s="59"/>
      <c r="L10" s="59"/>
      <c r="M10" s="59"/>
      <c r="N10" s="59"/>
      <c r="O10" s="59"/>
      <c r="P10" s="59"/>
      <c r="Q10" s="59"/>
      <c r="R10" s="59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>
        <v>150</v>
      </c>
      <c r="AE10" s="28"/>
      <c r="AF10" s="28"/>
      <c r="AG10" s="28"/>
      <c r="AH10" s="59"/>
      <c r="AI10" s="60">
        <v>2550</v>
      </c>
      <c r="AJ10" s="60"/>
      <c r="AK10" s="60"/>
      <c r="AL10" s="60">
        <v>0</v>
      </c>
      <c r="AM10" s="37">
        <f>+Tabla4[[#This Row],[TOTAL VENTA]]-Tabla4[[#This Row],[DESCUENTOS
BONIFICACION]]-Tabla4[[#This Row],[PROMOCION]]+Tabla4[[#This Row],[Ingreso por venta dircta]]</f>
        <v>2550</v>
      </c>
      <c r="AN10" s="61">
        <f>+Tabla4[[#This Row],[IMPORTE NETO]]*1/60000</f>
        <v>4.2500000000000003E-2</v>
      </c>
      <c r="AO10" s="30"/>
      <c r="AP10" s="30"/>
      <c r="AQ10" s="30"/>
      <c r="AR10" s="30"/>
      <c r="AS10" s="30"/>
      <c r="AT10" s="30"/>
      <c r="AU10" s="30"/>
      <c r="AV10" s="30">
        <v>2550</v>
      </c>
      <c r="AW10" s="30"/>
      <c r="AX10" s="61">
        <f>+Tabla4[[#This Row],[BANCO UNION_1]]+Tabla4[[#This Row],[BANCO UNION-2]]+Tabla4[[#This Row],[BANCO UNION_3]]</f>
        <v>0</v>
      </c>
      <c r="AY10" s="61">
        <f>+Tabla4[[#This Row],[BANCO BNB_1]]+Tabla4[[#This Row],[BANCO BNB_2]]+Tabla4[[#This Row],[BANCO MERCANTIL STA CRUZ2]]</f>
        <v>0</v>
      </c>
      <c r="AZ10" s="61">
        <f>+Tabla4[[#This Row],[SALDO ANTERIOR]]+Tabla4[[#This Row],[CAJA]]+Tabla4[[#This Row],[TOTAL
BANCO UNION]]+Tabla4[[#This Row],[TOTAL
BANCO BNB]]+Tabla4[[#This Row],[DÓLAR
$us]]</f>
        <v>2550</v>
      </c>
      <c r="BA10" s="61">
        <f>+Tabla4[[#This Row],[IMPORTE NETO]]-Tabla4[[#This Row],[TOTAL CANCELADO]]</f>
        <v>0</v>
      </c>
      <c r="BB10" s="2"/>
    </row>
    <row r="11" spans="2:54" s="94" customFormat="1" ht="15.75" customHeight="1" x14ac:dyDescent="0.25">
      <c r="B11" s="79">
        <f t="shared" si="1"/>
        <v>4</v>
      </c>
      <c r="C11" s="3">
        <v>260804</v>
      </c>
      <c r="D11" s="62">
        <v>571</v>
      </c>
      <c r="E11" s="98">
        <v>46237</v>
      </c>
      <c r="F11" s="113" t="s">
        <v>102</v>
      </c>
      <c r="G11" s="89" t="s">
        <v>10</v>
      </c>
      <c r="H11" s="90"/>
      <c r="I11" s="91"/>
      <c r="J11" s="103">
        <v>200</v>
      </c>
      <c r="K11" s="103"/>
      <c r="L11" s="103"/>
      <c r="M11" s="103"/>
      <c r="N11" s="103"/>
      <c r="O11" s="103">
        <v>5</v>
      </c>
      <c r="P11" s="103">
        <v>5</v>
      </c>
      <c r="Q11" s="103"/>
      <c r="R11" s="103"/>
      <c r="S11" s="92"/>
      <c r="T11" s="92"/>
      <c r="U11" s="92"/>
      <c r="V11" s="92"/>
      <c r="W11" s="92"/>
      <c r="X11" s="92">
        <v>200</v>
      </c>
      <c r="Y11" s="92"/>
      <c r="Z11" s="92"/>
      <c r="AA11" s="92"/>
      <c r="AB11" s="92"/>
      <c r="AC11" s="92"/>
      <c r="AD11" s="92"/>
      <c r="AE11" s="92"/>
      <c r="AF11" s="92"/>
      <c r="AG11" s="92"/>
      <c r="AH11" s="103"/>
      <c r="AI11" s="104">
        <v>5430</v>
      </c>
      <c r="AJ11" s="104">
        <v>300</v>
      </c>
      <c r="AK11" s="104"/>
      <c r="AL11" s="104">
        <v>0</v>
      </c>
      <c r="AM11" s="37">
        <f>+Tabla4[[#This Row],[TOTAL VENTA]]-Tabla4[[#This Row],[DESCUENTOS
BONIFICACION]]-Tabla4[[#This Row],[PROMOCION]]+Tabla4[[#This Row],[Ingreso por venta dircta]]</f>
        <v>5130</v>
      </c>
      <c r="AN11" s="105">
        <f>+Tabla4[[#This Row],[IMPORTE NETO]]*1/60000</f>
        <v>8.5500000000000007E-2</v>
      </c>
      <c r="AO11" s="93"/>
      <c r="AP11" s="93"/>
      <c r="AQ11" s="93"/>
      <c r="AR11" s="93"/>
      <c r="AS11" s="93"/>
      <c r="AT11" s="93"/>
      <c r="AU11" s="93">
        <v>13000</v>
      </c>
      <c r="AV11" s="93">
        <v>25990</v>
      </c>
      <c r="AW11" s="93"/>
      <c r="AX11" s="105">
        <f>+Tabla4[[#This Row],[BANCO UNION_1]]+Tabla4[[#This Row],[BANCO UNION-2]]+Tabla4[[#This Row],[BANCO UNION_3]]</f>
        <v>0</v>
      </c>
      <c r="AY11" s="105">
        <f>+Tabla4[[#This Row],[BANCO BNB_1]]+Tabla4[[#This Row],[BANCO BNB_2]]+Tabla4[[#This Row],[BANCO MERCANTIL STA CRUZ2]]</f>
        <v>13000</v>
      </c>
      <c r="AZ11" s="105">
        <f>+Tabla4[[#This Row],[SALDO ANTERIOR]]+Tabla4[[#This Row],[CAJA]]+Tabla4[[#This Row],[TOTAL
BANCO UNION]]+Tabla4[[#This Row],[TOTAL
BANCO BNB]]+Tabla4[[#This Row],[DÓLAR
$us]]</f>
        <v>38990</v>
      </c>
      <c r="BA11" s="105">
        <f>+Tabla4[[#This Row],[IMPORTE NETO]]-Tabla4[[#This Row],[TOTAL CANCELADO]]</f>
        <v>-33860</v>
      </c>
    </row>
    <row r="12" spans="2:54" ht="15.75" customHeight="1" x14ac:dyDescent="0.25">
      <c r="B12" s="79">
        <f t="shared" si="1"/>
        <v>5</v>
      </c>
      <c r="C12" s="3">
        <v>260805</v>
      </c>
      <c r="D12" s="4">
        <v>572</v>
      </c>
      <c r="E12" s="98">
        <v>46237</v>
      </c>
      <c r="F12" s="113" t="s">
        <v>90</v>
      </c>
      <c r="G12" s="89" t="s">
        <v>10</v>
      </c>
      <c r="H12" s="115" t="s">
        <v>96</v>
      </c>
      <c r="I12" s="116" t="s">
        <v>91</v>
      </c>
      <c r="J12" s="59">
        <v>200</v>
      </c>
      <c r="K12" s="59"/>
      <c r="L12" s="59"/>
      <c r="M12" s="59">
        <v>2</v>
      </c>
      <c r="N12" s="59"/>
      <c r="O12" s="59">
        <v>15</v>
      </c>
      <c r="P12" s="59">
        <v>50</v>
      </c>
      <c r="Q12" s="59"/>
      <c r="R12" s="59"/>
      <c r="S12" s="28"/>
      <c r="T12" s="28"/>
      <c r="U12" s="28">
        <v>20</v>
      </c>
      <c r="V12" s="28"/>
      <c r="W12" s="28"/>
      <c r="X12" s="28">
        <v>200</v>
      </c>
      <c r="Y12" s="28"/>
      <c r="Z12" s="28"/>
      <c r="AA12" s="28"/>
      <c r="AB12" s="28"/>
      <c r="AC12" s="28"/>
      <c r="AD12" s="28"/>
      <c r="AE12" s="28"/>
      <c r="AF12" s="28"/>
      <c r="AG12" s="28"/>
      <c r="AH12" s="59"/>
      <c r="AI12" s="60">
        <v>10392</v>
      </c>
      <c r="AJ12" s="60">
        <v>300</v>
      </c>
      <c r="AK12" s="60"/>
      <c r="AL12" s="60">
        <v>0</v>
      </c>
      <c r="AM12" s="37">
        <f>+Tabla4[[#This Row],[TOTAL VENTA]]-Tabla4[[#This Row],[DESCUENTOS
BONIFICACION]]-Tabla4[[#This Row],[PROMOCION]]+Tabla4[[#This Row],[Ingreso por venta dircta]]</f>
        <v>10092</v>
      </c>
      <c r="AN12" s="61">
        <f>+Tabla4[[#This Row],[IMPORTE NETO]]*1/60000</f>
        <v>0.16819999999999999</v>
      </c>
      <c r="AO12" s="30"/>
      <c r="AP12" s="30"/>
      <c r="AQ12" s="30"/>
      <c r="AR12" s="30"/>
      <c r="AS12" s="30"/>
      <c r="AT12" s="30"/>
      <c r="AU12" s="30">
        <f>3100+462</f>
        <v>3562</v>
      </c>
      <c r="AV12" s="30">
        <v>3096</v>
      </c>
      <c r="AW12" s="30"/>
      <c r="AX12" s="61">
        <f>+Tabla4[[#This Row],[BANCO UNION_1]]+Tabla4[[#This Row],[BANCO UNION-2]]+Tabla4[[#This Row],[BANCO UNION_3]]</f>
        <v>0</v>
      </c>
      <c r="AY12" s="61">
        <f>+Tabla4[[#This Row],[BANCO BNB_1]]+Tabla4[[#This Row],[BANCO BNB_2]]+Tabla4[[#This Row],[BANCO MERCANTIL STA CRUZ2]]</f>
        <v>3562</v>
      </c>
      <c r="AZ12" s="61">
        <f>+Tabla4[[#This Row],[SALDO ANTERIOR]]+Tabla4[[#This Row],[CAJA]]+Tabla4[[#This Row],[TOTAL
BANCO UNION]]+Tabla4[[#This Row],[TOTAL
BANCO BNB]]+Tabla4[[#This Row],[DÓLAR
$us]]</f>
        <v>6658</v>
      </c>
      <c r="BA12" s="61">
        <f>+Tabla4[[#This Row],[IMPORTE NETO]]-Tabla4[[#This Row],[TOTAL CANCELADO]]</f>
        <v>3434</v>
      </c>
      <c r="BB12" s="2"/>
    </row>
    <row r="13" spans="2:54" ht="15.75" customHeight="1" x14ac:dyDescent="0.25">
      <c r="B13" s="79">
        <f t="shared" si="1"/>
        <v>6</v>
      </c>
      <c r="C13" s="3">
        <v>260806</v>
      </c>
      <c r="D13" s="62">
        <v>573</v>
      </c>
      <c r="E13" s="102">
        <v>46238</v>
      </c>
      <c r="F13" s="113" t="s">
        <v>102</v>
      </c>
      <c r="G13" s="114" t="s">
        <v>10</v>
      </c>
      <c r="H13" s="115"/>
      <c r="I13" s="116"/>
      <c r="J13" s="59">
        <v>180</v>
      </c>
      <c r="K13" s="59"/>
      <c r="L13" s="59"/>
      <c r="M13" s="59"/>
      <c r="N13" s="59"/>
      <c r="O13" s="59">
        <v>30</v>
      </c>
      <c r="P13" s="59">
        <v>5</v>
      </c>
      <c r="Q13" s="59">
        <v>4</v>
      </c>
      <c r="R13" s="59"/>
      <c r="S13" s="28"/>
      <c r="T13" s="28"/>
      <c r="U13" s="28">
        <v>3</v>
      </c>
      <c r="V13" s="28"/>
      <c r="W13" s="28"/>
      <c r="X13" s="28">
        <v>180</v>
      </c>
      <c r="Y13" s="28"/>
      <c r="Z13" s="28"/>
      <c r="AA13" s="28"/>
      <c r="AB13" s="28"/>
      <c r="AC13" s="28"/>
      <c r="AD13" s="28"/>
      <c r="AE13" s="28"/>
      <c r="AF13" s="28"/>
      <c r="AG13" s="28"/>
      <c r="AH13" s="59"/>
      <c r="AI13" s="60">
        <v>7482</v>
      </c>
      <c r="AJ13" s="60">
        <v>270</v>
      </c>
      <c r="AK13" s="60"/>
      <c r="AL13" s="60">
        <v>0</v>
      </c>
      <c r="AM13" s="37">
        <f>+Tabla4[[#This Row],[TOTAL VENTA]]-Tabla4[[#This Row],[DESCUENTOS
BONIFICACION]]-Tabla4[[#This Row],[PROMOCION]]+Tabla4[[#This Row],[Ingreso por venta dircta]]</f>
        <v>7212</v>
      </c>
      <c r="AN13" s="61">
        <f>+Tabla4[[#This Row],[IMPORTE NETO]]*1/60000</f>
        <v>0.1202</v>
      </c>
      <c r="AO13" s="30"/>
      <c r="AP13" s="30"/>
      <c r="AQ13" s="30"/>
      <c r="AR13" s="30"/>
      <c r="AS13" s="30"/>
      <c r="AT13" s="30"/>
      <c r="AU13" s="30"/>
      <c r="AV13" s="30"/>
      <c r="AW13" s="30"/>
      <c r="AX13" s="61">
        <f>+Tabla4[[#This Row],[BANCO UNION_1]]+Tabla4[[#This Row],[BANCO UNION-2]]+Tabla4[[#This Row],[BANCO UNION_3]]</f>
        <v>0</v>
      </c>
      <c r="AY13" s="61">
        <f>+Tabla4[[#This Row],[BANCO BNB_1]]+Tabla4[[#This Row],[BANCO BNB_2]]+Tabla4[[#This Row],[BANCO MERCANTIL STA CRUZ2]]</f>
        <v>0</v>
      </c>
      <c r="AZ13" s="61">
        <f>+Tabla4[[#This Row],[SALDO ANTERIOR]]+Tabla4[[#This Row],[CAJA]]+Tabla4[[#This Row],[TOTAL
BANCO UNION]]+Tabla4[[#This Row],[TOTAL
BANCO BNB]]+Tabla4[[#This Row],[DÓLAR
$us]]</f>
        <v>0</v>
      </c>
      <c r="BA13" s="61">
        <f>+Tabla4[[#This Row],[IMPORTE NETO]]-Tabla4[[#This Row],[TOTAL CANCELADO]]</f>
        <v>7212</v>
      </c>
      <c r="BB13" s="2"/>
    </row>
    <row r="14" spans="2:54" ht="15.75" customHeight="1" x14ac:dyDescent="0.25">
      <c r="B14" s="79">
        <f t="shared" si="1"/>
        <v>7</v>
      </c>
      <c r="C14" s="3">
        <v>260807</v>
      </c>
      <c r="D14" s="4">
        <v>574</v>
      </c>
      <c r="E14" s="102">
        <v>46238</v>
      </c>
      <c r="F14" s="113" t="s">
        <v>107</v>
      </c>
      <c r="G14" s="114" t="s">
        <v>10</v>
      </c>
      <c r="H14" s="80"/>
      <c r="I14" s="85"/>
      <c r="J14" s="59">
        <v>30</v>
      </c>
      <c r="K14" s="59"/>
      <c r="L14" s="59"/>
      <c r="M14" s="59">
        <v>10</v>
      </c>
      <c r="N14" s="59">
        <v>20</v>
      </c>
      <c r="O14" s="59">
        <v>20</v>
      </c>
      <c r="P14" s="59"/>
      <c r="Q14" s="59"/>
      <c r="R14" s="59"/>
      <c r="S14" s="28"/>
      <c r="T14" s="28"/>
      <c r="U14" s="28"/>
      <c r="V14" s="28"/>
      <c r="W14" s="28"/>
      <c r="X14" s="28">
        <v>30</v>
      </c>
      <c r="Y14" s="28"/>
      <c r="Z14" s="28"/>
      <c r="AA14" s="28"/>
      <c r="AB14" s="28"/>
      <c r="AC14" s="28"/>
      <c r="AD14" s="28"/>
      <c r="AE14" s="28"/>
      <c r="AF14" s="28"/>
      <c r="AG14" s="28"/>
      <c r="AH14" s="59"/>
      <c r="AI14" s="60">
        <v>4965</v>
      </c>
      <c r="AJ14" s="60">
        <v>45</v>
      </c>
      <c r="AK14" s="60"/>
      <c r="AL14" s="60">
        <v>0</v>
      </c>
      <c r="AM14" s="37">
        <f>+Tabla4[[#This Row],[TOTAL VENTA]]-Tabla4[[#This Row],[DESCUENTOS
BONIFICACION]]-Tabla4[[#This Row],[PROMOCION]]+Tabla4[[#This Row],[Ingreso por venta dircta]]</f>
        <v>4920</v>
      </c>
      <c r="AN14" s="61">
        <f>+Tabla4[[#This Row],[IMPORTE NETO]]*1/60000</f>
        <v>8.2000000000000003E-2</v>
      </c>
      <c r="AO14" s="30"/>
      <c r="AP14" s="30">
        <v>4920</v>
      </c>
      <c r="AQ14" s="30"/>
      <c r="AR14" s="30"/>
      <c r="AS14" s="30"/>
      <c r="AT14" s="30"/>
      <c r="AU14" s="30"/>
      <c r="AV14" s="30"/>
      <c r="AW14" s="30"/>
      <c r="AX14" s="61">
        <f>+Tabla4[[#This Row],[BANCO UNION_1]]+Tabla4[[#This Row],[BANCO UNION-2]]+Tabla4[[#This Row],[BANCO UNION_3]]</f>
        <v>4920</v>
      </c>
      <c r="AY14" s="61">
        <f>+Tabla4[[#This Row],[BANCO BNB_1]]+Tabla4[[#This Row],[BANCO BNB_2]]+Tabla4[[#This Row],[BANCO MERCANTIL STA CRUZ2]]</f>
        <v>0</v>
      </c>
      <c r="AZ14" s="61">
        <f>+Tabla4[[#This Row],[SALDO ANTERIOR]]+Tabla4[[#This Row],[CAJA]]+Tabla4[[#This Row],[TOTAL
BANCO UNION]]+Tabla4[[#This Row],[TOTAL
BANCO BNB]]+Tabla4[[#This Row],[DÓLAR
$us]]</f>
        <v>4920</v>
      </c>
      <c r="BA14" s="61">
        <f>+Tabla4[[#This Row],[IMPORTE NETO]]-Tabla4[[#This Row],[TOTAL CANCELADO]]</f>
        <v>0</v>
      </c>
      <c r="BB14" s="2"/>
    </row>
    <row r="15" spans="2:54" ht="15.75" customHeight="1" x14ac:dyDescent="0.25">
      <c r="B15" s="79">
        <f t="shared" si="1"/>
        <v>8</v>
      </c>
      <c r="C15" s="3">
        <v>260808</v>
      </c>
      <c r="D15" s="126">
        <v>575</v>
      </c>
      <c r="E15" s="102">
        <v>46238</v>
      </c>
      <c r="F15" s="113" t="s">
        <v>73</v>
      </c>
      <c r="G15" s="114" t="s">
        <v>10</v>
      </c>
      <c r="H15" s="115"/>
      <c r="I15" s="116"/>
      <c r="J15" s="127">
        <v>50</v>
      </c>
      <c r="K15" s="128"/>
      <c r="L15" s="127"/>
      <c r="M15" s="129"/>
      <c r="N15" s="129"/>
      <c r="O15" s="129"/>
      <c r="P15" s="129">
        <v>15</v>
      </c>
      <c r="Q15" s="129"/>
      <c r="R15" s="128"/>
      <c r="S15" s="66"/>
      <c r="T15" s="28"/>
      <c r="U15" s="28"/>
      <c r="V15" s="28">
        <v>10</v>
      </c>
      <c r="W15" s="28"/>
      <c r="X15" s="28">
        <v>50</v>
      </c>
      <c r="Y15" s="88"/>
      <c r="Z15" s="88"/>
      <c r="AA15" s="96"/>
      <c r="AB15" s="28"/>
      <c r="AC15" s="28"/>
      <c r="AD15" s="28"/>
      <c r="AE15" s="28"/>
      <c r="AF15" s="28"/>
      <c r="AG15" s="66"/>
      <c r="AH15" s="130"/>
      <c r="AI15" s="131">
        <v>2685</v>
      </c>
      <c r="AJ15" s="131">
        <v>75</v>
      </c>
      <c r="AK15" s="131"/>
      <c r="AL15" s="131"/>
      <c r="AM15" s="37">
        <f>+Tabla4[[#This Row],[TOTAL VENTA]]-Tabla4[[#This Row],[DESCUENTOS
BONIFICACION]]-Tabla4[[#This Row],[PROMOCION]]+Tabla4[[#This Row],[Ingreso por venta dircta]]</f>
        <v>2610</v>
      </c>
      <c r="AN15" s="132">
        <f>+Tabla4[[#This Row],[IMPORTE NETO]]*1/60000</f>
        <v>4.3499999999999997E-2</v>
      </c>
      <c r="AO15" s="67"/>
      <c r="AP15" s="67"/>
      <c r="AQ15" s="67"/>
      <c r="AR15" s="67"/>
      <c r="AS15" s="67"/>
      <c r="AT15" s="67"/>
      <c r="AU15" s="67"/>
      <c r="AV15" s="67"/>
      <c r="AW15" s="30"/>
      <c r="AX15" s="132">
        <f>+Tabla4[[#This Row],[BANCO UNION_1]]+Tabla4[[#This Row],[BANCO UNION-2]]+Tabla4[[#This Row],[BANCO UNION_3]]</f>
        <v>0</v>
      </c>
      <c r="AY15" s="132">
        <f>+Tabla4[[#This Row],[BANCO BNB_1]]+Tabla4[[#This Row],[BANCO BNB_2]]+Tabla4[[#This Row],[BANCO MERCANTIL STA CRUZ2]]</f>
        <v>0</v>
      </c>
      <c r="AZ15" s="132">
        <f>+Tabla4[[#This Row],[SALDO ANTERIOR]]+Tabla4[[#This Row],[CAJA]]+Tabla4[[#This Row],[TOTAL
BANCO UNION]]+Tabla4[[#This Row],[TOTAL
BANCO BNB]]+Tabla4[[#This Row],[DÓLAR
$us]]</f>
        <v>0</v>
      </c>
      <c r="BA15" s="132">
        <f>+Tabla4[[#This Row],[IMPORTE NETO]]-Tabla4[[#This Row],[TOTAL CANCELADO]]</f>
        <v>2610</v>
      </c>
      <c r="BB15" s="2"/>
    </row>
    <row r="16" spans="2:54" ht="15.75" customHeight="1" x14ac:dyDescent="0.25">
      <c r="B16" s="79">
        <f t="shared" si="1"/>
        <v>9</v>
      </c>
      <c r="C16" s="3">
        <v>260809</v>
      </c>
      <c r="D16" s="62">
        <v>576</v>
      </c>
      <c r="E16" s="102">
        <v>46238</v>
      </c>
      <c r="F16" s="113" t="s">
        <v>90</v>
      </c>
      <c r="G16" s="89" t="s">
        <v>10</v>
      </c>
      <c r="H16" s="115" t="s">
        <v>96</v>
      </c>
      <c r="I16" s="116" t="s">
        <v>91</v>
      </c>
      <c r="J16" s="59">
        <v>60</v>
      </c>
      <c r="K16" s="59"/>
      <c r="L16" s="59"/>
      <c r="M16" s="59"/>
      <c r="N16" s="59"/>
      <c r="O16" s="59">
        <v>20</v>
      </c>
      <c r="P16" s="59">
        <v>20</v>
      </c>
      <c r="Q16" s="59"/>
      <c r="R16" s="59"/>
      <c r="S16" s="28"/>
      <c r="T16" s="28"/>
      <c r="U16" s="28"/>
      <c r="V16" s="28"/>
      <c r="W16" s="28"/>
      <c r="X16" s="28">
        <v>60</v>
      </c>
      <c r="Y16" s="28"/>
      <c r="Z16" s="28"/>
      <c r="AA16" s="28"/>
      <c r="AB16" s="28"/>
      <c r="AC16" s="28"/>
      <c r="AD16" s="28"/>
      <c r="AE16" s="28"/>
      <c r="AF16" s="28"/>
      <c r="AG16" s="28"/>
      <c r="AH16" s="59"/>
      <c r="AI16" s="60">
        <v>4330</v>
      </c>
      <c r="AJ16" s="60">
        <v>90</v>
      </c>
      <c r="AK16" s="60"/>
      <c r="AL16" s="60">
        <v>0</v>
      </c>
      <c r="AM16" s="37">
        <f>+Tabla4[[#This Row],[TOTAL VENTA]]-Tabla4[[#This Row],[DESCUENTOS
BONIFICACION]]-Tabla4[[#This Row],[PROMOCION]]+Tabla4[[#This Row],[Ingreso por venta dircta]]</f>
        <v>4240</v>
      </c>
      <c r="AN16" s="61">
        <f>+Tabla4[[#This Row],[IMPORTE NETO]]*1/60000</f>
        <v>7.0666666666666669E-2</v>
      </c>
      <c r="AO16" s="30"/>
      <c r="AP16" s="30"/>
      <c r="AQ16" s="30"/>
      <c r="AR16" s="30"/>
      <c r="AS16" s="30"/>
      <c r="AT16" s="30"/>
      <c r="AU16" s="30">
        <v>1378</v>
      </c>
      <c r="AV16" s="30">
        <f>3914-600-576-606-564-70</f>
        <v>1498</v>
      </c>
      <c r="AW16" s="30"/>
      <c r="AX16" s="61">
        <f>+Tabla4[[#This Row],[BANCO UNION_1]]+Tabla4[[#This Row],[BANCO UNION-2]]+Tabla4[[#This Row],[BANCO UNION_3]]</f>
        <v>0</v>
      </c>
      <c r="AY16" s="61">
        <f>+Tabla4[[#This Row],[BANCO BNB_1]]+Tabla4[[#This Row],[BANCO BNB_2]]+Tabla4[[#This Row],[BANCO MERCANTIL STA CRUZ2]]</f>
        <v>1378</v>
      </c>
      <c r="AZ16" s="61">
        <f>+Tabla4[[#This Row],[SALDO ANTERIOR]]+Tabla4[[#This Row],[CAJA]]+Tabla4[[#This Row],[TOTAL
BANCO UNION]]+Tabla4[[#This Row],[TOTAL
BANCO BNB]]+Tabla4[[#This Row],[DÓLAR
$us]]</f>
        <v>2876</v>
      </c>
      <c r="BA16" s="61">
        <f>+Tabla4[[#This Row],[IMPORTE NETO]]-Tabla4[[#This Row],[TOTAL CANCELADO]]</f>
        <v>1364</v>
      </c>
      <c r="BB16" s="2"/>
    </row>
    <row r="17" spans="2:54" ht="15.75" customHeight="1" x14ac:dyDescent="0.25">
      <c r="B17" s="79">
        <f t="shared" si="1"/>
        <v>10</v>
      </c>
      <c r="C17" s="3">
        <v>260810</v>
      </c>
      <c r="D17" s="133"/>
      <c r="E17" s="102">
        <v>46238</v>
      </c>
      <c r="F17" s="134" t="s">
        <v>110</v>
      </c>
      <c r="G17" s="134" t="s">
        <v>111</v>
      </c>
      <c r="H17" s="86"/>
      <c r="I17" s="87"/>
      <c r="J17" s="135"/>
      <c r="K17" s="136"/>
      <c r="L17" s="135"/>
      <c r="M17" s="137"/>
      <c r="N17" s="137"/>
      <c r="O17" s="137"/>
      <c r="P17" s="137"/>
      <c r="Q17" s="137"/>
      <c r="R17" s="136"/>
      <c r="S17" s="66"/>
      <c r="T17" s="28"/>
      <c r="U17" s="28"/>
      <c r="V17" s="28"/>
      <c r="W17" s="28"/>
      <c r="X17" s="28"/>
      <c r="Y17" s="88"/>
      <c r="Z17" s="88"/>
      <c r="AA17" s="96"/>
      <c r="AB17" s="28"/>
      <c r="AC17" s="28"/>
      <c r="AD17" s="28"/>
      <c r="AE17" s="28"/>
      <c r="AF17" s="28"/>
      <c r="AG17" s="66"/>
      <c r="AH17" s="138">
        <v>4740.8</v>
      </c>
      <c r="AI17" s="139">
        <v>11852</v>
      </c>
      <c r="AJ17" s="139"/>
      <c r="AK17" s="139"/>
      <c r="AL17" s="139"/>
      <c r="AM17" s="37">
        <f>+Tabla4[[#This Row],[TOTAL VENTA]]-Tabla4[[#This Row],[DESCUENTOS
BONIFICACION]]-Tabla4[[#This Row],[PROMOCION]]+Tabla4[[#This Row],[Ingreso por venta dircta]]</f>
        <v>11852</v>
      </c>
      <c r="AN17" s="140">
        <f>+Tabla4[[#This Row],[IMPORTE NETO]]*1/60000</f>
        <v>0.19753333333333334</v>
      </c>
      <c r="AO17" s="67"/>
      <c r="AP17" s="67">
        <v>11852</v>
      </c>
      <c r="AQ17" s="67"/>
      <c r="AR17" s="67"/>
      <c r="AS17" s="67"/>
      <c r="AT17" s="67"/>
      <c r="AU17" s="67"/>
      <c r="AV17" s="67"/>
      <c r="AW17" s="30"/>
      <c r="AX17" s="140">
        <f>+Tabla4[[#This Row],[BANCO UNION_1]]+Tabla4[[#This Row],[BANCO UNION-2]]+Tabla4[[#This Row],[BANCO UNION_3]]</f>
        <v>11852</v>
      </c>
      <c r="AY17" s="140">
        <f>+Tabla4[[#This Row],[BANCO BNB_1]]+Tabla4[[#This Row],[BANCO BNB_2]]+Tabla4[[#This Row],[BANCO MERCANTIL STA CRUZ2]]</f>
        <v>0</v>
      </c>
      <c r="AZ17" s="140">
        <f>+Tabla4[[#This Row],[SALDO ANTERIOR]]+Tabla4[[#This Row],[CAJA]]+Tabla4[[#This Row],[TOTAL
BANCO UNION]]+Tabla4[[#This Row],[TOTAL
BANCO BNB]]+Tabla4[[#This Row],[DÓLAR
$us]]</f>
        <v>11852</v>
      </c>
      <c r="BA17" s="140">
        <f>+Tabla4[[#This Row],[IMPORTE NETO]]-Tabla4[[#This Row],[TOTAL CANCELADO]]</f>
        <v>0</v>
      </c>
      <c r="BB17" s="2"/>
    </row>
    <row r="18" spans="2:54" ht="15.75" customHeight="1" x14ac:dyDescent="0.25">
      <c r="B18" s="79">
        <f t="shared" si="1"/>
        <v>11</v>
      </c>
      <c r="C18" s="3">
        <v>260811</v>
      </c>
      <c r="D18" s="62">
        <v>577</v>
      </c>
      <c r="E18" s="102">
        <v>46239</v>
      </c>
      <c r="F18" s="113" t="s">
        <v>102</v>
      </c>
      <c r="G18" s="89" t="s">
        <v>10</v>
      </c>
      <c r="H18" s="100"/>
      <c r="I18" s="101"/>
      <c r="J18" s="59">
        <v>250</v>
      </c>
      <c r="K18" s="59"/>
      <c r="L18" s="59"/>
      <c r="M18" s="59"/>
      <c r="N18" s="59"/>
      <c r="O18" s="59">
        <v>5</v>
      </c>
      <c r="P18" s="59">
        <v>8</v>
      </c>
      <c r="Q18" s="59">
        <v>2</v>
      </c>
      <c r="R18" s="59"/>
      <c r="S18" s="28"/>
      <c r="T18" s="28"/>
      <c r="U18" s="28">
        <v>4</v>
      </c>
      <c r="V18" s="28"/>
      <c r="W18" s="28"/>
      <c r="X18" s="28">
        <v>250</v>
      </c>
      <c r="Y18" s="28"/>
      <c r="Z18" s="28"/>
      <c r="AA18" s="28"/>
      <c r="AB18" s="28"/>
      <c r="AC18" s="28"/>
      <c r="AD18" s="28"/>
      <c r="AE18" s="28"/>
      <c r="AF18" s="28"/>
      <c r="AG18" s="28"/>
      <c r="AH18" s="59"/>
      <c r="AI18" s="60">
        <v>7147</v>
      </c>
      <c r="AJ18" s="60">
        <v>375</v>
      </c>
      <c r="AK18" s="60"/>
      <c r="AL18" s="60">
        <v>0</v>
      </c>
      <c r="AM18" s="37">
        <f>+Tabla4[[#This Row],[TOTAL VENTA]]-Tabla4[[#This Row],[DESCUENTOS
BONIFICACION]]-Tabla4[[#This Row],[PROMOCION]]+Tabla4[[#This Row],[Ingreso por venta dircta]]</f>
        <v>6772</v>
      </c>
      <c r="AN18" s="61">
        <f>+Tabla4[[#This Row],[IMPORTE NETO]]*1/60000</f>
        <v>0.11286666666666667</v>
      </c>
      <c r="AO18" s="30"/>
      <c r="AP18" s="30"/>
      <c r="AQ18" s="30"/>
      <c r="AR18" s="30"/>
      <c r="AS18" s="30"/>
      <c r="AT18" s="30"/>
      <c r="AU18" s="30"/>
      <c r="AV18" s="30"/>
      <c r="AW18" s="30"/>
      <c r="AX18" s="61">
        <f>+Tabla4[[#This Row],[BANCO UNION_1]]+Tabla4[[#This Row],[BANCO UNION-2]]+Tabla4[[#This Row],[BANCO UNION_3]]</f>
        <v>0</v>
      </c>
      <c r="AY18" s="61">
        <f>+Tabla4[[#This Row],[BANCO BNB_1]]+Tabla4[[#This Row],[BANCO BNB_2]]+Tabla4[[#This Row],[BANCO MERCANTIL STA CRUZ2]]</f>
        <v>0</v>
      </c>
      <c r="AZ18" s="61">
        <f>+Tabla4[[#This Row],[SALDO ANTERIOR]]+Tabla4[[#This Row],[CAJA]]+Tabla4[[#This Row],[TOTAL
BANCO UNION]]+Tabla4[[#This Row],[TOTAL
BANCO BNB]]+Tabla4[[#This Row],[DÓLAR
$us]]</f>
        <v>0</v>
      </c>
      <c r="BA18" s="61">
        <f>+Tabla4[[#This Row],[IMPORTE NETO]]-Tabla4[[#This Row],[TOTAL CANCELADO]]</f>
        <v>6772</v>
      </c>
      <c r="BB18" s="2"/>
    </row>
    <row r="19" spans="2:54" ht="15.75" customHeight="1" x14ac:dyDescent="0.25">
      <c r="B19" s="79">
        <f t="shared" si="1"/>
        <v>12</v>
      </c>
      <c r="C19" s="3">
        <v>260812</v>
      </c>
      <c r="D19" s="4">
        <v>578</v>
      </c>
      <c r="E19" s="102">
        <v>46239</v>
      </c>
      <c r="F19" s="113" t="s">
        <v>90</v>
      </c>
      <c r="G19" s="89" t="s">
        <v>10</v>
      </c>
      <c r="H19" s="115" t="s">
        <v>96</v>
      </c>
      <c r="I19" s="116" t="s">
        <v>91</v>
      </c>
      <c r="J19" s="59">
        <v>200</v>
      </c>
      <c r="K19" s="59"/>
      <c r="L19" s="59"/>
      <c r="M19" s="59">
        <v>3</v>
      </c>
      <c r="N19" s="59"/>
      <c r="O19" s="59">
        <v>10</v>
      </c>
      <c r="P19" s="59">
        <v>10</v>
      </c>
      <c r="Q19" s="59"/>
      <c r="R19" s="59"/>
      <c r="S19" s="28"/>
      <c r="T19" s="28"/>
      <c r="U19" s="28"/>
      <c r="V19" s="28"/>
      <c r="W19" s="28"/>
      <c r="X19" s="28">
        <v>200</v>
      </c>
      <c r="Y19" s="28"/>
      <c r="Z19" s="28"/>
      <c r="AA19" s="28"/>
      <c r="AB19" s="28"/>
      <c r="AC19" s="28"/>
      <c r="AD19" s="28"/>
      <c r="AE19" s="28"/>
      <c r="AF19" s="28"/>
      <c r="AG19" s="28"/>
      <c r="AH19" s="59"/>
      <c r="AI19" s="60">
        <v>6418</v>
      </c>
      <c r="AJ19" s="60">
        <v>300</v>
      </c>
      <c r="AK19" s="60"/>
      <c r="AL19" s="60">
        <v>0</v>
      </c>
      <c r="AM19" s="37">
        <f>+Tabla4[[#This Row],[TOTAL VENTA]]-Tabla4[[#This Row],[DESCUENTOS
BONIFICACION]]-Tabla4[[#This Row],[PROMOCION]]+Tabla4[[#This Row],[Ingreso por venta dircta]]</f>
        <v>6118</v>
      </c>
      <c r="AN19" s="61">
        <f>+Tabla4[[#This Row],[IMPORTE NETO]]*1/60000</f>
        <v>0.10196666666666666</v>
      </c>
      <c r="AO19" s="30"/>
      <c r="AP19" s="30"/>
      <c r="AQ19" s="30"/>
      <c r="AR19" s="30"/>
      <c r="AS19" s="30"/>
      <c r="AT19" s="30"/>
      <c r="AU19" s="30">
        <v>968</v>
      </c>
      <c r="AV19" s="30">
        <v>2536</v>
      </c>
      <c r="AW19" s="30"/>
      <c r="AX19" s="61">
        <f>+Tabla4[[#This Row],[BANCO UNION_1]]+Tabla4[[#This Row],[BANCO UNION-2]]+Tabla4[[#This Row],[BANCO UNION_3]]</f>
        <v>0</v>
      </c>
      <c r="AY19" s="61">
        <f>+Tabla4[[#This Row],[BANCO BNB_1]]+Tabla4[[#This Row],[BANCO BNB_2]]+Tabla4[[#This Row],[BANCO MERCANTIL STA CRUZ2]]</f>
        <v>968</v>
      </c>
      <c r="AZ19" s="61">
        <f>+Tabla4[[#This Row],[SALDO ANTERIOR]]+Tabla4[[#This Row],[CAJA]]+Tabla4[[#This Row],[TOTAL
BANCO UNION]]+Tabla4[[#This Row],[TOTAL
BANCO BNB]]+Tabla4[[#This Row],[DÓLAR
$us]]</f>
        <v>3504</v>
      </c>
      <c r="BA19" s="61">
        <f>+Tabla4[[#This Row],[IMPORTE NETO]]-Tabla4[[#This Row],[TOTAL CANCELADO]]</f>
        <v>2614</v>
      </c>
      <c r="BB19" s="2"/>
    </row>
    <row r="20" spans="2:54" ht="15.75" customHeight="1" x14ac:dyDescent="0.25">
      <c r="B20" s="79">
        <f t="shared" si="1"/>
        <v>13</v>
      </c>
      <c r="C20" s="3">
        <v>260813</v>
      </c>
      <c r="D20" s="62">
        <v>579</v>
      </c>
      <c r="E20" s="102">
        <v>46239</v>
      </c>
      <c r="F20" s="113" t="s">
        <v>108</v>
      </c>
      <c r="G20" s="114" t="s">
        <v>10</v>
      </c>
      <c r="H20" s="115"/>
      <c r="I20" s="116"/>
      <c r="J20" s="59"/>
      <c r="K20" s="59"/>
      <c r="L20" s="59"/>
      <c r="M20" s="59"/>
      <c r="N20" s="59"/>
      <c r="O20" s="59"/>
      <c r="P20" s="59"/>
      <c r="Q20" s="59"/>
      <c r="R20" s="59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>
        <v>200</v>
      </c>
      <c r="AE20" s="28"/>
      <c r="AF20" s="28"/>
      <c r="AG20" s="28"/>
      <c r="AH20" s="59"/>
      <c r="AI20" s="60">
        <v>3000</v>
      </c>
      <c r="AJ20" s="60"/>
      <c r="AK20" s="60"/>
      <c r="AL20" s="60">
        <v>0</v>
      </c>
      <c r="AM20" s="37">
        <f>+Tabla4[[#This Row],[TOTAL VENTA]]-Tabla4[[#This Row],[DESCUENTOS
BONIFICACION]]-Tabla4[[#This Row],[PROMOCION]]+Tabla4[[#This Row],[Ingreso por venta dircta]]</f>
        <v>3000</v>
      </c>
      <c r="AN20" s="61">
        <f>+Tabla4[[#This Row],[IMPORTE NETO]]*1/60000</f>
        <v>0.05</v>
      </c>
      <c r="AO20" s="30"/>
      <c r="AP20" s="30"/>
      <c r="AQ20" s="30">
        <v>3000</v>
      </c>
      <c r="AR20" s="30"/>
      <c r="AS20" s="30"/>
      <c r="AT20" s="30"/>
      <c r="AU20" s="30"/>
      <c r="AV20" s="30"/>
      <c r="AW20" s="30"/>
      <c r="AX20" s="61">
        <f>+Tabla4[[#This Row],[BANCO UNION_1]]+Tabla4[[#This Row],[BANCO UNION-2]]+Tabla4[[#This Row],[BANCO UNION_3]]</f>
        <v>0</v>
      </c>
      <c r="AY20" s="61">
        <f>+Tabla4[[#This Row],[BANCO BNB_1]]+Tabla4[[#This Row],[BANCO BNB_2]]+Tabla4[[#This Row],[BANCO MERCANTIL STA CRUZ2]]</f>
        <v>3000</v>
      </c>
      <c r="AZ20" s="61">
        <f>+Tabla4[[#This Row],[SALDO ANTERIOR]]+Tabla4[[#This Row],[CAJA]]+Tabla4[[#This Row],[TOTAL
BANCO UNION]]+Tabla4[[#This Row],[TOTAL
BANCO BNB]]+Tabla4[[#This Row],[DÓLAR
$us]]</f>
        <v>3000</v>
      </c>
      <c r="BA20" s="61">
        <f>+Tabla4[[#This Row],[IMPORTE NETO]]-Tabla4[[#This Row],[TOTAL CANCELADO]]</f>
        <v>0</v>
      </c>
      <c r="BB20" s="2"/>
    </row>
    <row r="21" spans="2:54" ht="15.75" customHeight="1" x14ac:dyDescent="0.25">
      <c r="B21" s="79">
        <f t="shared" si="1"/>
        <v>14</v>
      </c>
      <c r="C21" s="3">
        <v>260814</v>
      </c>
      <c r="D21" s="4">
        <v>580</v>
      </c>
      <c r="E21" s="102">
        <v>46239</v>
      </c>
      <c r="F21" s="113" t="s">
        <v>83</v>
      </c>
      <c r="G21" s="114" t="s">
        <v>84</v>
      </c>
      <c r="H21" s="115"/>
      <c r="I21" s="116"/>
      <c r="J21" s="59">
        <v>1500</v>
      </c>
      <c r="K21" s="59"/>
      <c r="L21" s="59"/>
      <c r="M21" s="59"/>
      <c r="N21" s="59"/>
      <c r="O21" s="59">
        <v>196</v>
      </c>
      <c r="P21" s="59">
        <v>150</v>
      </c>
      <c r="Q21" s="59">
        <v>100</v>
      </c>
      <c r="R21" s="59"/>
      <c r="S21" s="28"/>
      <c r="T21" s="28"/>
      <c r="U21" s="28"/>
      <c r="V21" s="28"/>
      <c r="W21" s="28"/>
      <c r="X21" s="28">
        <v>1500</v>
      </c>
      <c r="Y21" s="28"/>
      <c r="Z21" s="28"/>
      <c r="AA21" s="28"/>
      <c r="AB21" s="28"/>
      <c r="AC21" s="28"/>
      <c r="AD21" s="28"/>
      <c r="AE21" s="28"/>
      <c r="AF21" s="28"/>
      <c r="AG21" s="28"/>
      <c r="AH21" s="59"/>
      <c r="AI21" s="60">
        <v>64840.86</v>
      </c>
      <c r="AJ21" s="60">
        <v>2250</v>
      </c>
      <c r="AK21" s="60"/>
      <c r="AL21" s="60">
        <v>0</v>
      </c>
      <c r="AM21" s="37">
        <f>+Tabla4[[#This Row],[TOTAL VENTA]]-Tabla4[[#This Row],[DESCUENTOS
BONIFICACION]]-Tabla4[[#This Row],[PROMOCION]]+Tabla4[[#This Row],[Ingreso por venta dircta]]</f>
        <v>62590.86</v>
      </c>
      <c r="AN21" s="61">
        <f>+Tabla4[[#This Row],[IMPORTE NETO]]*1/60000</f>
        <v>1.0431809999999999</v>
      </c>
      <c r="AO21" s="30"/>
      <c r="AP21" s="30"/>
      <c r="AQ21" s="30">
        <v>30000</v>
      </c>
      <c r="AR21" s="30"/>
      <c r="AS21" s="30">
        <v>32590.86</v>
      </c>
      <c r="AT21" s="30"/>
      <c r="AU21" s="30"/>
      <c r="AV21" s="30"/>
      <c r="AW21" s="30"/>
      <c r="AX21" s="61">
        <f>+Tabla4[[#This Row],[BANCO UNION_1]]+Tabla4[[#This Row],[BANCO UNION-2]]+Tabla4[[#This Row],[BANCO UNION_3]]</f>
        <v>0</v>
      </c>
      <c r="AY21" s="61">
        <f>+Tabla4[[#This Row],[BANCO BNB_1]]+Tabla4[[#This Row],[BANCO BNB_2]]+Tabla4[[#This Row],[BANCO MERCANTIL STA CRUZ2]]</f>
        <v>62590.86</v>
      </c>
      <c r="AZ21" s="61">
        <f>+Tabla4[[#This Row],[SALDO ANTERIOR]]+Tabla4[[#This Row],[CAJA]]+Tabla4[[#This Row],[TOTAL
BANCO UNION]]+Tabla4[[#This Row],[TOTAL
BANCO BNB]]+Tabla4[[#This Row],[DÓLAR
$us]]</f>
        <v>62590.86</v>
      </c>
      <c r="BA21" s="61">
        <f>+Tabla4[[#This Row],[IMPORTE NETO]]-Tabla4[[#This Row],[TOTAL CANCELADO]]</f>
        <v>0</v>
      </c>
      <c r="BB21" s="2"/>
    </row>
    <row r="22" spans="2:54" ht="15.75" customHeight="1" x14ac:dyDescent="0.25">
      <c r="B22" s="79">
        <f t="shared" si="1"/>
        <v>15</v>
      </c>
      <c r="C22" s="3">
        <v>260815</v>
      </c>
      <c r="D22" s="62">
        <v>581</v>
      </c>
      <c r="E22" s="98">
        <v>46241</v>
      </c>
      <c r="F22" s="113" t="s">
        <v>102</v>
      </c>
      <c r="G22" s="114" t="s">
        <v>10</v>
      </c>
      <c r="H22" s="115"/>
      <c r="I22" s="116"/>
      <c r="J22" s="59">
        <v>250</v>
      </c>
      <c r="K22" s="59"/>
      <c r="L22" s="59"/>
      <c r="M22" s="59"/>
      <c r="N22" s="59"/>
      <c r="O22" s="59">
        <v>15</v>
      </c>
      <c r="P22" s="59">
        <v>15</v>
      </c>
      <c r="Q22" s="59">
        <v>3</v>
      </c>
      <c r="R22" s="59"/>
      <c r="S22" s="28"/>
      <c r="T22" s="28"/>
      <c r="U22" s="28">
        <v>6</v>
      </c>
      <c r="V22" s="28"/>
      <c r="W22" s="28"/>
      <c r="X22" s="28">
        <v>250</v>
      </c>
      <c r="Y22" s="28"/>
      <c r="Z22" s="28"/>
      <c r="AA22" s="28"/>
      <c r="AB22" s="28"/>
      <c r="AC22" s="28"/>
      <c r="AD22" s="28"/>
      <c r="AE22" s="28"/>
      <c r="AF22" s="28"/>
      <c r="AG22" s="28"/>
      <c r="AH22" s="59"/>
      <c r="AI22" s="60">
        <v>8599</v>
      </c>
      <c r="AJ22" s="60">
        <v>375</v>
      </c>
      <c r="AK22" s="60"/>
      <c r="AL22" s="60">
        <v>0</v>
      </c>
      <c r="AM22" s="37">
        <f>+Tabla4[[#This Row],[TOTAL VENTA]]-Tabla4[[#This Row],[DESCUENTOS
BONIFICACION]]-Tabla4[[#This Row],[PROMOCION]]+Tabla4[[#This Row],[Ingreso por venta dircta]]</f>
        <v>8224</v>
      </c>
      <c r="AN22" s="61">
        <f>+Tabla4[[#This Row],[IMPORTE NETO]]*1/60000</f>
        <v>0.13706666666666667</v>
      </c>
      <c r="AO22" s="30"/>
      <c r="AP22" s="30"/>
      <c r="AQ22" s="30"/>
      <c r="AR22" s="30"/>
      <c r="AS22" s="30"/>
      <c r="AT22" s="30"/>
      <c r="AU22" s="30"/>
      <c r="AV22" s="30"/>
      <c r="AW22" s="30"/>
      <c r="AX22" s="61">
        <f>+Tabla4[[#This Row],[BANCO UNION_1]]+Tabla4[[#This Row],[BANCO UNION-2]]+Tabla4[[#This Row],[BANCO UNION_3]]</f>
        <v>0</v>
      </c>
      <c r="AY22" s="61">
        <f>+Tabla4[[#This Row],[BANCO BNB_1]]+Tabla4[[#This Row],[BANCO BNB_2]]+Tabla4[[#This Row],[BANCO MERCANTIL STA CRUZ2]]</f>
        <v>0</v>
      </c>
      <c r="AZ22" s="61">
        <f>+Tabla4[[#This Row],[SALDO ANTERIOR]]+Tabla4[[#This Row],[CAJA]]+Tabla4[[#This Row],[TOTAL
BANCO UNION]]+Tabla4[[#This Row],[TOTAL
BANCO BNB]]+Tabla4[[#This Row],[DÓLAR
$us]]</f>
        <v>0</v>
      </c>
      <c r="BA22" s="61">
        <f>+Tabla4[[#This Row],[IMPORTE NETO]]-Tabla4[[#This Row],[TOTAL CANCELADO]]</f>
        <v>8224</v>
      </c>
      <c r="BB22" s="2"/>
    </row>
    <row r="23" spans="2:54" ht="15.75" customHeight="1" x14ac:dyDescent="0.25">
      <c r="B23" s="79">
        <f t="shared" si="1"/>
        <v>16</v>
      </c>
      <c r="C23" s="3">
        <v>260816</v>
      </c>
      <c r="D23" s="4">
        <v>582</v>
      </c>
      <c r="E23" s="98">
        <v>46241</v>
      </c>
      <c r="F23" s="113" t="s">
        <v>90</v>
      </c>
      <c r="G23" s="89" t="s">
        <v>10</v>
      </c>
      <c r="H23" s="115" t="s">
        <v>98</v>
      </c>
      <c r="I23" s="116" t="s">
        <v>91</v>
      </c>
      <c r="J23" s="59"/>
      <c r="K23" s="59"/>
      <c r="L23" s="59"/>
      <c r="M23" s="59"/>
      <c r="N23" s="59"/>
      <c r="O23" s="59">
        <v>20</v>
      </c>
      <c r="P23" s="59">
        <v>10</v>
      </c>
      <c r="Q23" s="59"/>
      <c r="R23" s="59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59"/>
      <c r="AI23" s="60">
        <v>2300</v>
      </c>
      <c r="AJ23" s="60"/>
      <c r="AK23" s="60"/>
      <c r="AL23" s="60">
        <v>0</v>
      </c>
      <c r="AM23" s="37">
        <f>+Tabla4[[#This Row],[TOTAL VENTA]]-Tabla4[[#This Row],[DESCUENTOS
BONIFICACION]]-Tabla4[[#This Row],[PROMOCION]]+Tabla4[[#This Row],[Ingreso por venta dircta]]</f>
        <v>2300</v>
      </c>
      <c r="AN23" s="61">
        <f>+Tabla4[[#This Row],[IMPORTE NETO]]*1/60000</f>
        <v>3.833333333333333E-2</v>
      </c>
      <c r="AO23" s="30"/>
      <c r="AP23" s="30"/>
      <c r="AQ23" s="30"/>
      <c r="AR23" s="30"/>
      <c r="AS23" s="30"/>
      <c r="AT23" s="30"/>
      <c r="AU23" s="30"/>
      <c r="AV23" s="30">
        <v>6434</v>
      </c>
      <c r="AW23" s="30"/>
      <c r="AX23" s="61">
        <f>+Tabla4[[#This Row],[BANCO UNION_1]]+Tabla4[[#This Row],[BANCO UNION-2]]+Tabla4[[#This Row],[BANCO UNION_3]]</f>
        <v>0</v>
      </c>
      <c r="AY23" s="61">
        <f>+Tabla4[[#This Row],[BANCO BNB_1]]+Tabla4[[#This Row],[BANCO BNB_2]]+Tabla4[[#This Row],[BANCO MERCANTIL STA CRUZ2]]</f>
        <v>0</v>
      </c>
      <c r="AZ23" s="61">
        <f>+Tabla4[[#This Row],[SALDO ANTERIOR]]+Tabla4[[#This Row],[CAJA]]+Tabla4[[#This Row],[TOTAL
BANCO UNION]]+Tabla4[[#This Row],[TOTAL
BANCO BNB]]+Tabla4[[#This Row],[DÓLAR
$us]]</f>
        <v>6434</v>
      </c>
      <c r="BA23" s="61">
        <f>+Tabla4[[#This Row],[IMPORTE NETO]]-Tabla4[[#This Row],[TOTAL CANCELADO]]</f>
        <v>-4134</v>
      </c>
      <c r="BB23" s="2"/>
    </row>
    <row r="24" spans="2:54" ht="15.75" customHeight="1" x14ac:dyDescent="0.25">
      <c r="B24" s="79">
        <f t="shared" si="1"/>
        <v>17</v>
      </c>
      <c r="C24" s="3">
        <v>260817</v>
      </c>
      <c r="D24" s="62">
        <v>583</v>
      </c>
      <c r="E24" s="98">
        <v>46242</v>
      </c>
      <c r="F24" s="113" t="s">
        <v>102</v>
      </c>
      <c r="G24" s="114" t="s">
        <v>10</v>
      </c>
      <c r="H24" s="80"/>
      <c r="I24" s="85"/>
      <c r="J24" s="59">
        <v>250</v>
      </c>
      <c r="K24" s="59"/>
      <c r="L24" s="59"/>
      <c r="M24" s="59"/>
      <c r="N24" s="59">
        <v>3</v>
      </c>
      <c r="O24" s="59">
        <v>25</v>
      </c>
      <c r="P24" s="59">
        <v>10</v>
      </c>
      <c r="Q24" s="59">
        <v>2</v>
      </c>
      <c r="R24" s="59"/>
      <c r="S24" s="28"/>
      <c r="T24" s="28"/>
      <c r="U24" s="28"/>
      <c r="V24" s="28"/>
      <c r="W24" s="28"/>
      <c r="X24" s="28">
        <v>250</v>
      </c>
      <c r="Y24" s="28"/>
      <c r="Z24" s="28"/>
      <c r="AA24" s="28"/>
      <c r="AB24" s="28"/>
      <c r="AC24" s="28"/>
      <c r="AD24" s="28"/>
      <c r="AE24" s="28"/>
      <c r="AF24" s="28"/>
      <c r="AG24" s="28"/>
      <c r="AH24" s="59"/>
      <c r="AI24" s="60">
        <v>8977</v>
      </c>
      <c r="AJ24" s="60">
        <v>375</v>
      </c>
      <c r="AK24" s="60"/>
      <c r="AL24" s="60">
        <v>0</v>
      </c>
      <c r="AM24" s="37">
        <f>+Tabla4[[#This Row],[TOTAL VENTA]]-Tabla4[[#This Row],[DESCUENTOS
BONIFICACION]]-Tabla4[[#This Row],[PROMOCION]]+Tabla4[[#This Row],[Ingreso por venta dircta]]</f>
        <v>8602</v>
      </c>
      <c r="AN24" s="61">
        <f>+Tabla4[[#This Row],[IMPORTE NETO]]*1/60000</f>
        <v>0.14336666666666667</v>
      </c>
      <c r="AO24" s="30"/>
      <c r="AP24" s="30"/>
      <c r="AQ24" s="30"/>
      <c r="AR24" s="30"/>
      <c r="AS24" s="30"/>
      <c r="AT24" s="30"/>
      <c r="AU24" s="30"/>
      <c r="AV24" s="30"/>
      <c r="AW24" s="30"/>
      <c r="AX24" s="61">
        <f>+Tabla4[[#This Row],[BANCO UNION_1]]+Tabla4[[#This Row],[BANCO UNION-2]]+Tabla4[[#This Row],[BANCO UNION_3]]</f>
        <v>0</v>
      </c>
      <c r="AY24" s="61">
        <f>+Tabla4[[#This Row],[BANCO BNB_1]]+Tabla4[[#This Row],[BANCO BNB_2]]+Tabla4[[#This Row],[BANCO MERCANTIL STA CRUZ2]]</f>
        <v>0</v>
      </c>
      <c r="AZ24" s="61">
        <f>+Tabla4[[#This Row],[SALDO ANTERIOR]]+Tabla4[[#This Row],[CAJA]]+Tabla4[[#This Row],[TOTAL
BANCO UNION]]+Tabla4[[#This Row],[TOTAL
BANCO BNB]]+Tabla4[[#This Row],[DÓLAR
$us]]</f>
        <v>0</v>
      </c>
      <c r="BA24" s="61">
        <f>+Tabla4[[#This Row],[IMPORTE NETO]]-Tabla4[[#This Row],[TOTAL CANCELADO]]</f>
        <v>8602</v>
      </c>
      <c r="BB24" s="2"/>
    </row>
    <row r="25" spans="2:54" ht="15.75" customHeight="1" x14ac:dyDescent="0.25">
      <c r="B25" s="79">
        <f t="shared" si="1"/>
        <v>18</v>
      </c>
      <c r="C25" s="3">
        <v>260818</v>
      </c>
      <c r="D25" s="4">
        <v>584</v>
      </c>
      <c r="E25" s="98">
        <v>46242</v>
      </c>
      <c r="F25" s="113" t="s">
        <v>102</v>
      </c>
      <c r="G25" s="114" t="s">
        <v>10</v>
      </c>
      <c r="H25" s="86"/>
      <c r="I25" s="87"/>
      <c r="J25" s="59">
        <v>150</v>
      </c>
      <c r="K25" s="59"/>
      <c r="L25" s="59"/>
      <c r="M25" s="59"/>
      <c r="N25" s="59"/>
      <c r="O25" s="59">
        <v>10</v>
      </c>
      <c r="P25" s="59">
        <v>10</v>
      </c>
      <c r="Q25" s="59">
        <v>3</v>
      </c>
      <c r="R25" s="59"/>
      <c r="S25" s="28"/>
      <c r="T25" s="28"/>
      <c r="U25" s="28"/>
      <c r="V25" s="28"/>
      <c r="W25" s="28"/>
      <c r="X25" s="28">
        <v>150</v>
      </c>
      <c r="Y25" s="28"/>
      <c r="Z25" s="28"/>
      <c r="AA25" s="28"/>
      <c r="AB25" s="28"/>
      <c r="AC25" s="28"/>
      <c r="AD25" s="28"/>
      <c r="AE25" s="28"/>
      <c r="AF25" s="28"/>
      <c r="AG25" s="28"/>
      <c r="AH25" s="59"/>
      <c r="AI25" s="60">
        <v>5171</v>
      </c>
      <c r="AJ25" s="60">
        <v>225</v>
      </c>
      <c r="AK25" s="60"/>
      <c r="AL25" s="60">
        <v>0</v>
      </c>
      <c r="AM25" s="37">
        <f>+Tabla4[[#This Row],[TOTAL VENTA]]-Tabla4[[#This Row],[DESCUENTOS
BONIFICACION]]-Tabla4[[#This Row],[PROMOCION]]+Tabla4[[#This Row],[Ingreso por venta dircta]]</f>
        <v>4946</v>
      </c>
      <c r="AN25" s="61">
        <f>+Tabla4[[#This Row],[IMPORTE NETO]]*1/60000</f>
        <v>8.2433333333333331E-2</v>
      </c>
      <c r="AO25" s="30"/>
      <c r="AP25" s="30"/>
      <c r="AQ25" s="30"/>
      <c r="AR25" s="30"/>
      <c r="AS25" s="30"/>
      <c r="AT25" s="30"/>
      <c r="AU25" s="30"/>
      <c r="AV25" s="30">
        <v>4030</v>
      </c>
      <c r="AW25" s="30"/>
      <c r="AX25" s="61">
        <f>+Tabla4[[#This Row],[BANCO UNION_1]]+Tabla4[[#This Row],[BANCO UNION-2]]+Tabla4[[#This Row],[BANCO UNION_3]]</f>
        <v>0</v>
      </c>
      <c r="AY25" s="61">
        <f>+Tabla4[[#This Row],[BANCO BNB_1]]+Tabla4[[#This Row],[BANCO BNB_2]]+Tabla4[[#This Row],[BANCO MERCANTIL STA CRUZ2]]</f>
        <v>0</v>
      </c>
      <c r="AZ25" s="61">
        <f>+Tabla4[[#This Row],[SALDO ANTERIOR]]+Tabla4[[#This Row],[CAJA]]+Tabla4[[#This Row],[TOTAL
BANCO UNION]]+Tabla4[[#This Row],[TOTAL
BANCO BNB]]+Tabla4[[#This Row],[DÓLAR
$us]]</f>
        <v>4030</v>
      </c>
      <c r="BA25" s="61">
        <f>+Tabla4[[#This Row],[IMPORTE NETO]]-Tabla4[[#This Row],[TOTAL CANCELADO]]</f>
        <v>916</v>
      </c>
      <c r="BB25" s="2"/>
    </row>
    <row r="26" spans="2:54" ht="15.75" customHeight="1" x14ac:dyDescent="0.25">
      <c r="B26" s="79">
        <f t="shared" si="1"/>
        <v>19</v>
      </c>
      <c r="C26" s="3">
        <v>260819</v>
      </c>
      <c r="D26" s="62">
        <v>585</v>
      </c>
      <c r="E26" s="98">
        <v>46242</v>
      </c>
      <c r="F26" s="113" t="s">
        <v>90</v>
      </c>
      <c r="G26" s="89" t="s">
        <v>10</v>
      </c>
      <c r="H26" s="115" t="s">
        <v>96</v>
      </c>
      <c r="I26" s="116" t="s">
        <v>91</v>
      </c>
      <c r="J26" s="59">
        <v>250</v>
      </c>
      <c r="K26" s="59"/>
      <c r="L26" s="59"/>
      <c r="M26" s="59"/>
      <c r="N26" s="59"/>
      <c r="O26" s="59"/>
      <c r="P26" s="59">
        <v>10</v>
      </c>
      <c r="Q26" s="59">
        <v>2</v>
      </c>
      <c r="R26" s="59"/>
      <c r="S26" s="28"/>
      <c r="T26" s="28"/>
      <c r="U26" s="28">
        <v>15</v>
      </c>
      <c r="V26" s="28"/>
      <c r="W26" s="28"/>
      <c r="X26" s="28">
        <v>250</v>
      </c>
      <c r="Y26" s="28"/>
      <c r="Z26" s="28"/>
      <c r="AA26" s="28"/>
      <c r="AB26" s="28">
        <v>3</v>
      </c>
      <c r="AC26" s="28"/>
      <c r="AD26" s="28"/>
      <c r="AE26" s="28"/>
      <c r="AF26" s="28"/>
      <c r="AG26" s="28"/>
      <c r="AH26" s="59"/>
      <c r="AI26" s="60">
        <v>7657</v>
      </c>
      <c r="AJ26" s="60">
        <v>375</v>
      </c>
      <c r="AK26" s="60"/>
      <c r="AL26" s="60">
        <v>0</v>
      </c>
      <c r="AM26" s="37">
        <f>+Tabla4[[#This Row],[TOTAL VENTA]]-Tabla4[[#This Row],[DESCUENTOS
BONIFICACION]]-Tabla4[[#This Row],[PROMOCION]]+Tabla4[[#This Row],[Ingreso por venta dircta]]</f>
        <v>7282</v>
      </c>
      <c r="AN26" s="61">
        <f>+Tabla4[[#This Row],[IMPORTE NETO]]*1/60000</f>
        <v>0.12136666666666666</v>
      </c>
      <c r="AO26" s="30"/>
      <c r="AP26" s="30"/>
      <c r="AQ26" s="30"/>
      <c r="AR26" s="30"/>
      <c r="AS26" s="30"/>
      <c r="AT26" s="30"/>
      <c r="AU26" s="30">
        <v>2130</v>
      </c>
      <c r="AV26" s="30">
        <v>2068</v>
      </c>
      <c r="AW26" s="30"/>
      <c r="AX26" s="61">
        <f>+Tabla4[[#This Row],[BANCO UNION_1]]+Tabla4[[#This Row],[BANCO UNION-2]]+Tabla4[[#This Row],[BANCO UNION_3]]</f>
        <v>0</v>
      </c>
      <c r="AY26" s="61">
        <f>+Tabla4[[#This Row],[BANCO BNB_1]]+Tabla4[[#This Row],[BANCO BNB_2]]+Tabla4[[#This Row],[BANCO MERCANTIL STA CRUZ2]]</f>
        <v>2130</v>
      </c>
      <c r="AZ26" s="61">
        <f>+Tabla4[[#This Row],[SALDO ANTERIOR]]+Tabla4[[#This Row],[CAJA]]+Tabla4[[#This Row],[TOTAL
BANCO UNION]]+Tabla4[[#This Row],[TOTAL
BANCO BNB]]+Tabla4[[#This Row],[DÓLAR
$us]]</f>
        <v>4198</v>
      </c>
      <c r="BA26" s="61">
        <f>+Tabla4[[#This Row],[IMPORTE NETO]]-Tabla4[[#This Row],[TOTAL CANCELADO]]</f>
        <v>3084</v>
      </c>
      <c r="BB26" s="2"/>
    </row>
    <row r="27" spans="2:54" ht="15.75" customHeight="1" x14ac:dyDescent="0.25">
      <c r="B27" s="79">
        <f t="shared" si="1"/>
        <v>20</v>
      </c>
      <c r="C27" s="3">
        <v>260820</v>
      </c>
      <c r="D27" s="4">
        <v>586</v>
      </c>
      <c r="E27" s="98">
        <v>46242</v>
      </c>
      <c r="F27" s="97" t="s">
        <v>100</v>
      </c>
      <c r="G27" s="99" t="s">
        <v>101</v>
      </c>
      <c r="H27" s="100"/>
      <c r="I27" s="101"/>
      <c r="J27" s="59">
        <v>3581</v>
      </c>
      <c r="K27" s="59"/>
      <c r="L27" s="59"/>
      <c r="M27" s="59">
        <v>50</v>
      </c>
      <c r="N27" s="59"/>
      <c r="O27" s="59">
        <v>100</v>
      </c>
      <c r="P27" s="59">
        <v>300</v>
      </c>
      <c r="Q27" s="59">
        <v>177</v>
      </c>
      <c r="R27" s="59"/>
      <c r="S27" s="28"/>
      <c r="T27" s="28"/>
      <c r="U27" s="28">
        <v>50</v>
      </c>
      <c r="V27" s="28"/>
      <c r="W27" s="28"/>
      <c r="X27" s="28">
        <v>3581</v>
      </c>
      <c r="Y27" s="28"/>
      <c r="Z27" s="28"/>
      <c r="AA27" s="28"/>
      <c r="AB27" s="28"/>
      <c r="AC27" s="28"/>
      <c r="AD27" s="28"/>
      <c r="AE27" s="28"/>
      <c r="AF27" s="28"/>
      <c r="AG27" s="28"/>
      <c r="AH27" s="59"/>
      <c r="AI27" s="60">
        <v>124259.91</v>
      </c>
      <c r="AJ27" s="60">
        <v>5371.5</v>
      </c>
      <c r="AK27" s="60"/>
      <c r="AL27" s="60">
        <v>0</v>
      </c>
      <c r="AM27" s="37">
        <f>+Tabla4[[#This Row],[TOTAL VENTA]]-Tabla4[[#This Row],[DESCUENTOS
BONIFICACION]]-Tabla4[[#This Row],[PROMOCION]]+Tabla4[[#This Row],[Ingreso por venta dircta]]</f>
        <v>118888.41</v>
      </c>
      <c r="AN27" s="61">
        <f>+Tabla4[[#This Row],[IMPORTE NETO]]*1/60000</f>
        <v>1.9814735000000001</v>
      </c>
      <c r="AO27" s="30"/>
      <c r="AP27" s="30"/>
      <c r="AQ27" s="30">
        <f>15000+35000</f>
        <v>50000</v>
      </c>
      <c r="AR27" s="30"/>
      <c r="AS27" s="30">
        <f>30000+30000+8888.41</f>
        <v>68888.41</v>
      </c>
      <c r="AT27" s="30"/>
      <c r="AU27" s="30"/>
      <c r="AV27" s="30"/>
      <c r="AW27" s="30"/>
      <c r="AX27" s="61">
        <f>+Tabla4[[#This Row],[BANCO UNION_1]]+Tabla4[[#This Row],[BANCO UNION-2]]+Tabla4[[#This Row],[BANCO UNION_3]]</f>
        <v>0</v>
      </c>
      <c r="AY27" s="61">
        <f>+Tabla4[[#This Row],[BANCO BNB_1]]+Tabla4[[#This Row],[BANCO BNB_2]]+Tabla4[[#This Row],[BANCO MERCANTIL STA CRUZ2]]</f>
        <v>118888.41</v>
      </c>
      <c r="AZ27" s="61">
        <f>+Tabla4[[#This Row],[SALDO ANTERIOR]]+Tabla4[[#This Row],[CAJA]]+Tabla4[[#This Row],[TOTAL
BANCO UNION]]+Tabla4[[#This Row],[TOTAL
BANCO BNB]]+Tabla4[[#This Row],[DÓLAR
$us]]</f>
        <v>118888.41</v>
      </c>
      <c r="BA27" s="61">
        <f>+Tabla4[[#This Row],[IMPORTE NETO]]-Tabla4[[#This Row],[TOTAL CANCELADO]]</f>
        <v>0</v>
      </c>
      <c r="BB27" s="2"/>
    </row>
    <row r="28" spans="2:54" ht="15.75" customHeight="1" x14ac:dyDescent="0.25">
      <c r="B28" s="79">
        <f t="shared" si="1"/>
        <v>21</v>
      </c>
      <c r="C28" s="3">
        <v>260821</v>
      </c>
      <c r="D28" s="62">
        <v>587</v>
      </c>
      <c r="E28" s="98">
        <v>46244</v>
      </c>
      <c r="F28" s="113" t="s">
        <v>102</v>
      </c>
      <c r="G28" s="114" t="s">
        <v>10</v>
      </c>
      <c r="H28" s="100"/>
      <c r="I28" s="101"/>
      <c r="J28" s="59">
        <v>200</v>
      </c>
      <c r="K28" s="59"/>
      <c r="L28" s="59"/>
      <c r="M28" s="59"/>
      <c r="N28" s="59"/>
      <c r="O28" s="59">
        <v>15</v>
      </c>
      <c r="P28" s="59">
        <v>9</v>
      </c>
      <c r="Q28" s="59">
        <v>3</v>
      </c>
      <c r="R28" s="59"/>
      <c r="S28" s="28"/>
      <c r="T28" s="28"/>
      <c r="U28" s="28">
        <v>5</v>
      </c>
      <c r="V28" s="28"/>
      <c r="W28" s="28"/>
      <c r="X28" s="28">
        <v>200</v>
      </c>
      <c r="Y28" s="28"/>
      <c r="Z28" s="28"/>
      <c r="AA28" s="28"/>
      <c r="AB28" s="28"/>
      <c r="AC28" s="28"/>
      <c r="AD28" s="28"/>
      <c r="AE28" s="28"/>
      <c r="AF28" s="28"/>
      <c r="AG28" s="28"/>
      <c r="AH28" s="59"/>
      <c r="AI28" s="60">
        <v>6994</v>
      </c>
      <c r="AJ28" s="60">
        <v>300</v>
      </c>
      <c r="AK28" s="60"/>
      <c r="AL28" s="60">
        <v>0</v>
      </c>
      <c r="AM28" s="37">
        <f>+Tabla4[[#This Row],[TOTAL VENTA]]-Tabla4[[#This Row],[DESCUENTOS
BONIFICACION]]-Tabla4[[#This Row],[PROMOCION]]+Tabla4[[#This Row],[Ingreso por venta dircta]]</f>
        <v>6694</v>
      </c>
      <c r="AN28" s="61">
        <f>+Tabla4[[#This Row],[IMPORTE NETO]]*1/60000</f>
        <v>0.11156666666666666</v>
      </c>
      <c r="AO28" s="30"/>
      <c r="AP28" s="30"/>
      <c r="AQ28" s="30"/>
      <c r="AR28" s="30"/>
      <c r="AS28" s="30"/>
      <c r="AT28" s="30"/>
      <c r="AU28" s="30">
        <v>7000</v>
      </c>
      <c r="AV28" s="30">
        <v>24646</v>
      </c>
      <c r="AW28" s="30"/>
      <c r="AX28" s="61">
        <f>+Tabla4[[#This Row],[BANCO UNION_1]]+Tabla4[[#This Row],[BANCO UNION-2]]+Tabla4[[#This Row],[BANCO UNION_3]]</f>
        <v>0</v>
      </c>
      <c r="AY28" s="61">
        <f>+Tabla4[[#This Row],[BANCO BNB_1]]+Tabla4[[#This Row],[BANCO BNB_2]]+Tabla4[[#This Row],[BANCO MERCANTIL STA CRUZ2]]</f>
        <v>7000</v>
      </c>
      <c r="AZ28" s="61">
        <f>+Tabla4[[#This Row],[SALDO ANTERIOR]]+Tabla4[[#This Row],[CAJA]]+Tabla4[[#This Row],[TOTAL
BANCO UNION]]+Tabla4[[#This Row],[TOTAL
BANCO BNB]]+Tabla4[[#This Row],[DÓLAR
$us]]</f>
        <v>31646</v>
      </c>
      <c r="BA28" s="61">
        <f>+Tabla4[[#This Row],[IMPORTE NETO]]-Tabla4[[#This Row],[TOTAL CANCELADO]]</f>
        <v>-24952</v>
      </c>
      <c r="BB28" s="2"/>
    </row>
    <row r="29" spans="2:54" ht="15.75" customHeight="1" x14ac:dyDescent="0.25">
      <c r="B29" s="79">
        <f t="shared" si="1"/>
        <v>22</v>
      </c>
      <c r="C29" s="3">
        <v>260822</v>
      </c>
      <c r="D29" s="4">
        <v>588</v>
      </c>
      <c r="E29" s="98">
        <v>46244</v>
      </c>
      <c r="F29" s="113" t="s">
        <v>90</v>
      </c>
      <c r="G29" s="89" t="s">
        <v>10</v>
      </c>
      <c r="H29" s="115" t="s">
        <v>96</v>
      </c>
      <c r="I29" s="116" t="s">
        <v>91</v>
      </c>
      <c r="J29" s="59">
        <v>200</v>
      </c>
      <c r="K29" s="59"/>
      <c r="L29" s="59"/>
      <c r="M29" s="59">
        <v>4</v>
      </c>
      <c r="N29" s="59">
        <v>3</v>
      </c>
      <c r="O29" s="59">
        <v>10</v>
      </c>
      <c r="P29" s="59">
        <v>20</v>
      </c>
      <c r="Q29" s="59">
        <v>3</v>
      </c>
      <c r="R29" s="59"/>
      <c r="S29" s="28"/>
      <c r="T29" s="28"/>
      <c r="U29" s="28">
        <v>15</v>
      </c>
      <c r="V29" s="28">
        <v>2</v>
      </c>
      <c r="W29" s="28"/>
      <c r="X29" s="28">
        <v>200</v>
      </c>
      <c r="Y29" s="28"/>
      <c r="Z29" s="28"/>
      <c r="AA29" s="28"/>
      <c r="AB29" s="28"/>
      <c r="AC29" s="28"/>
      <c r="AD29" s="28"/>
      <c r="AE29" s="28"/>
      <c r="AF29" s="28"/>
      <c r="AG29" s="28"/>
      <c r="AH29" s="59"/>
      <c r="AI29" s="60">
        <v>8554</v>
      </c>
      <c r="AJ29" s="60">
        <v>300</v>
      </c>
      <c r="AK29" s="60"/>
      <c r="AL29" s="60">
        <v>0</v>
      </c>
      <c r="AM29" s="37">
        <f>+Tabla4[[#This Row],[TOTAL VENTA]]-Tabla4[[#This Row],[DESCUENTOS
BONIFICACION]]-Tabla4[[#This Row],[PROMOCION]]+Tabla4[[#This Row],[Ingreso por venta dircta]]</f>
        <v>8254</v>
      </c>
      <c r="AN29" s="61">
        <f>+Tabla4[[#This Row],[IMPORTE NETO]]*1/60000</f>
        <v>0.13756666666666667</v>
      </c>
      <c r="AO29" s="30"/>
      <c r="AP29" s="30"/>
      <c r="AQ29" s="30"/>
      <c r="AR29" s="30"/>
      <c r="AS29" s="30"/>
      <c r="AT29" s="30"/>
      <c r="AU29" s="30"/>
      <c r="AV29" s="30">
        <v>1390</v>
      </c>
      <c r="AW29" s="30"/>
      <c r="AX29" s="61">
        <f>+Tabla4[[#This Row],[BANCO UNION_1]]+Tabla4[[#This Row],[BANCO UNION-2]]+Tabla4[[#This Row],[BANCO UNION_3]]</f>
        <v>0</v>
      </c>
      <c r="AY29" s="61">
        <f>+Tabla4[[#This Row],[BANCO BNB_1]]+Tabla4[[#This Row],[BANCO BNB_2]]+Tabla4[[#This Row],[BANCO MERCANTIL STA CRUZ2]]</f>
        <v>0</v>
      </c>
      <c r="AZ29" s="61">
        <f>+Tabla4[[#This Row],[SALDO ANTERIOR]]+Tabla4[[#This Row],[CAJA]]+Tabla4[[#This Row],[TOTAL
BANCO UNION]]+Tabla4[[#This Row],[TOTAL
BANCO BNB]]+Tabla4[[#This Row],[DÓLAR
$us]]</f>
        <v>1390</v>
      </c>
      <c r="BA29" s="61">
        <f>+Tabla4[[#This Row],[IMPORTE NETO]]-Tabla4[[#This Row],[TOTAL CANCELADO]]</f>
        <v>6864</v>
      </c>
      <c r="BB29" s="2"/>
    </row>
    <row r="30" spans="2:54" ht="15.75" customHeight="1" x14ac:dyDescent="0.25">
      <c r="B30" s="79">
        <f t="shared" si="1"/>
        <v>23</v>
      </c>
      <c r="C30" s="3">
        <v>260823</v>
      </c>
      <c r="D30" s="62">
        <v>590</v>
      </c>
      <c r="E30" s="98">
        <v>46244</v>
      </c>
      <c r="F30" s="113" t="s">
        <v>102</v>
      </c>
      <c r="G30" s="114" t="s">
        <v>10</v>
      </c>
      <c r="H30" s="80"/>
      <c r="I30" s="85"/>
      <c r="J30" s="59">
        <v>200</v>
      </c>
      <c r="K30" s="59"/>
      <c r="L30" s="59"/>
      <c r="M30" s="59"/>
      <c r="N30" s="59"/>
      <c r="O30" s="59"/>
      <c r="P30" s="59">
        <v>5</v>
      </c>
      <c r="Q30" s="59"/>
      <c r="R30" s="59"/>
      <c r="S30" s="28"/>
      <c r="T30" s="28"/>
      <c r="U30" s="28"/>
      <c r="V30" s="28"/>
      <c r="W30" s="28"/>
      <c r="X30" s="28">
        <v>200</v>
      </c>
      <c r="Y30" s="28"/>
      <c r="Z30" s="28"/>
      <c r="AA30" s="28"/>
      <c r="AB30" s="28"/>
      <c r="AC30" s="28"/>
      <c r="AD30" s="28"/>
      <c r="AE30" s="28"/>
      <c r="AF30" s="28"/>
      <c r="AG30" s="28"/>
      <c r="AH30" s="59"/>
      <c r="AI30" s="60">
        <v>5010</v>
      </c>
      <c r="AJ30" s="60">
        <v>300</v>
      </c>
      <c r="AK30" s="60"/>
      <c r="AL30" s="60">
        <v>0</v>
      </c>
      <c r="AM30" s="37">
        <f>+Tabla4[[#This Row],[TOTAL VENTA]]-Tabla4[[#This Row],[DESCUENTOS
BONIFICACION]]-Tabla4[[#This Row],[PROMOCION]]+Tabla4[[#This Row],[Ingreso por venta dircta]]</f>
        <v>4710</v>
      </c>
      <c r="AN30" s="61">
        <f>+Tabla4[[#This Row],[IMPORTE NETO]]*1/60000</f>
        <v>7.85E-2</v>
      </c>
      <c r="AO30" s="30"/>
      <c r="AP30" s="30"/>
      <c r="AQ30" s="30"/>
      <c r="AR30" s="30"/>
      <c r="AS30" s="30"/>
      <c r="AT30" s="30"/>
      <c r="AU30" s="30"/>
      <c r="AV30" s="30"/>
      <c r="AW30" s="30"/>
      <c r="AX30" s="61">
        <f>+Tabla4[[#This Row],[BANCO UNION_1]]+Tabla4[[#This Row],[BANCO UNION-2]]+Tabla4[[#This Row],[BANCO UNION_3]]</f>
        <v>0</v>
      </c>
      <c r="AY30" s="61">
        <f>+Tabla4[[#This Row],[BANCO BNB_1]]+Tabla4[[#This Row],[BANCO BNB_2]]+Tabla4[[#This Row],[BANCO MERCANTIL STA CRUZ2]]</f>
        <v>0</v>
      </c>
      <c r="AZ30" s="61">
        <f>+Tabla4[[#This Row],[SALDO ANTERIOR]]+Tabla4[[#This Row],[CAJA]]+Tabla4[[#This Row],[TOTAL
BANCO UNION]]+Tabla4[[#This Row],[TOTAL
BANCO BNB]]+Tabla4[[#This Row],[DÓLAR
$us]]</f>
        <v>0</v>
      </c>
      <c r="BA30" s="61">
        <f>+Tabla4[[#This Row],[IMPORTE NETO]]-Tabla4[[#This Row],[TOTAL CANCELADO]]</f>
        <v>4710</v>
      </c>
      <c r="BB30" s="2"/>
    </row>
    <row r="31" spans="2:54" ht="15.75" customHeight="1" x14ac:dyDescent="0.25">
      <c r="B31" s="79">
        <f t="shared" si="1"/>
        <v>24</v>
      </c>
      <c r="C31" s="3">
        <v>260824</v>
      </c>
      <c r="D31" s="62">
        <v>591</v>
      </c>
      <c r="E31" s="5">
        <v>46245</v>
      </c>
      <c r="F31" s="113" t="s">
        <v>102</v>
      </c>
      <c r="G31" s="114" t="s">
        <v>10</v>
      </c>
      <c r="H31" s="100"/>
      <c r="I31" s="101"/>
      <c r="J31" s="59">
        <v>200</v>
      </c>
      <c r="K31" s="59"/>
      <c r="L31" s="59"/>
      <c r="M31" s="59"/>
      <c r="N31" s="59"/>
      <c r="O31" s="59">
        <v>10</v>
      </c>
      <c r="P31" s="59">
        <v>5</v>
      </c>
      <c r="Q31" s="59"/>
      <c r="R31" s="59"/>
      <c r="S31" s="28"/>
      <c r="T31" s="28"/>
      <c r="U31" s="28">
        <v>3</v>
      </c>
      <c r="V31" s="28"/>
      <c r="W31" s="28"/>
      <c r="X31" s="28">
        <v>200</v>
      </c>
      <c r="Y31" s="28"/>
      <c r="Z31" s="28"/>
      <c r="AA31" s="28"/>
      <c r="AB31" s="28"/>
      <c r="AC31" s="28"/>
      <c r="AD31" s="28"/>
      <c r="AE31" s="28"/>
      <c r="AF31" s="28"/>
      <c r="AG31" s="28"/>
      <c r="AH31" s="59"/>
      <c r="AI31" s="60">
        <v>6024</v>
      </c>
      <c r="AJ31" s="60">
        <v>300</v>
      </c>
      <c r="AK31" s="60"/>
      <c r="AL31" s="60">
        <v>0</v>
      </c>
      <c r="AM31" s="37">
        <f>+Tabla4[[#This Row],[TOTAL VENTA]]-Tabla4[[#This Row],[DESCUENTOS
BONIFICACION]]-Tabla4[[#This Row],[PROMOCION]]+Tabla4[[#This Row],[Ingreso por venta dircta]]</f>
        <v>5724</v>
      </c>
      <c r="AN31" s="61">
        <f>+Tabla4[[#This Row],[IMPORTE NETO]]*1/60000</f>
        <v>9.5399999999999999E-2</v>
      </c>
      <c r="AO31" s="30"/>
      <c r="AP31" s="30"/>
      <c r="AQ31" s="30"/>
      <c r="AR31" s="30"/>
      <c r="AS31" s="30"/>
      <c r="AT31" s="30"/>
      <c r="AU31" s="30"/>
      <c r="AV31" s="30"/>
      <c r="AW31" s="30"/>
      <c r="AX31" s="61">
        <f>+Tabla4[[#This Row],[BANCO UNION_1]]+Tabla4[[#This Row],[BANCO UNION-2]]+Tabla4[[#This Row],[BANCO UNION_3]]</f>
        <v>0</v>
      </c>
      <c r="AY31" s="61">
        <f>+Tabla4[[#This Row],[BANCO BNB_1]]+Tabla4[[#This Row],[BANCO BNB_2]]+Tabla4[[#This Row],[BANCO MERCANTIL STA CRUZ2]]</f>
        <v>0</v>
      </c>
      <c r="AZ31" s="61">
        <f>+Tabla4[[#This Row],[SALDO ANTERIOR]]+Tabla4[[#This Row],[CAJA]]+Tabla4[[#This Row],[TOTAL
BANCO UNION]]+Tabla4[[#This Row],[TOTAL
BANCO BNB]]+Tabla4[[#This Row],[DÓLAR
$us]]</f>
        <v>0</v>
      </c>
      <c r="BA31" s="61">
        <f>+Tabla4[[#This Row],[IMPORTE NETO]]-Tabla4[[#This Row],[TOTAL CANCELADO]]</f>
        <v>5724</v>
      </c>
      <c r="BB31" s="2"/>
    </row>
    <row r="32" spans="2:54" ht="15.75" customHeight="1" x14ac:dyDescent="0.25">
      <c r="B32" s="79">
        <f t="shared" si="1"/>
        <v>25</v>
      </c>
      <c r="C32" s="3">
        <v>260825</v>
      </c>
      <c r="D32" s="4">
        <v>592</v>
      </c>
      <c r="E32" s="98">
        <v>46245</v>
      </c>
      <c r="F32" s="113" t="s">
        <v>109</v>
      </c>
      <c r="G32" s="114" t="s">
        <v>10</v>
      </c>
      <c r="H32" s="100"/>
      <c r="I32" s="101"/>
      <c r="J32" s="59">
        <v>10</v>
      </c>
      <c r="K32" s="59"/>
      <c r="L32" s="59"/>
      <c r="M32" s="59"/>
      <c r="N32" s="59">
        <v>2</v>
      </c>
      <c r="O32" s="59">
        <v>12</v>
      </c>
      <c r="P32" s="59">
        <v>10</v>
      </c>
      <c r="Q32" s="59">
        <v>2</v>
      </c>
      <c r="R32" s="59"/>
      <c r="S32" s="28">
        <v>4</v>
      </c>
      <c r="T32" s="28"/>
      <c r="U32" s="28">
        <v>4</v>
      </c>
      <c r="V32" s="28"/>
      <c r="W32" s="28"/>
      <c r="X32" s="28">
        <v>10</v>
      </c>
      <c r="Y32" s="28"/>
      <c r="Z32" s="28"/>
      <c r="AA32" s="28"/>
      <c r="AB32" s="28"/>
      <c r="AC32" s="28"/>
      <c r="AD32" s="28"/>
      <c r="AE32" s="28"/>
      <c r="AF32" s="28"/>
      <c r="AG32" s="28"/>
      <c r="AH32" s="59"/>
      <c r="AI32" s="60">
        <v>2559</v>
      </c>
      <c r="AJ32" s="60">
        <v>15</v>
      </c>
      <c r="AK32" s="60"/>
      <c r="AL32" s="60">
        <v>0</v>
      </c>
      <c r="AM32" s="37">
        <f>+Tabla4[[#This Row],[TOTAL VENTA]]-Tabla4[[#This Row],[DESCUENTOS
BONIFICACION]]-Tabla4[[#This Row],[PROMOCION]]+Tabla4[[#This Row],[Ingreso por venta dircta]]</f>
        <v>2544</v>
      </c>
      <c r="AN32" s="61">
        <f>+Tabla4[[#This Row],[IMPORTE NETO]]*1/60000</f>
        <v>4.24E-2</v>
      </c>
      <c r="AO32" s="30"/>
      <c r="AP32" s="30"/>
      <c r="AQ32" s="30"/>
      <c r="AR32" s="30"/>
      <c r="AS32" s="30"/>
      <c r="AT32" s="30"/>
      <c r="AU32" s="30"/>
      <c r="AV32" s="30"/>
      <c r="AW32" s="30"/>
      <c r="AX32" s="61">
        <f>+Tabla4[[#This Row],[BANCO UNION_1]]+Tabla4[[#This Row],[BANCO UNION-2]]+Tabla4[[#This Row],[BANCO UNION_3]]</f>
        <v>0</v>
      </c>
      <c r="AY32" s="61">
        <f>+Tabla4[[#This Row],[BANCO BNB_1]]+Tabla4[[#This Row],[BANCO BNB_2]]+Tabla4[[#This Row],[BANCO MERCANTIL STA CRUZ2]]</f>
        <v>0</v>
      </c>
      <c r="AZ32" s="61">
        <f>+Tabla4[[#This Row],[SALDO ANTERIOR]]+Tabla4[[#This Row],[CAJA]]+Tabla4[[#This Row],[TOTAL
BANCO UNION]]+Tabla4[[#This Row],[TOTAL
BANCO BNB]]+Tabla4[[#This Row],[DÓLAR
$us]]</f>
        <v>0</v>
      </c>
      <c r="BA32" s="61">
        <f>+Tabla4[[#This Row],[IMPORTE NETO]]-Tabla4[[#This Row],[TOTAL CANCELADO]]</f>
        <v>2544</v>
      </c>
      <c r="BB32" s="2"/>
    </row>
    <row r="33" spans="2:54" s="94" customFormat="1" ht="15.75" customHeight="1" x14ac:dyDescent="0.25">
      <c r="B33" s="79">
        <f t="shared" si="1"/>
        <v>26</v>
      </c>
      <c r="C33" s="3">
        <v>260826</v>
      </c>
      <c r="D33" s="62">
        <v>593</v>
      </c>
      <c r="E33" s="98">
        <v>46245</v>
      </c>
      <c r="F33" s="113" t="s">
        <v>73</v>
      </c>
      <c r="G33" s="114" t="s">
        <v>10</v>
      </c>
      <c r="H33" s="115"/>
      <c r="I33" s="116"/>
      <c r="J33" s="103">
        <v>30</v>
      </c>
      <c r="K33" s="103"/>
      <c r="L33" s="103"/>
      <c r="M33" s="103"/>
      <c r="N33" s="103"/>
      <c r="O33" s="103">
        <v>30</v>
      </c>
      <c r="P33" s="103">
        <v>30</v>
      </c>
      <c r="Q33" s="103">
        <v>8</v>
      </c>
      <c r="R33" s="103"/>
      <c r="S33" s="92"/>
      <c r="T33" s="92"/>
      <c r="U33" s="92">
        <v>8</v>
      </c>
      <c r="V33" s="92">
        <v>6</v>
      </c>
      <c r="W33" s="92"/>
      <c r="X33" s="92">
        <v>30</v>
      </c>
      <c r="Y33" s="92"/>
      <c r="Z33" s="92"/>
      <c r="AA33" s="92"/>
      <c r="AB33" s="92"/>
      <c r="AC33" s="92"/>
      <c r="AD33" s="92"/>
      <c r="AE33" s="92"/>
      <c r="AF33" s="92"/>
      <c r="AG33" s="92"/>
      <c r="AH33" s="103"/>
      <c r="AI33" s="104">
        <v>6393</v>
      </c>
      <c r="AJ33" s="104">
        <v>45</v>
      </c>
      <c r="AK33" s="104"/>
      <c r="AL33" s="104">
        <v>0</v>
      </c>
      <c r="AM33" s="37">
        <f>+Tabla4[[#This Row],[TOTAL VENTA]]-Tabla4[[#This Row],[DESCUENTOS
BONIFICACION]]-Tabla4[[#This Row],[PROMOCION]]+Tabla4[[#This Row],[Ingreso por venta dircta]]</f>
        <v>6348</v>
      </c>
      <c r="AN33" s="105">
        <f>+Tabla4[[#This Row],[IMPORTE NETO]]*1/60000</f>
        <v>0.10580000000000001</v>
      </c>
      <c r="AO33" s="93"/>
      <c r="AP33" s="93"/>
      <c r="AQ33" s="93"/>
      <c r="AR33" s="93"/>
      <c r="AS33" s="93"/>
      <c r="AT33" s="93"/>
      <c r="AU33" s="93"/>
      <c r="AV33" s="93"/>
      <c r="AW33" s="93"/>
      <c r="AX33" s="105">
        <f>+Tabla4[[#This Row],[BANCO UNION_1]]+Tabla4[[#This Row],[BANCO UNION-2]]+Tabla4[[#This Row],[BANCO UNION_3]]</f>
        <v>0</v>
      </c>
      <c r="AY33" s="105">
        <f>+Tabla4[[#This Row],[BANCO BNB_1]]+Tabla4[[#This Row],[BANCO BNB_2]]+Tabla4[[#This Row],[BANCO MERCANTIL STA CRUZ2]]</f>
        <v>0</v>
      </c>
      <c r="AZ33" s="105">
        <f>+Tabla4[[#This Row],[SALDO ANTERIOR]]+Tabla4[[#This Row],[CAJA]]+Tabla4[[#This Row],[TOTAL
BANCO UNION]]+Tabla4[[#This Row],[TOTAL
BANCO BNB]]+Tabla4[[#This Row],[DÓLAR
$us]]</f>
        <v>0</v>
      </c>
      <c r="BA33" s="105">
        <f>+Tabla4[[#This Row],[IMPORTE NETO]]-Tabla4[[#This Row],[TOTAL CANCELADO]]</f>
        <v>6348</v>
      </c>
    </row>
    <row r="34" spans="2:54" ht="15.75" customHeight="1" x14ac:dyDescent="0.25">
      <c r="B34" s="79">
        <f t="shared" si="1"/>
        <v>27</v>
      </c>
      <c r="C34" s="3">
        <v>260827</v>
      </c>
      <c r="D34" s="4">
        <v>594</v>
      </c>
      <c r="E34" s="98">
        <v>46245</v>
      </c>
      <c r="F34" s="113" t="s">
        <v>95</v>
      </c>
      <c r="G34" s="114" t="s">
        <v>10</v>
      </c>
      <c r="H34" s="115"/>
      <c r="I34" s="116"/>
      <c r="J34" s="59"/>
      <c r="K34" s="59"/>
      <c r="L34" s="59"/>
      <c r="M34" s="59"/>
      <c r="N34" s="59"/>
      <c r="O34" s="59"/>
      <c r="P34" s="59"/>
      <c r="Q34" s="59"/>
      <c r="R34" s="59"/>
      <c r="S34" s="28"/>
      <c r="T34" s="28"/>
      <c r="U34" s="28">
        <v>10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59"/>
      <c r="AI34" s="60">
        <v>540</v>
      </c>
      <c r="AJ34" s="60"/>
      <c r="AK34" s="60"/>
      <c r="AL34" s="60">
        <v>0</v>
      </c>
      <c r="AM34" s="37">
        <f>+Tabla4[[#This Row],[TOTAL VENTA]]-Tabla4[[#This Row],[DESCUENTOS
BONIFICACION]]-Tabla4[[#This Row],[PROMOCION]]+Tabla4[[#This Row],[Ingreso por venta dircta]]</f>
        <v>540</v>
      </c>
      <c r="AN34" s="61">
        <f>+Tabla4[[#This Row],[IMPORTE NETO]]*1/60000</f>
        <v>8.9999999999999993E-3</v>
      </c>
      <c r="AO34" s="30"/>
      <c r="AP34" s="30"/>
      <c r="AQ34" s="30"/>
      <c r="AR34" s="30"/>
      <c r="AS34" s="30"/>
      <c r="AT34" s="30"/>
      <c r="AU34" s="30"/>
      <c r="AV34" s="30">
        <v>540</v>
      </c>
      <c r="AW34" s="30"/>
      <c r="AX34" s="61">
        <f>+Tabla4[[#This Row],[BANCO UNION_1]]+Tabla4[[#This Row],[BANCO UNION-2]]+Tabla4[[#This Row],[BANCO UNION_3]]</f>
        <v>0</v>
      </c>
      <c r="AY34" s="61">
        <f>+Tabla4[[#This Row],[BANCO BNB_1]]+Tabla4[[#This Row],[BANCO BNB_2]]+Tabla4[[#This Row],[BANCO MERCANTIL STA CRUZ2]]</f>
        <v>0</v>
      </c>
      <c r="AZ34" s="61">
        <f>+Tabla4[[#This Row],[SALDO ANTERIOR]]+Tabla4[[#This Row],[CAJA]]+Tabla4[[#This Row],[TOTAL
BANCO UNION]]+Tabla4[[#This Row],[TOTAL
BANCO BNB]]+Tabla4[[#This Row],[DÓLAR
$us]]</f>
        <v>540</v>
      </c>
      <c r="BA34" s="61">
        <f>+Tabla4[[#This Row],[IMPORTE NETO]]-Tabla4[[#This Row],[TOTAL CANCELADO]]</f>
        <v>0</v>
      </c>
      <c r="BB34" s="2"/>
    </row>
    <row r="35" spans="2:54" ht="15.75" customHeight="1" x14ac:dyDescent="0.25">
      <c r="B35" s="79">
        <f t="shared" si="1"/>
        <v>28</v>
      </c>
      <c r="C35" s="3">
        <v>260828</v>
      </c>
      <c r="D35" s="106">
        <v>595</v>
      </c>
      <c r="E35" s="98">
        <v>46245</v>
      </c>
      <c r="F35" s="113" t="s">
        <v>90</v>
      </c>
      <c r="G35" s="89" t="s">
        <v>10</v>
      </c>
      <c r="H35" s="115" t="s">
        <v>96</v>
      </c>
      <c r="I35" s="116" t="s">
        <v>91</v>
      </c>
      <c r="J35" s="107">
        <v>150</v>
      </c>
      <c r="K35" s="108"/>
      <c r="L35" s="107"/>
      <c r="M35" s="109"/>
      <c r="N35" s="109"/>
      <c r="O35" s="109">
        <v>20</v>
      </c>
      <c r="P35" s="109">
        <v>10</v>
      </c>
      <c r="Q35" s="109">
        <v>2</v>
      </c>
      <c r="R35" s="108"/>
      <c r="S35" s="66"/>
      <c r="T35" s="28"/>
      <c r="U35" s="28"/>
      <c r="V35" s="28"/>
      <c r="W35" s="28"/>
      <c r="X35" s="28">
        <v>150</v>
      </c>
      <c r="Y35" s="28"/>
      <c r="Z35" s="28"/>
      <c r="AA35" s="92"/>
      <c r="AB35" s="28"/>
      <c r="AC35" s="28"/>
      <c r="AD35" s="28"/>
      <c r="AE35" s="28"/>
      <c r="AF35" s="28"/>
      <c r="AG35" s="66"/>
      <c r="AH35" s="110"/>
      <c r="AI35" s="111">
        <v>5949</v>
      </c>
      <c r="AJ35" s="111">
        <v>225</v>
      </c>
      <c r="AK35" s="111"/>
      <c r="AL35" s="111"/>
      <c r="AM35" s="37">
        <f>+Tabla4[[#This Row],[TOTAL VENTA]]-Tabla4[[#This Row],[DESCUENTOS
BONIFICACION]]-Tabla4[[#This Row],[PROMOCION]]+Tabla4[[#This Row],[Ingreso por venta dircta]]</f>
        <v>5724</v>
      </c>
      <c r="AN35" s="112">
        <f>+Tabla4[[#This Row],[IMPORTE NETO]]*1/60000</f>
        <v>9.5399999999999999E-2</v>
      </c>
      <c r="AO35" s="67"/>
      <c r="AP35" s="67"/>
      <c r="AQ35" s="67"/>
      <c r="AR35" s="67"/>
      <c r="AS35" s="67"/>
      <c r="AT35" s="67"/>
      <c r="AU35" s="67">
        <v>1114</v>
      </c>
      <c r="AV35" s="67">
        <v>10792</v>
      </c>
      <c r="AW35" s="30"/>
      <c r="AX35" s="112">
        <f>+Tabla4[[#This Row],[BANCO UNION_1]]+Tabla4[[#This Row],[BANCO UNION-2]]+Tabla4[[#This Row],[BANCO UNION_3]]</f>
        <v>0</v>
      </c>
      <c r="AY35" s="112">
        <f>+Tabla4[[#This Row],[BANCO BNB_1]]+Tabla4[[#This Row],[BANCO BNB_2]]+Tabla4[[#This Row],[BANCO MERCANTIL STA CRUZ2]]</f>
        <v>1114</v>
      </c>
      <c r="AZ35" s="112">
        <f>+Tabla4[[#This Row],[SALDO ANTERIOR]]+Tabla4[[#This Row],[CAJA]]+Tabla4[[#This Row],[TOTAL
BANCO UNION]]+Tabla4[[#This Row],[TOTAL
BANCO BNB]]+Tabla4[[#This Row],[DÓLAR
$us]]</f>
        <v>11906</v>
      </c>
      <c r="BA35" s="112">
        <f>+Tabla4[[#This Row],[IMPORTE NETO]]-Tabla4[[#This Row],[TOTAL CANCELADO]]</f>
        <v>-6182</v>
      </c>
      <c r="BB35" s="2"/>
    </row>
    <row r="36" spans="2:54" ht="15.75" customHeight="1" x14ac:dyDescent="0.25">
      <c r="B36" s="79">
        <f t="shared" si="1"/>
        <v>29</v>
      </c>
      <c r="C36" s="3">
        <v>260829</v>
      </c>
      <c r="D36" s="118">
        <v>596</v>
      </c>
      <c r="E36" s="98">
        <v>46245</v>
      </c>
      <c r="F36" s="113" t="s">
        <v>90</v>
      </c>
      <c r="G36" s="89" t="s">
        <v>10</v>
      </c>
      <c r="H36" s="115" t="s">
        <v>96</v>
      </c>
      <c r="I36" s="116" t="s">
        <v>91</v>
      </c>
      <c r="J36" s="120">
        <v>200</v>
      </c>
      <c r="K36" s="121"/>
      <c r="L36" s="120"/>
      <c r="M36" s="122">
        <v>5</v>
      </c>
      <c r="N36" s="122"/>
      <c r="O36" s="122">
        <v>20</v>
      </c>
      <c r="P36" s="122"/>
      <c r="Q36" s="122"/>
      <c r="R36" s="121"/>
      <c r="S36" s="66">
        <v>5</v>
      </c>
      <c r="T36" s="28"/>
      <c r="U36" s="28"/>
      <c r="V36" s="28">
        <v>4</v>
      </c>
      <c r="W36" s="28"/>
      <c r="X36" s="28">
        <v>200</v>
      </c>
      <c r="Y36" s="28"/>
      <c r="Z36" s="28"/>
      <c r="AA36" s="92"/>
      <c r="AB36" s="28"/>
      <c r="AC36" s="28"/>
      <c r="AD36" s="28"/>
      <c r="AE36" s="28"/>
      <c r="AF36" s="28"/>
      <c r="AG36" s="66"/>
      <c r="AH36" s="123"/>
      <c r="AI36" s="124">
        <v>7252</v>
      </c>
      <c r="AJ36" s="124">
        <v>300</v>
      </c>
      <c r="AK36" s="124"/>
      <c r="AL36" s="124"/>
      <c r="AM36" s="37">
        <f>+Tabla4[[#This Row],[TOTAL VENTA]]-Tabla4[[#This Row],[DESCUENTOS
BONIFICACION]]-Tabla4[[#This Row],[PROMOCION]]+Tabla4[[#This Row],[Ingreso por venta dircta]]</f>
        <v>6952</v>
      </c>
      <c r="AN36" s="125">
        <f>+Tabla4[[#This Row],[IMPORTE NETO]]*1/60000</f>
        <v>0.11586666666666667</v>
      </c>
      <c r="AO36" s="67"/>
      <c r="AP36" s="67"/>
      <c r="AQ36" s="67"/>
      <c r="AR36" s="67"/>
      <c r="AS36" s="67"/>
      <c r="AT36" s="67"/>
      <c r="AU36" s="67">
        <v>106</v>
      </c>
      <c r="AV36" s="67">
        <f>5606-366-100-350</f>
        <v>4790</v>
      </c>
      <c r="AW36" s="30"/>
      <c r="AX36" s="125">
        <f>+Tabla4[[#This Row],[BANCO UNION_1]]+Tabla4[[#This Row],[BANCO UNION-2]]+Tabla4[[#This Row],[BANCO UNION_3]]</f>
        <v>0</v>
      </c>
      <c r="AY36" s="125">
        <f>+Tabla4[[#This Row],[BANCO BNB_1]]+Tabla4[[#This Row],[BANCO BNB_2]]+Tabla4[[#This Row],[BANCO MERCANTIL STA CRUZ2]]</f>
        <v>106</v>
      </c>
      <c r="AZ36" s="125">
        <f>+Tabla4[[#This Row],[SALDO ANTERIOR]]+Tabla4[[#This Row],[CAJA]]+Tabla4[[#This Row],[TOTAL
BANCO UNION]]+Tabla4[[#This Row],[TOTAL
BANCO BNB]]+Tabla4[[#This Row],[DÓLAR
$us]]</f>
        <v>4896</v>
      </c>
      <c r="BA36" s="125">
        <f>+Tabla4[[#This Row],[IMPORTE NETO]]-Tabla4[[#This Row],[TOTAL CANCELADO]]</f>
        <v>2056</v>
      </c>
      <c r="BB36" s="2"/>
    </row>
    <row r="37" spans="2:54" ht="15.75" customHeight="1" x14ac:dyDescent="0.25">
      <c r="B37" s="79">
        <f t="shared" si="1"/>
        <v>30</v>
      </c>
      <c r="C37" s="3">
        <v>260830</v>
      </c>
      <c r="D37" s="118">
        <v>597</v>
      </c>
      <c r="E37" s="98">
        <v>46246</v>
      </c>
      <c r="F37" s="113" t="s">
        <v>102</v>
      </c>
      <c r="G37" s="114" t="s">
        <v>10</v>
      </c>
      <c r="H37" s="86"/>
      <c r="I37" s="87"/>
      <c r="J37" s="120">
        <v>250</v>
      </c>
      <c r="K37" s="121"/>
      <c r="L37" s="120"/>
      <c r="M37" s="122"/>
      <c r="N37" s="122"/>
      <c r="O37" s="122">
        <v>5</v>
      </c>
      <c r="P37" s="122">
        <v>20</v>
      </c>
      <c r="Q37" s="122"/>
      <c r="R37" s="121"/>
      <c r="S37" s="66"/>
      <c r="T37" s="28"/>
      <c r="U37" s="28">
        <v>5</v>
      </c>
      <c r="V37" s="28"/>
      <c r="W37" s="28"/>
      <c r="X37" s="28">
        <v>250</v>
      </c>
      <c r="Y37" s="28"/>
      <c r="Z37" s="28"/>
      <c r="AA37" s="92"/>
      <c r="AB37" s="28"/>
      <c r="AC37" s="28"/>
      <c r="AD37" s="28"/>
      <c r="AE37" s="28"/>
      <c r="AF37" s="28"/>
      <c r="AG37" s="66"/>
      <c r="AH37" s="123"/>
      <c r="AI37" s="124">
        <v>7825</v>
      </c>
      <c r="AJ37" s="124">
        <v>375</v>
      </c>
      <c r="AK37" s="124"/>
      <c r="AL37" s="124"/>
      <c r="AM37" s="37">
        <f>+Tabla4[[#This Row],[TOTAL VENTA]]-Tabla4[[#This Row],[DESCUENTOS
BONIFICACION]]-Tabla4[[#This Row],[PROMOCION]]+Tabla4[[#This Row],[Ingreso por venta dircta]]</f>
        <v>7450</v>
      </c>
      <c r="AN37" s="125">
        <f>+Tabla4[[#This Row],[IMPORTE NETO]]*1/60000</f>
        <v>0.12416666666666666</v>
      </c>
      <c r="AO37" s="67"/>
      <c r="AP37" s="67"/>
      <c r="AQ37" s="67"/>
      <c r="AR37" s="67"/>
      <c r="AS37" s="67"/>
      <c r="AT37" s="67"/>
      <c r="AU37" s="67"/>
      <c r="AV37" s="67"/>
      <c r="AW37" s="30"/>
      <c r="AX37" s="125">
        <f>+Tabla4[[#This Row],[BANCO UNION_1]]+Tabla4[[#This Row],[BANCO UNION-2]]+Tabla4[[#This Row],[BANCO UNION_3]]</f>
        <v>0</v>
      </c>
      <c r="AY37" s="125">
        <f>+Tabla4[[#This Row],[BANCO BNB_1]]+Tabla4[[#This Row],[BANCO BNB_2]]+Tabla4[[#This Row],[BANCO MERCANTIL STA CRUZ2]]</f>
        <v>0</v>
      </c>
      <c r="AZ37" s="125">
        <f>+Tabla4[[#This Row],[SALDO ANTERIOR]]+Tabla4[[#This Row],[CAJA]]+Tabla4[[#This Row],[TOTAL
BANCO UNION]]+Tabla4[[#This Row],[TOTAL
BANCO BNB]]+Tabla4[[#This Row],[DÓLAR
$us]]</f>
        <v>0</v>
      </c>
      <c r="BA37" s="125">
        <f>+Tabla4[[#This Row],[IMPORTE NETO]]-Tabla4[[#This Row],[TOTAL CANCELADO]]</f>
        <v>7450</v>
      </c>
      <c r="BB37" s="2"/>
    </row>
    <row r="38" spans="2:54" s="94" customFormat="1" ht="15.75" customHeight="1" x14ac:dyDescent="0.25">
      <c r="B38" s="79">
        <f t="shared" si="1"/>
        <v>31</v>
      </c>
      <c r="C38" s="3">
        <v>260831</v>
      </c>
      <c r="D38" s="141">
        <v>598</v>
      </c>
      <c r="E38" s="102">
        <v>46246</v>
      </c>
      <c r="F38" s="117" t="s">
        <v>90</v>
      </c>
      <c r="G38" s="89" t="s">
        <v>10</v>
      </c>
      <c r="H38" s="90" t="s">
        <v>96</v>
      </c>
      <c r="I38" s="91" t="s">
        <v>91</v>
      </c>
      <c r="J38" s="143">
        <v>200</v>
      </c>
      <c r="K38" s="144"/>
      <c r="L38" s="143"/>
      <c r="M38" s="144">
        <v>2</v>
      </c>
      <c r="N38" s="144"/>
      <c r="O38" s="144">
        <v>30</v>
      </c>
      <c r="P38" s="144">
        <v>20</v>
      </c>
      <c r="Q38" s="144"/>
      <c r="R38" s="144"/>
      <c r="S38" s="92">
        <v>5</v>
      </c>
      <c r="T38" s="92"/>
      <c r="U38" s="92">
        <v>10</v>
      </c>
      <c r="V38" s="92">
        <v>5</v>
      </c>
      <c r="W38" s="92"/>
      <c r="X38" s="92">
        <v>200</v>
      </c>
      <c r="Y38" s="96"/>
      <c r="Z38" s="96"/>
      <c r="AA38" s="96"/>
      <c r="AB38" s="92"/>
      <c r="AC38" s="92"/>
      <c r="AD38" s="92"/>
      <c r="AE38" s="92"/>
      <c r="AF38" s="92"/>
      <c r="AG38" s="92"/>
      <c r="AH38" s="143"/>
      <c r="AI38" s="145">
        <v>9712</v>
      </c>
      <c r="AJ38" s="145">
        <v>300</v>
      </c>
      <c r="AK38" s="145"/>
      <c r="AL38" s="145"/>
      <c r="AM38" s="37">
        <f>+Tabla4[[#This Row],[TOTAL VENTA]]-Tabla4[[#This Row],[DESCUENTOS
BONIFICACION]]-Tabla4[[#This Row],[PROMOCION]]+Tabla4[[#This Row],[Ingreso por venta dircta]]</f>
        <v>9412</v>
      </c>
      <c r="AN38" s="146">
        <f>+Tabla4[[#This Row],[IMPORTE NETO]]*1/60000</f>
        <v>0.15686666666666665</v>
      </c>
      <c r="AO38" s="93"/>
      <c r="AP38" s="93"/>
      <c r="AQ38" s="93"/>
      <c r="AR38" s="93"/>
      <c r="AS38" s="93"/>
      <c r="AT38" s="93"/>
      <c r="AU38" s="93">
        <v>3458</v>
      </c>
      <c r="AV38" s="93">
        <f>8786-220-2424-440-1216-336</f>
        <v>4150</v>
      </c>
      <c r="AW38" s="93"/>
      <c r="AX38" s="146">
        <f>+Tabla4[[#This Row],[BANCO UNION_1]]+Tabla4[[#This Row],[BANCO UNION-2]]+Tabla4[[#This Row],[BANCO UNION_3]]</f>
        <v>0</v>
      </c>
      <c r="AY38" s="146">
        <f>+Tabla4[[#This Row],[BANCO BNB_1]]+Tabla4[[#This Row],[BANCO BNB_2]]+Tabla4[[#This Row],[BANCO MERCANTIL STA CRUZ2]]</f>
        <v>3458</v>
      </c>
      <c r="AZ38" s="146">
        <f>+Tabla4[[#This Row],[SALDO ANTERIOR]]+Tabla4[[#This Row],[CAJA]]+Tabla4[[#This Row],[TOTAL
BANCO UNION]]+Tabla4[[#This Row],[TOTAL
BANCO BNB]]+Tabla4[[#This Row],[DÓLAR
$us]]</f>
        <v>7608</v>
      </c>
      <c r="BA38" s="146">
        <f>+Tabla4[[#This Row],[IMPORTE NETO]]-Tabla4[[#This Row],[TOTAL CANCELADO]]</f>
        <v>1804</v>
      </c>
    </row>
    <row r="39" spans="2:54" s="94" customFormat="1" ht="15.75" customHeight="1" x14ac:dyDescent="0.25">
      <c r="B39" s="79">
        <f t="shared" si="1"/>
        <v>32</v>
      </c>
      <c r="C39" s="3">
        <v>260832</v>
      </c>
      <c r="D39" s="147">
        <v>599</v>
      </c>
      <c r="E39" s="102">
        <v>46247</v>
      </c>
      <c r="F39" s="117" t="s">
        <v>90</v>
      </c>
      <c r="G39" s="89" t="s">
        <v>10</v>
      </c>
      <c r="H39" s="90" t="s">
        <v>96</v>
      </c>
      <c r="I39" s="91" t="s">
        <v>91</v>
      </c>
      <c r="J39" s="148">
        <v>400</v>
      </c>
      <c r="K39" s="149"/>
      <c r="L39" s="148"/>
      <c r="M39" s="149"/>
      <c r="N39" s="149"/>
      <c r="O39" s="149">
        <v>30</v>
      </c>
      <c r="P39" s="149"/>
      <c r="Q39" s="149">
        <v>5</v>
      </c>
      <c r="R39" s="149"/>
      <c r="S39" s="92"/>
      <c r="T39" s="92"/>
      <c r="U39" s="92">
        <v>6</v>
      </c>
      <c r="V39" s="92">
        <v>5</v>
      </c>
      <c r="W39" s="92"/>
      <c r="X39" s="92">
        <v>400</v>
      </c>
      <c r="Y39" s="92"/>
      <c r="Z39" s="92"/>
      <c r="AA39" s="92"/>
      <c r="AB39" s="92">
        <v>3</v>
      </c>
      <c r="AC39" s="92"/>
      <c r="AD39" s="92"/>
      <c r="AE39" s="92"/>
      <c r="AF39" s="92"/>
      <c r="AG39" s="92"/>
      <c r="AH39" s="148"/>
      <c r="AI39" s="150">
        <v>13036</v>
      </c>
      <c r="AJ39" s="150">
        <v>600</v>
      </c>
      <c r="AK39" s="150"/>
      <c r="AL39" s="150"/>
      <c r="AM39" s="37">
        <f>+Tabla4[[#This Row],[TOTAL VENTA]]-Tabla4[[#This Row],[DESCUENTOS
BONIFICACION]]-Tabla4[[#This Row],[PROMOCION]]+Tabla4[[#This Row],[Ingreso por venta dircta]]</f>
        <v>12436</v>
      </c>
      <c r="AN39" s="151">
        <f>+Tabla4[[#This Row],[IMPORTE NETO]]*1/60000</f>
        <v>0.20726666666666665</v>
      </c>
      <c r="AO39" s="93"/>
      <c r="AP39" s="93"/>
      <c r="AQ39" s="93"/>
      <c r="AR39" s="93"/>
      <c r="AS39" s="93"/>
      <c r="AT39" s="93"/>
      <c r="AU39" s="93">
        <v>310</v>
      </c>
      <c r="AV39" s="93">
        <v>1390</v>
      </c>
      <c r="AW39" s="93"/>
      <c r="AX39" s="151">
        <f>+Tabla4[[#This Row],[BANCO UNION_1]]+Tabla4[[#This Row],[BANCO UNION-2]]+Tabla4[[#This Row],[BANCO UNION_3]]</f>
        <v>0</v>
      </c>
      <c r="AY39" s="151">
        <f>+Tabla4[[#This Row],[BANCO BNB_1]]+Tabla4[[#This Row],[BANCO BNB_2]]+Tabla4[[#This Row],[BANCO MERCANTIL STA CRUZ2]]</f>
        <v>310</v>
      </c>
      <c r="AZ39" s="151">
        <f>+Tabla4[[#This Row],[SALDO ANTERIOR]]+Tabla4[[#This Row],[CAJA]]+Tabla4[[#This Row],[TOTAL
BANCO UNION]]+Tabla4[[#This Row],[TOTAL
BANCO BNB]]+Tabla4[[#This Row],[DÓLAR
$us]]</f>
        <v>1700</v>
      </c>
      <c r="BA39" s="151">
        <f>+Tabla4[[#This Row],[IMPORTE NETO]]-Tabla4[[#This Row],[TOTAL CANCELADO]]</f>
        <v>10736</v>
      </c>
    </row>
    <row r="40" spans="2:54" ht="15.75" customHeight="1" x14ac:dyDescent="0.25">
      <c r="B40" s="79">
        <f t="shared" si="1"/>
        <v>33</v>
      </c>
      <c r="C40" s="3">
        <v>260833</v>
      </c>
      <c r="D40" s="106">
        <v>600</v>
      </c>
      <c r="E40" s="98">
        <v>46247</v>
      </c>
      <c r="F40" s="113" t="s">
        <v>90</v>
      </c>
      <c r="G40" s="89" t="s">
        <v>10</v>
      </c>
      <c r="H40" s="115" t="s">
        <v>96</v>
      </c>
      <c r="I40" s="116" t="s">
        <v>91</v>
      </c>
      <c r="J40" s="107"/>
      <c r="K40" s="108"/>
      <c r="L40" s="107">
        <v>10</v>
      </c>
      <c r="M40" s="109"/>
      <c r="N40" s="109"/>
      <c r="O40" s="109"/>
      <c r="P40" s="109"/>
      <c r="Q40" s="109"/>
      <c r="R40" s="108"/>
      <c r="S40" s="66"/>
      <c r="T40" s="28"/>
      <c r="U40" s="28"/>
      <c r="V40" s="28"/>
      <c r="W40" s="28"/>
      <c r="X40" s="28"/>
      <c r="Y40" s="88"/>
      <c r="Z40" s="88"/>
      <c r="AA40" s="96"/>
      <c r="AB40" s="28"/>
      <c r="AC40" s="28"/>
      <c r="AD40" s="28"/>
      <c r="AE40" s="28"/>
      <c r="AF40" s="28"/>
      <c r="AG40" s="66"/>
      <c r="AH40" s="110"/>
      <c r="AI40" s="111">
        <v>240</v>
      </c>
      <c r="AJ40" s="111"/>
      <c r="AK40" s="111"/>
      <c r="AL40" s="111"/>
      <c r="AM40" s="37">
        <f>+Tabla4[[#This Row],[TOTAL VENTA]]-Tabla4[[#This Row],[DESCUENTOS
BONIFICACION]]-Tabla4[[#This Row],[PROMOCION]]+Tabla4[[#This Row],[Ingreso por venta dircta]]</f>
        <v>240</v>
      </c>
      <c r="AN40" s="112">
        <f>+Tabla4[[#This Row],[IMPORTE NETO]]*1/60000</f>
        <v>4.0000000000000001E-3</v>
      </c>
      <c r="AO40" s="67"/>
      <c r="AP40" s="67"/>
      <c r="AQ40" s="67"/>
      <c r="AR40" s="67"/>
      <c r="AS40" s="67"/>
      <c r="AT40" s="67"/>
      <c r="AU40" s="67">
        <v>2400</v>
      </c>
      <c r="AV40" s="67">
        <f>6148-952</f>
        <v>5196</v>
      </c>
      <c r="AW40" s="30"/>
      <c r="AX40" s="112">
        <f>+Tabla4[[#This Row],[BANCO UNION_1]]+Tabla4[[#This Row],[BANCO UNION-2]]+Tabla4[[#This Row],[BANCO UNION_3]]</f>
        <v>0</v>
      </c>
      <c r="AY40" s="112">
        <f>+Tabla4[[#This Row],[BANCO BNB_1]]+Tabla4[[#This Row],[BANCO BNB_2]]+Tabla4[[#This Row],[BANCO MERCANTIL STA CRUZ2]]</f>
        <v>2400</v>
      </c>
      <c r="AZ40" s="112">
        <f>+Tabla4[[#This Row],[SALDO ANTERIOR]]+Tabla4[[#This Row],[CAJA]]+Tabla4[[#This Row],[TOTAL
BANCO UNION]]+Tabla4[[#This Row],[TOTAL
BANCO BNB]]+Tabla4[[#This Row],[DÓLAR
$us]]</f>
        <v>7596</v>
      </c>
      <c r="BA40" s="112">
        <f>+Tabla4[[#This Row],[IMPORTE NETO]]-Tabla4[[#This Row],[TOTAL CANCELADO]]</f>
        <v>-7356</v>
      </c>
      <c r="BB40" s="2"/>
    </row>
    <row r="41" spans="2:54" s="94" customFormat="1" ht="15.75" customHeight="1" x14ac:dyDescent="0.25">
      <c r="B41" s="79">
        <f t="shared" si="1"/>
        <v>34</v>
      </c>
      <c r="C41" s="3">
        <v>260834</v>
      </c>
      <c r="D41" s="141">
        <v>601</v>
      </c>
      <c r="E41" s="102">
        <v>46247</v>
      </c>
      <c r="F41" s="142" t="s">
        <v>112</v>
      </c>
      <c r="G41" s="89" t="s">
        <v>113</v>
      </c>
      <c r="H41" s="90"/>
      <c r="I41" s="91"/>
      <c r="J41" s="143"/>
      <c r="K41" s="144"/>
      <c r="L41" s="143"/>
      <c r="M41" s="144"/>
      <c r="N41" s="144"/>
      <c r="O41" s="144">
        <v>1225</v>
      </c>
      <c r="P41" s="144">
        <v>500</v>
      </c>
      <c r="Q41" s="144"/>
      <c r="R41" s="144"/>
      <c r="S41" s="92">
        <v>311</v>
      </c>
      <c r="T41" s="92"/>
      <c r="U41" s="92">
        <v>300</v>
      </c>
      <c r="V41" s="92"/>
      <c r="W41" s="92"/>
      <c r="X41" s="92"/>
      <c r="Y41" s="96"/>
      <c r="Z41" s="96"/>
      <c r="AA41" s="96"/>
      <c r="AB41" s="92"/>
      <c r="AC41" s="92"/>
      <c r="AD41" s="92"/>
      <c r="AE41" s="92"/>
      <c r="AF41" s="92"/>
      <c r="AG41" s="92"/>
      <c r="AH41" s="143"/>
      <c r="AI41" s="145">
        <v>195308.5</v>
      </c>
      <c r="AJ41" s="145"/>
      <c r="AK41" s="145"/>
      <c r="AL41" s="145"/>
      <c r="AM41" s="37">
        <f>+Tabla4[[#This Row],[TOTAL VENTA]]-Tabla4[[#This Row],[DESCUENTOS
BONIFICACION]]-Tabla4[[#This Row],[PROMOCION]]+Tabla4[[#This Row],[Ingreso por venta dircta]]</f>
        <v>195308.5</v>
      </c>
      <c r="AN41" s="146">
        <f>+Tabla4[[#This Row],[IMPORTE NETO]]*1/60000</f>
        <v>3.2551416666666668</v>
      </c>
      <c r="AO41" s="93"/>
      <c r="AP41" s="93"/>
      <c r="AQ41" s="93"/>
      <c r="AR41" s="93"/>
      <c r="AS41" s="93"/>
      <c r="AT41" s="93"/>
      <c r="AU41" s="93"/>
      <c r="AV41" s="93"/>
      <c r="AW41" s="93"/>
      <c r="AX41" s="146">
        <f>+Tabla4[[#This Row],[BANCO UNION_1]]+Tabla4[[#This Row],[BANCO UNION-2]]+Tabla4[[#This Row],[BANCO UNION_3]]</f>
        <v>0</v>
      </c>
      <c r="AY41" s="146">
        <f>+Tabla4[[#This Row],[BANCO BNB_1]]+Tabla4[[#This Row],[BANCO BNB_2]]+Tabla4[[#This Row],[BANCO MERCANTIL STA CRUZ2]]</f>
        <v>0</v>
      </c>
      <c r="AZ41" s="146">
        <f>+Tabla4[[#This Row],[SALDO ANTERIOR]]+Tabla4[[#This Row],[CAJA]]+Tabla4[[#This Row],[TOTAL
BANCO UNION]]+Tabla4[[#This Row],[TOTAL
BANCO BNB]]+Tabla4[[#This Row],[DÓLAR
$us]]</f>
        <v>0</v>
      </c>
      <c r="BA41" s="146">
        <f>+Tabla4[[#This Row],[IMPORTE NETO]]-Tabla4[[#This Row],[TOTAL CANCELADO]]</f>
        <v>195308.5</v>
      </c>
    </row>
    <row r="42" spans="2:54" ht="15.75" customHeight="1" x14ac:dyDescent="0.25">
      <c r="B42" s="79">
        <f t="shared" si="1"/>
        <v>35</v>
      </c>
      <c r="C42" s="3">
        <v>260835</v>
      </c>
      <c r="D42" s="62">
        <v>602</v>
      </c>
      <c r="E42" s="5">
        <v>46247</v>
      </c>
      <c r="F42" s="113" t="s">
        <v>102</v>
      </c>
      <c r="G42" s="114" t="s">
        <v>10</v>
      </c>
      <c r="H42" s="115"/>
      <c r="I42" s="116"/>
      <c r="J42" s="59">
        <v>250</v>
      </c>
      <c r="K42" s="59"/>
      <c r="L42" s="59"/>
      <c r="M42" s="59"/>
      <c r="N42" s="59"/>
      <c r="O42" s="59">
        <v>10</v>
      </c>
      <c r="P42" s="59"/>
      <c r="Q42" s="59">
        <v>2</v>
      </c>
      <c r="R42" s="59"/>
      <c r="S42" s="28"/>
      <c r="T42" s="28"/>
      <c r="U42" s="28">
        <v>5</v>
      </c>
      <c r="V42" s="28"/>
      <c r="W42" s="28"/>
      <c r="X42" s="28">
        <v>250</v>
      </c>
      <c r="Y42" s="28"/>
      <c r="Z42" s="28"/>
      <c r="AA42" s="28"/>
      <c r="AB42" s="28"/>
      <c r="AC42" s="28"/>
      <c r="AD42" s="28"/>
      <c r="AE42" s="28"/>
      <c r="AF42" s="28"/>
      <c r="AG42" s="28"/>
      <c r="AH42" s="59"/>
      <c r="AI42" s="60">
        <v>7129</v>
      </c>
      <c r="AJ42" s="60">
        <v>375</v>
      </c>
      <c r="AK42" s="60"/>
      <c r="AL42" s="60">
        <v>0</v>
      </c>
      <c r="AM42" s="37">
        <f>+Tabla4[[#This Row],[TOTAL VENTA]]-Tabla4[[#This Row],[DESCUENTOS
BONIFICACION]]-Tabla4[[#This Row],[PROMOCION]]+Tabla4[[#This Row],[Ingreso por venta dircta]]</f>
        <v>6754</v>
      </c>
      <c r="AN42" s="61">
        <f>+Tabla4[[#This Row],[IMPORTE NETO]]*1/60000</f>
        <v>0.11256666666666666</v>
      </c>
      <c r="AO42" s="30"/>
      <c r="AP42" s="30"/>
      <c r="AQ42" s="30"/>
      <c r="AR42" s="30"/>
      <c r="AS42" s="30"/>
      <c r="AT42" s="30"/>
      <c r="AU42" s="30"/>
      <c r="AV42" s="30"/>
      <c r="AW42" s="30"/>
      <c r="AX42" s="61">
        <f>+Tabla4[[#This Row],[BANCO UNION_1]]+Tabla4[[#This Row],[BANCO UNION-2]]+Tabla4[[#This Row],[BANCO UNION_3]]</f>
        <v>0</v>
      </c>
      <c r="AY42" s="61">
        <f>+Tabla4[[#This Row],[BANCO BNB_1]]+Tabla4[[#This Row],[BANCO BNB_2]]+Tabla4[[#This Row],[BANCO MERCANTIL STA CRUZ2]]</f>
        <v>0</v>
      </c>
      <c r="AZ42" s="61">
        <f>+Tabla4[[#This Row],[SALDO ANTERIOR]]+Tabla4[[#This Row],[CAJA]]+Tabla4[[#This Row],[TOTAL
BANCO UNION]]+Tabla4[[#This Row],[TOTAL
BANCO BNB]]+Tabla4[[#This Row],[DÓLAR
$us]]</f>
        <v>0</v>
      </c>
      <c r="BA42" s="61">
        <f>+Tabla4[[#This Row],[IMPORTE NETO]]-Tabla4[[#This Row],[TOTAL CANCELADO]]</f>
        <v>6754</v>
      </c>
      <c r="BB42" s="2"/>
    </row>
    <row r="43" spans="2:54" ht="15.75" customHeight="1" x14ac:dyDescent="0.25">
      <c r="B43" s="79">
        <f t="shared" si="1"/>
        <v>36</v>
      </c>
      <c r="C43" s="3">
        <v>260836</v>
      </c>
      <c r="D43" s="118">
        <v>603</v>
      </c>
      <c r="E43" s="98">
        <v>46247</v>
      </c>
      <c r="F43" s="119" t="s">
        <v>87</v>
      </c>
      <c r="G43" s="114" t="s">
        <v>77</v>
      </c>
      <c r="H43" s="86"/>
      <c r="I43" s="87"/>
      <c r="J43" s="120">
        <v>1920</v>
      </c>
      <c r="K43" s="121"/>
      <c r="L43" s="120"/>
      <c r="M43" s="122"/>
      <c r="N43" s="122"/>
      <c r="O43" s="122">
        <v>100</v>
      </c>
      <c r="P43" s="122">
        <v>84</v>
      </c>
      <c r="Q43" s="122"/>
      <c r="R43" s="121"/>
      <c r="S43" s="66"/>
      <c r="T43" s="28"/>
      <c r="U43" s="28"/>
      <c r="V43" s="28"/>
      <c r="W43" s="28"/>
      <c r="X43" s="28">
        <v>1920</v>
      </c>
      <c r="Y43" s="28"/>
      <c r="Z43" s="28"/>
      <c r="AA43" s="92"/>
      <c r="AB43" s="28"/>
      <c r="AC43" s="28"/>
      <c r="AD43" s="28"/>
      <c r="AE43" s="28"/>
      <c r="AF43" s="28"/>
      <c r="AG43" s="66"/>
      <c r="AH43" s="123"/>
      <c r="AI43" s="124">
        <v>60916</v>
      </c>
      <c r="AJ43" s="124">
        <v>2880</v>
      </c>
      <c r="AK43" s="124"/>
      <c r="AL43" s="124"/>
      <c r="AM43" s="37">
        <f>+Tabla4[[#This Row],[TOTAL VENTA]]-Tabla4[[#This Row],[DESCUENTOS
BONIFICACION]]-Tabla4[[#This Row],[PROMOCION]]+Tabla4[[#This Row],[Ingreso por venta dircta]]</f>
        <v>58036</v>
      </c>
      <c r="AN43" s="125">
        <f>+Tabla4[[#This Row],[IMPORTE NETO]]*1/60000</f>
        <v>0.96726666666666672</v>
      </c>
      <c r="AO43" s="67"/>
      <c r="AP43" s="67"/>
      <c r="AQ43" s="67"/>
      <c r="AR43" s="67"/>
      <c r="AS43" s="67"/>
      <c r="AT43" s="67"/>
      <c r="AU43" s="67"/>
      <c r="AV43" s="67"/>
      <c r="AW43" s="30"/>
      <c r="AX43" s="125">
        <f>+Tabla4[[#This Row],[BANCO UNION_1]]+Tabla4[[#This Row],[BANCO UNION-2]]+Tabla4[[#This Row],[BANCO UNION_3]]</f>
        <v>0</v>
      </c>
      <c r="AY43" s="125">
        <f>+Tabla4[[#This Row],[BANCO BNB_1]]+Tabla4[[#This Row],[BANCO BNB_2]]+Tabla4[[#This Row],[BANCO MERCANTIL STA CRUZ2]]</f>
        <v>0</v>
      </c>
      <c r="AZ43" s="125">
        <f>+Tabla4[[#This Row],[SALDO ANTERIOR]]+Tabla4[[#This Row],[CAJA]]+Tabla4[[#This Row],[TOTAL
BANCO UNION]]+Tabla4[[#This Row],[TOTAL
BANCO BNB]]+Tabla4[[#This Row],[DÓLAR
$us]]</f>
        <v>0</v>
      </c>
      <c r="BA43" s="125">
        <f>+Tabla4[[#This Row],[IMPORTE NETO]]-Tabla4[[#This Row],[TOTAL CANCELADO]]</f>
        <v>58036</v>
      </c>
      <c r="BB43" s="2"/>
    </row>
    <row r="44" spans="2:54" ht="15.75" customHeight="1" x14ac:dyDescent="0.25">
      <c r="B44" s="79">
        <f t="shared" si="1"/>
        <v>37</v>
      </c>
      <c r="C44" s="3">
        <v>260837</v>
      </c>
      <c r="D44" s="118">
        <v>604</v>
      </c>
      <c r="E44" s="98">
        <v>46247</v>
      </c>
      <c r="F44" s="113" t="s">
        <v>99</v>
      </c>
      <c r="G44" s="114" t="s">
        <v>88</v>
      </c>
      <c r="H44" s="86"/>
      <c r="I44" s="87"/>
      <c r="J44" s="120"/>
      <c r="K44" s="121"/>
      <c r="L44" s="120"/>
      <c r="M44" s="122"/>
      <c r="N44" s="122"/>
      <c r="O44" s="122">
        <v>735</v>
      </c>
      <c r="P44" s="122"/>
      <c r="Q44" s="122"/>
      <c r="R44" s="121"/>
      <c r="S44" s="66"/>
      <c r="T44" s="28"/>
      <c r="U44" s="28"/>
      <c r="V44" s="28"/>
      <c r="W44" s="28"/>
      <c r="X44" s="28"/>
      <c r="Y44" s="28"/>
      <c r="Z44" s="28"/>
      <c r="AA44" s="92"/>
      <c r="AB44" s="28"/>
      <c r="AC44" s="28"/>
      <c r="AD44" s="28"/>
      <c r="AE44" s="28"/>
      <c r="AF44" s="28"/>
      <c r="AG44" s="66"/>
      <c r="AH44" s="123"/>
      <c r="AI44" s="124">
        <v>60637.5</v>
      </c>
      <c r="AJ44" s="124"/>
      <c r="AK44" s="124"/>
      <c r="AL44" s="124"/>
      <c r="AM44" s="37">
        <f>+Tabla4[[#This Row],[TOTAL VENTA]]-Tabla4[[#This Row],[DESCUENTOS
BONIFICACION]]-Tabla4[[#This Row],[PROMOCION]]+Tabla4[[#This Row],[Ingreso por venta dircta]]</f>
        <v>60637.5</v>
      </c>
      <c r="AN44" s="125">
        <f>+Tabla4[[#This Row],[IMPORTE NETO]]*1/60000</f>
        <v>1.0106250000000001</v>
      </c>
      <c r="AO44" s="67"/>
      <c r="AP44" s="67"/>
      <c r="AQ44" s="67"/>
      <c r="AR44" s="67"/>
      <c r="AS44" s="67"/>
      <c r="AT44" s="67"/>
      <c r="AU44" s="67"/>
      <c r="AV44" s="67">
        <v>60637.5</v>
      </c>
      <c r="AW44" s="30"/>
      <c r="AX44" s="125">
        <f>+Tabla4[[#This Row],[BANCO UNION_1]]+Tabla4[[#This Row],[BANCO UNION-2]]+Tabla4[[#This Row],[BANCO UNION_3]]</f>
        <v>0</v>
      </c>
      <c r="AY44" s="125">
        <f>+Tabla4[[#This Row],[BANCO BNB_1]]+Tabla4[[#This Row],[BANCO BNB_2]]+Tabla4[[#This Row],[BANCO MERCANTIL STA CRUZ2]]</f>
        <v>0</v>
      </c>
      <c r="AZ44" s="125">
        <f>+Tabla4[[#This Row],[SALDO ANTERIOR]]+Tabla4[[#This Row],[CAJA]]+Tabla4[[#This Row],[TOTAL
BANCO UNION]]+Tabla4[[#This Row],[TOTAL
BANCO BNB]]+Tabla4[[#This Row],[DÓLAR
$us]]</f>
        <v>60637.5</v>
      </c>
      <c r="BA44" s="125">
        <f>+Tabla4[[#This Row],[IMPORTE NETO]]-Tabla4[[#This Row],[TOTAL CANCELADO]]</f>
        <v>0</v>
      </c>
      <c r="BB44" s="2"/>
    </row>
    <row r="45" spans="2:54" ht="15.75" customHeight="1" x14ac:dyDescent="0.25">
      <c r="B45" s="79">
        <f t="shared" si="1"/>
        <v>38</v>
      </c>
      <c r="C45" s="3">
        <v>260838</v>
      </c>
      <c r="D45" s="118">
        <v>605</v>
      </c>
      <c r="E45" s="98">
        <v>46247</v>
      </c>
      <c r="F45" s="113" t="s">
        <v>99</v>
      </c>
      <c r="G45" s="114" t="s">
        <v>88</v>
      </c>
      <c r="H45" s="86"/>
      <c r="I45" s="87"/>
      <c r="J45" s="120"/>
      <c r="K45" s="121"/>
      <c r="L45" s="120"/>
      <c r="M45" s="122"/>
      <c r="N45" s="122"/>
      <c r="O45" s="122">
        <v>300</v>
      </c>
      <c r="P45" s="122">
        <v>190</v>
      </c>
      <c r="Q45" s="122"/>
      <c r="R45" s="121"/>
      <c r="S45" s="66"/>
      <c r="T45" s="28"/>
      <c r="U45" s="28">
        <v>200</v>
      </c>
      <c r="V45" s="28"/>
      <c r="W45" s="28"/>
      <c r="X45" s="28"/>
      <c r="Y45" s="88"/>
      <c r="Z45" s="88"/>
      <c r="AA45" s="96"/>
      <c r="AB45" s="28"/>
      <c r="AC45" s="28"/>
      <c r="AD45" s="28"/>
      <c r="AE45" s="28"/>
      <c r="AF45" s="28"/>
      <c r="AG45" s="66"/>
      <c r="AH45" s="123"/>
      <c r="AI45" s="124">
        <v>49300</v>
      </c>
      <c r="AJ45" s="124"/>
      <c r="AK45" s="124"/>
      <c r="AL45" s="124"/>
      <c r="AM45" s="37">
        <f>+Tabla4[[#This Row],[TOTAL VENTA]]-Tabla4[[#This Row],[DESCUENTOS
BONIFICACION]]-Tabla4[[#This Row],[PROMOCION]]+Tabla4[[#This Row],[Ingreso por venta dircta]]</f>
        <v>49300</v>
      </c>
      <c r="AN45" s="125">
        <f>+Tabla4[[#This Row],[IMPORTE NETO]]*1/60000</f>
        <v>0.82166666666666666</v>
      </c>
      <c r="AO45" s="67"/>
      <c r="AP45" s="67"/>
      <c r="AQ45" s="67"/>
      <c r="AR45" s="67"/>
      <c r="AS45" s="67"/>
      <c r="AT45" s="67"/>
      <c r="AU45" s="67"/>
      <c r="AV45" s="67">
        <v>49300</v>
      </c>
      <c r="AW45" s="30"/>
      <c r="AX45" s="125">
        <f>+Tabla4[[#This Row],[BANCO UNION_1]]+Tabla4[[#This Row],[BANCO UNION-2]]+Tabla4[[#This Row],[BANCO UNION_3]]</f>
        <v>0</v>
      </c>
      <c r="AY45" s="125">
        <f>+Tabla4[[#This Row],[BANCO BNB_1]]+Tabla4[[#This Row],[BANCO BNB_2]]+Tabla4[[#This Row],[BANCO MERCANTIL STA CRUZ2]]</f>
        <v>0</v>
      </c>
      <c r="AZ45" s="125">
        <f>+Tabla4[[#This Row],[SALDO ANTERIOR]]+Tabla4[[#This Row],[CAJA]]+Tabla4[[#This Row],[TOTAL
BANCO UNION]]+Tabla4[[#This Row],[TOTAL
BANCO BNB]]+Tabla4[[#This Row],[DÓLAR
$us]]</f>
        <v>49300</v>
      </c>
      <c r="BA45" s="125">
        <f>+Tabla4[[#This Row],[IMPORTE NETO]]-Tabla4[[#This Row],[TOTAL CANCELADO]]</f>
        <v>0</v>
      </c>
      <c r="BB45" s="2"/>
    </row>
    <row r="46" spans="2:54" ht="15.75" customHeight="1" x14ac:dyDescent="0.25">
      <c r="B46" s="79">
        <f t="shared" si="1"/>
        <v>39</v>
      </c>
      <c r="C46" s="3">
        <v>260839</v>
      </c>
      <c r="D46" s="62">
        <v>606</v>
      </c>
      <c r="E46" s="98">
        <v>46248</v>
      </c>
      <c r="F46" s="113" t="s">
        <v>114</v>
      </c>
      <c r="G46" s="114" t="s">
        <v>10</v>
      </c>
      <c r="H46" s="115"/>
      <c r="I46" s="116"/>
      <c r="J46" s="59">
        <v>36</v>
      </c>
      <c r="K46" s="59"/>
      <c r="L46" s="59"/>
      <c r="M46" s="59">
        <v>8</v>
      </c>
      <c r="N46" s="59"/>
      <c r="O46" s="59">
        <v>6</v>
      </c>
      <c r="P46" s="59">
        <v>8</v>
      </c>
      <c r="Q46" s="59">
        <v>2</v>
      </c>
      <c r="R46" s="59"/>
      <c r="S46" s="28"/>
      <c r="T46" s="28"/>
      <c r="U46" s="28">
        <v>9</v>
      </c>
      <c r="V46" s="28">
        <v>3</v>
      </c>
      <c r="W46" s="28"/>
      <c r="X46" s="28">
        <v>36</v>
      </c>
      <c r="Y46" s="28"/>
      <c r="Z46" s="28"/>
      <c r="AA46" s="28"/>
      <c r="AB46" s="28"/>
      <c r="AC46" s="28"/>
      <c r="AD46" s="28"/>
      <c r="AE46" s="28"/>
      <c r="AF46" s="28"/>
      <c r="AG46" s="28"/>
      <c r="AH46" s="59"/>
      <c r="AI46" s="60">
        <v>3354</v>
      </c>
      <c r="AJ46" s="60">
        <v>54</v>
      </c>
      <c r="AK46" s="60"/>
      <c r="AL46" s="60">
        <v>0</v>
      </c>
      <c r="AM46" s="37">
        <f>+Tabla4[[#This Row],[TOTAL VENTA]]-Tabla4[[#This Row],[DESCUENTOS
BONIFICACION]]-Tabla4[[#This Row],[PROMOCION]]+Tabla4[[#This Row],[Ingreso por venta dircta]]</f>
        <v>3300</v>
      </c>
      <c r="AN46" s="61">
        <f>+Tabla4[[#This Row],[IMPORTE NETO]]*1/60000</f>
        <v>5.5E-2</v>
      </c>
      <c r="AO46" s="30"/>
      <c r="AP46" s="30"/>
      <c r="AQ46" s="30"/>
      <c r="AR46" s="30"/>
      <c r="AS46" s="30"/>
      <c r="AT46" s="30"/>
      <c r="AU46" s="30"/>
      <c r="AV46" s="30"/>
      <c r="AW46" s="30"/>
      <c r="AX46" s="61">
        <f>+Tabla4[[#This Row],[BANCO UNION_1]]+Tabla4[[#This Row],[BANCO UNION-2]]+Tabla4[[#This Row],[BANCO UNION_3]]</f>
        <v>0</v>
      </c>
      <c r="AY46" s="61">
        <f>+Tabla4[[#This Row],[BANCO BNB_1]]+Tabla4[[#This Row],[BANCO BNB_2]]+Tabla4[[#This Row],[BANCO MERCANTIL STA CRUZ2]]</f>
        <v>0</v>
      </c>
      <c r="AZ46" s="61">
        <f>+Tabla4[[#This Row],[SALDO ANTERIOR]]+Tabla4[[#This Row],[CAJA]]+Tabla4[[#This Row],[TOTAL
BANCO UNION]]+Tabla4[[#This Row],[TOTAL
BANCO BNB]]+Tabla4[[#This Row],[DÓLAR
$us]]</f>
        <v>0</v>
      </c>
      <c r="BA46" s="61">
        <f>+Tabla4[[#This Row],[IMPORTE NETO]]-Tabla4[[#This Row],[TOTAL CANCELADO]]</f>
        <v>3300</v>
      </c>
      <c r="BB46" s="2"/>
    </row>
    <row r="47" spans="2:54" ht="15.75" customHeight="1" x14ac:dyDescent="0.25">
      <c r="B47" s="79">
        <f t="shared" si="1"/>
        <v>40</v>
      </c>
      <c r="C47" s="3">
        <v>260840</v>
      </c>
      <c r="D47" s="118">
        <v>607</v>
      </c>
      <c r="E47" s="98">
        <v>46248</v>
      </c>
      <c r="F47" s="113" t="s">
        <v>90</v>
      </c>
      <c r="G47" s="89" t="s">
        <v>10</v>
      </c>
      <c r="H47" s="115" t="s">
        <v>96</v>
      </c>
      <c r="I47" s="116" t="s">
        <v>91</v>
      </c>
      <c r="J47" s="120">
        <v>250</v>
      </c>
      <c r="K47" s="121"/>
      <c r="L47" s="120">
        <v>5</v>
      </c>
      <c r="M47" s="122"/>
      <c r="N47" s="122"/>
      <c r="O47" s="122">
        <v>30</v>
      </c>
      <c r="P47" s="122"/>
      <c r="Q47" s="122"/>
      <c r="R47" s="121"/>
      <c r="S47" s="66"/>
      <c r="T47" s="28"/>
      <c r="U47" s="28">
        <v>10</v>
      </c>
      <c r="V47" s="28"/>
      <c r="W47" s="28"/>
      <c r="X47" s="28">
        <v>250</v>
      </c>
      <c r="Y47" s="88"/>
      <c r="Z47" s="88"/>
      <c r="AA47" s="96"/>
      <c r="AB47" s="28"/>
      <c r="AC47" s="28"/>
      <c r="AD47" s="28"/>
      <c r="AE47" s="28"/>
      <c r="AF47" s="28"/>
      <c r="AG47" s="66"/>
      <c r="AH47" s="123"/>
      <c r="AI47" s="124">
        <v>9095</v>
      </c>
      <c r="AJ47" s="124">
        <v>375</v>
      </c>
      <c r="AK47" s="124"/>
      <c r="AL47" s="124"/>
      <c r="AM47" s="37">
        <f>+Tabla4[[#This Row],[TOTAL VENTA]]-Tabla4[[#This Row],[DESCUENTOS
BONIFICACION]]-Tabla4[[#This Row],[PROMOCION]]+Tabla4[[#This Row],[Ingreso por venta dircta]]</f>
        <v>8720</v>
      </c>
      <c r="AN47" s="125">
        <f>+Tabla4[[#This Row],[IMPORTE NETO]]*1/60000</f>
        <v>0.14533333333333334</v>
      </c>
      <c r="AO47" s="67"/>
      <c r="AP47" s="67"/>
      <c r="AQ47" s="67"/>
      <c r="AR47" s="67"/>
      <c r="AS47" s="67"/>
      <c r="AT47" s="67"/>
      <c r="AU47" s="67">
        <v>1744</v>
      </c>
      <c r="AV47" s="67">
        <f>5700-220-104</f>
        <v>5376</v>
      </c>
      <c r="AW47" s="30"/>
      <c r="AX47" s="125">
        <f>+Tabla4[[#This Row],[BANCO UNION_1]]+Tabla4[[#This Row],[BANCO UNION-2]]+Tabla4[[#This Row],[BANCO UNION_3]]</f>
        <v>0</v>
      </c>
      <c r="AY47" s="125">
        <f>+Tabla4[[#This Row],[BANCO BNB_1]]+Tabla4[[#This Row],[BANCO BNB_2]]+Tabla4[[#This Row],[BANCO MERCANTIL STA CRUZ2]]</f>
        <v>1744</v>
      </c>
      <c r="AZ47" s="125">
        <f>+Tabla4[[#This Row],[SALDO ANTERIOR]]+Tabla4[[#This Row],[CAJA]]+Tabla4[[#This Row],[TOTAL
BANCO UNION]]+Tabla4[[#This Row],[TOTAL
BANCO BNB]]+Tabla4[[#This Row],[DÓLAR
$us]]</f>
        <v>7120</v>
      </c>
      <c r="BA47" s="125">
        <f>+Tabla4[[#This Row],[IMPORTE NETO]]-Tabla4[[#This Row],[TOTAL CANCELADO]]</f>
        <v>1600</v>
      </c>
      <c r="BB47" s="2"/>
    </row>
    <row r="48" spans="2:54" ht="15.75" customHeight="1" x14ac:dyDescent="0.25">
      <c r="B48" s="79">
        <f t="shared" si="1"/>
        <v>41</v>
      </c>
      <c r="C48" s="3">
        <v>260841</v>
      </c>
      <c r="D48" s="4">
        <v>608</v>
      </c>
      <c r="E48" s="98">
        <v>46248</v>
      </c>
      <c r="F48" s="113" t="s">
        <v>102</v>
      </c>
      <c r="G48" s="114" t="s">
        <v>10</v>
      </c>
      <c r="H48" s="115"/>
      <c r="I48" s="116"/>
      <c r="J48" s="59">
        <v>250</v>
      </c>
      <c r="K48" s="59"/>
      <c r="L48" s="59"/>
      <c r="M48" s="59"/>
      <c r="N48" s="59"/>
      <c r="O48" s="59">
        <v>5</v>
      </c>
      <c r="P48" s="59">
        <v>5</v>
      </c>
      <c r="Q48" s="59"/>
      <c r="R48" s="59"/>
      <c r="S48" s="28"/>
      <c r="T48" s="28"/>
      <c r="U48" s="28"/>
      <c r="V48" s="28"/>
      <c r="W48" s="28"/>
      <c r="X48" s="28">
        <v>250</v>
      </c>
      <c r="Y48" s="28"/>
      <c r="Z48" s="28"/>
      <c r="AA48" s="28"/>
      <c r="AB48" s="28"/>
      <c r="AC48" s="28"/>
      <c r="AD48" s="28"/>
      <c r="AE48" s="28"/>
      <c r="AF48" s="28"/>
      <c r="AG48" s="28"/>
      <c r="AH48" s="59"/>
      <c r="AI48" s="60">
        <v>6605</v>
      </c>
      <c r="AJ48" s="60">
        <v>375</v>
      </c>
      <c r="AK48" s="60"/>
      <c r="AL48" s="60">
        <v>0</v>
      </c>
      <c r="AM48" s="37">
        <f>+Tabla4[[#This Row],[TOTAL VENTA]]-Tabla4[[#This Row],[DESCUENTOS
BONIFICACION]]-Tabla4[[#This Row],[PROMOCION]]+Tabla4[[#This Row],[Ingreso por venta dircta]]</f>
        <v>6230</v>
      </c>
      <c r="AN48" s="61">
        <f>+Tabla4[[#This Row],[IMPORTE NETO]]*1/60000</f>
        <v>0.10383333333333333</v>
      </c>
      <c r="AO48" s="30"/>
      <c r="AP48" s="30"/>
      <c r="AQ48" s="30"/>
      <c r="AR48" s="30"/>
      <c r="AS48" s="30"/>
      <c r="AT48" s="30"/>
      <c r="AU48" s="30"/>
      <c r="AV48" s="30"/>
      <c r="AW48" s="30"/>
      <c r="AX48" s="61">
        <f>+Tabla4[[#This Row],[BANCO UNION_1]]+Tabla4[[#This Row],[BANCO UNION-2]]+Tabla4[[#This Row],[BANCO UNION_3]]</f>
        <v>0</v>
      </c>
      <c r="AY48" s="61">
        <f>+Tabla4[[#This Row],[BANCO BNB_1]]+Tabla4[[#This Row],[BANCO BNB_2]]+Tabla4[[#This Row],[BANCO MERCANTIL STA CRUZ2]]</f>
        <v>0</v>
      </c>
      <c r="AZ48" s="61">
        <f>+Tabla4[[#This Row],[SALDO ANTERIOR]]+Tabla4[[#This Row],[CAJA]]+Tabla4[[#This Row],[TOTAL
BANCO UNION]]+Tabla4[[#This Row],[TOTAL
BANCO BNB]]+Tabla4[[#This Row],[DÓLAR
$us]]</f>
        <v>0</v>
      </c>
      <c r="BA48" s="61">
        <f>+Tabla4[[#This Row],[IMPORTE NETO]]-Tabla4[[#This Row],[TOTAL CANCELADO]]</f>
        <v>6230</v>
      </c>
      <c r="BB48" s="2"/>
    </row>
    <row r="49" spans="2:54" ht="15.75" customHeight="1" x14ac:dyDescent="0.25">
      <c r="B49" s="79">
        <f t="shared" si="1"/>
        <v>42</v>
      </c>
      <c r="C49" s="3">
        <v>260842</v>
      </c>
      <c r="D49" s="62">
        <v>609</v>
      </c>
      <c r="E49" s="98">
        <v>46248</v>
      </c>
      <c r="F49" s="113" t="s">
        <v>90</v>
      </c>
      <c r="G49" s="89" t="s">
        <v>10</v>
      </c>
      <c r="H49" s="115" t="s">
        <v>96</v>
      </c>
      <c r="I49" s="116" t="s">
        <v>91</v>
      </c>
      <c r="J49" s="59"/>
      <c r="K49" s="59"/>
      <c r="L49" s="59"/>
      <c r="M49" s="59"/>
      <c r="N49" s="59"/>
      <c r="O49" s="59"/>
      <c r="P49" s="59">
        <v>1</v>
      </c>
      <c r="Q49" s="59"/>
      <c r="R49" s="59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59"/>
      <c r="AI49" s="60">
        <v>62</v>
      </c>
      <c r="AJ49" s="60"/>
      <c r="AK49" s="60"/>
      <c r="AL49" s="60">
        <v>0</v>
      </c>
      <c r="AM49" s="37">
        <f>+Tabla4[[#This Row],[TOTAL VENTA]]-Tabla4[[#This Row],[DESCUENTOS
BONIFICACION]]-Tabla4[[#This Row],[PROMOCION]]+Tabla4[[#This Row],[Ingreso por venta dircta]]</f>
        <v>62</v>
      </c>
      <c r="AN49" s="61">
        <f>+Tabla4[[#This Row],[IMPORTE NETO]]*1/60000</f>
        <v>1.0333333333333334E-3</v>
      </c>
      <c r="AO49" s="30"/>
      <c r="AP49" s="30"/>
      <c r="AQ49" s="30"/>
      <c r="AR49" s="30"/>
      <c r="AS49" s="30"/>
      <c r="AT49" s="30"/>
      <c r="AU49" s="30"/>
      <c r="AV49" s="30">
        <v>292</v>
      </c>
      <c r="AW49" s="30"/>
      <c r="AX49" s="61">
        <f>+Tabla4[[#This Row],[BANCO UNION_1]]+Tabla4[[#This Row],[BANCO UNION-2]]+Tabla4[[#This Row],[BANCO UNION_3]]</f>
        <v>0</v>
      </c>
      <c r="AY49" s="61">
        <f>+Tabla4[[#This Row],[BANCO BNB_1]]+Tabla4[[#This Row],[BANCO BNB_2]]+Tabla4[[#This Row],[BANCO MERCANTIL STA CRUZ2]]</f>
        <v>0</v>
      </c>
      <c r="AZ49" s="61">
        <f>+Tabla4[[#This Row],[SALDO ANTERIOR]]+Tabla4[[#This Row],[CAJA]]+Tabla4[[#This Row],[TOTAL
BANCO UNION]]+Tabla4[[#This Row],[TOTAL
BANCO BNB]]+Tabla4[[#This Row],[DÓLAR
$us]]</f>
        <v>292</v>
      </c>
      <c r="BA49" s="61">
        <f>+Tabla4[[#This Row],[IMPORTE NETO]]-Tabla4[[#This Row],[TOTAL CANCELADO]]</f>
        <v>-230</v>
      </c>
      <c r="BB49" s="2"/>
    </row>
    <row r="50" spans="2:54" ht="15.75" customHeight="1" x14ac:dyDescent="0.25">
      <c r="B50" s="79">
        <f t="shared" si="1"/>
        <v>43</v>
      </c>
      <c r="C50" s="3">
        <v>260843</v>
      </c>
      <c r="D50" s="4">
        <v>610</v>
      </c>
      <c r="E50" s="98">
        <v>46248</v>
      </c>
      <c r="F50" s="117" t="s">
        <v>82</v>
      </c>
      <c r="G50" s="89" t="s">
        <v>10</v>
      </c>
      <c r="H50" s="100"/>
      <c r="I50" s="101"/>
      <c r="J50" s="59"/>
      <c r="K50" s="59"/>
      <c r="L50" s="59"/>
      <c r="M50" s="59"/>
      <c r="N50" s="59"/>
      <c r="O50" s="59">
        <v>1</v>
      </c>
      <c r="P50" s="59"/>
      <c r="Q50" s="59"/>
      <c r="R50" s="59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>
        <v>4</v>
      </c>
      <c r="AE50" s="28"/>
      <c r="AF50" s="28">
        <v>3</v>
      </c>
      <c r="AG50" s="28"/>
      <c r="AH50" s="59"/>
      <c r="AI50" s="60">
        <v>229</v>
      </c>
      <c r="AJ50" s="60"/>
      <c r="AK50" s="60"/>
      <c r="AL50" s="60">
        <v>0</v>
      </c>
      <c r="AM50" s="37">
        <f>+Tabla4[[#This Row],[TOTAL VENTA]]-Tabla4[[#This Row],[DESCUENTOS
BONIFICACION]]-Tabla4[[#This Row],[PROMOCION]]+Tabla4[[#This Row],[Ingreso por venta dircta]]</f>
        <v>229</v>
      </c>
      <c r="AN50" s="61">
        <f>+Tabla4[[#This Row],[IMPORTE NETO]]*1/60000</f>
        <v>3.8166666666666666E-3</v>
      </c>
      <c r="AO50" s="30"/>
      <c r="AP50" s="30"/>
      <c r="AQ50" s="30"/>
      <c r="AR50" s="30"/>
      <c r="AS50" s="30"/>
      <c r="AT50" s="30"/>
      <c r="AU50" s="30"/>
      <c r="AV50" s="30">
        <v>229</v>
      </c>
      <c r="AW50" s="30"/>
      <c r="AX50" s="61">
        <f>+Tabla4[[#This Row],[BANCO UNION_1]]+Tabla4[[#This Row],[BANCO UNION-2]]+Tabla4[[#This Row],[BANCO UNION_3]]</f>
        <v>0</v>
      </c>
      <c r="AY50" s="61">
        <f>+Tabla4[[#This Row],[BANCO BNB_1]]+Tabla4[[#This Row],[BANCO BNB_2]]+Tabla4[[#This Row],[BANCO MERCANTIL STA CRUZ2]]</f>
        <v>0</v>
      </c>
      <c r="AZ50" s="61">
        <f>+Tabla4[[#This Row],[SALDO ANTERIOR]]+Tabla4[[#This Row],[CAJA]]+Tabla4[[#This Row],[TOTAL
BANCO UNION]]+Tabla4[[#This Row],[TOTAL
BANCO BNB]]+Tabla4[[#This Row],[DÓLAR
$us]]</f>
        <v>229</v>
      </c>
      <c r="BA50" s="61">
        <f>+Tabla4[[#This Row],[IMPORTE NETO]]-Tabla4[[#This Row],[TOTAL CANCELADO]]</f>
        <v>0</v>
      </c>
      <c r="BB50" s="2"/>
    </row>
    <row r="51" spans="2:54" ht="15.75" customHeight="1" x14ac:dyDescent="0.25">
      <c r="B51" s="79">
        <f t="shared" si="1"/>
        <v>44</v>
      </c>
      <c r="C51" s="3">
        <v>260844</v>
      </c>
      <c r="D51" s="62">
        <v>612</v>
      </c>
      <c r="E51" s="98">
        <v>46249</v>
      </c>
      <c r="F51" s="113" t="s">
        <v>90</v>
      </c>
      <c r="G51" s="89" t="s">
        <v>10</v>
      </c>
      <c r="H51" s="115" t="s">
        <v>96</v>
      </c>
      <c r="I51" s="116" t="s">
        <v>91</v>
      </c>
      <c r="J51" s="59">
        <v>150</v>
      </c>
      <c r="K51" s="59"/>
      <c r="L51" s="59"/>
      <c r="M51" s="59"/>
      <c r="N51" s="59"/>
      <c r="O51" s="59">
        <v>20</v>
      </c>
      <c r="P51" s="59">
        <v>30</v>
      </c>
      <c r="Q51" s="59">
        <v>1</v>
      </c>
      <c r="R51" s="59"/>
      <c r="S51" s="28"/>
      <c r="T51" s="28"/>
      <c r="U51" s="28">
        <v>15</v>
      </c>
      <c r="V51" s="28"/>
      <c r="W51" s="28"/>
      <c r="X51" s="28">
        <v>150</v>
      </c>
      <c r="Y51" s="28"/>
      <c r="Z51" s="28"/>
      <c r="AA51" s="28"/>
      <c r="AB51" s="28"/>
      <c r="AC51" s="28"/>
      <c r="AD51" s="28"/>
      <c r="AE51" s="28"/>
      <c r="AF51" s="28"/>
      <c r="AG51" s="28"/>
      <c r="AH51" s="59"/>
      <c r="AI51" s="60">
        <v>7997</v>
      </c>
      <c r="AJ51" s="60">
        <v>225</v>
      </c>
      <c r="AK51" s="60"/>
      <c r="AL51" s="60">
        <v>0</v>
      </c>
      <c r="AM51" s="37">
        <f>+Tabla4[[#This Row],[TOTAL VENTA]]-Tabla4[[#This Row],[DESCUENTOS
BONIFICACION]]-Tabla4[[#This Row],[PROMOCION]]+Tabla4[[#This Row],[Ingreso por venta dircta]]</f>
        <v>7772</v>
      </c>
      <c r="AN51" s="61">
        <f>+Tabla4[[#This Row],[IMPORTE NETO]]*1/60000</f>
        <v>0.12953333333333333</v>
      </c>
      <c r="AO51" s="30"/>
      <c r="AP51" s="30"/>
      <c r="AQ51" s="30"/>
      <c r="AR51" s="30"/>
      <c r="AS51" s="30"/>
      <c r="AT51" s="30"/>
      <c r="AU51" s="30"/>
      <c r="AV51" s="30">
        <v>3182</v>
      </c>
      <c r="AW51" s="30"/>
      <c r="AX51" s="61">
        <f>+Tabla4[[#This Row],[BANCO UNION_1]]+Tabla4[[#This Row],[BANCO UNION-2]]+Tabla4[[#This Row],[BANCO UNION_3]]</f>
        <v>0</v>
      </c>
      <c r="AY51" s="61">
        <f>+Tabla4[[#This Row],[BANCO BNB_1]]+Tabla4[[#This Row],[BANCO BNB_2]]+Tabla4[[#This Row],[BANCO MERCANTIL STA CRUZ2]]</f>
        <v>0</v>
      </c>
      <c r="AZ51" s="61">
        <f>+Tabla4[[#This Row],[SALDO ANTERIOR]]+Tabla4[[#This Row],[CAJA]]+Tabla4[[#This Row],[TOTAL
BANCO UNION]]+Tabla4[[#This Row],[TOTAL
BANCO BNB]]+Tabla4[[#This Row],[DÓLAR
$us]]</f>
        <v>3182</v>
      </c>
      <c r="BA51" s="61">
        <f>+Tabla4[[#This Row],[IMPORTE NETO]]-Tabla4[[#This Row],[TOTAL CANCELADO]]</f>
        <v>4590</v>
      </c>
      <c r="BB51" s="2"/>
    </row>
    <row r="52" spans="2:54" ht="15.75" customHeight="1" x14ac:dyDescent="0.25">
      <c r="B52" s="79">
        <f t="shared" si="1"/>
        <v>45</v>
      </c>
      <c r="C52" s="3">
        <v>260845</v>
      </c>
      <c r="D52" s="4">
        <v>613</v>
      </c>
      <c r="E52" s="98">
        <v>46249</v>
      </c>
      <c r="F52" s="113" t="s">
        <v>102</v>
      </c>
      <c r="G52" s="114" t="s">
        <v>10</v>
      </c>
      <c r="H52" s="100"/>
      <c r="I52" s="101"/>
      <c r="J52" s="59">
        <v>230</v>
      </c>
      <c r="K52" s="59"/>
      <c r="L52" s="59"/>
      <c r="M52" s="59"/>
      <c r="N52" s="59">
        <v>3</v>
      </c>
      <c r="O52" s="59">
        <v>5</v>
      </c>
      <c r="P52" s="59">
        <v>20</v>
      </c>
      <c r="Q52" s="59"/>
      <c r="R52" s="59"/>
      <c r="S52" s="28"/>
      <c r="T52" s="28"/>
      <c r="U52" s="28">
        <v>4</v>
      </c>
      <c r="V52" s="28">
        <v>3</v>
      </c>
      <c r="W52" s="28"/>
      <c r="X52" s="28">
        <v>230</v>
      </c>
      <c r="Y52" s="28"/>
      <c r="Z52" s="28"/>
      <c r="AA52" s="28"/>
      <c r="AB52" s="28"/>
      <c r="AC52" s="28"/>
      <c r="AD52" s="28"/>
      <c r="AE52" s="28"/>
      <c r="AF52" s="28"/>
      <c r="AG52" s="28"/>
      <c r="AH52" s="59"/>
      <c r="AI52" s="60">
        <v>7729</v>
      </c>
      <c r="AJ52" s="60">
        <v>345</v>
      </c>
      <c r="AK52" s="60"/>
      <c r="AL52" s="60">
        <v>0</v>
      </c>
      <c r="AM52" s="37">
        <f>+Tabla4[[#This Row],[TOTAL VENTA]]-Tabla4[[#This Row],[DESCUENTOS
BONIFICACION]]-Tabla4[[#This Row],[PROMOCION]]+Tabla4[[#This Row],[Ingreso por venta dircta]]</f>
        <v>7384</v>
      </c>
      <c r="AN52" s="61">
        <f>+Tabla4[[#This Row],[IMPORTE NETO]]*1/60000</f>
        <v>0.12306666666666667</v>
      </c>
      <c r="AO52" s="30"/>
      <c r="AP52" s="30"/>
      <c r="AQ52" s="30"/>
      <c r="AR52" s="30"/>
      <c r="AS52" s="30"/>
      <c r="AT52" s="30"/>
      <c r="AU52" s="30"/>
      <c r="AV52" s="30">
        <v>13300</v>
      </c>
      <c r="AW52" s="30"/>
      <c r="AX52" s="61">
        <f>+Tabla4[[#This Row],[BANCO UNION_1]]+Tabla4[[#This Row],[BANCO UNION-2]]+Tabla4[[#This Row],[BANCO UNION_3]]</f>
        <v>0</v>
      </c>
      <c r="AY52" s="61">
        <f>+Tabla4[[#This Row],[BANCO BNB_1]]+Tabla4[[#This Row],[BANCO BNB_2]]+Tabla4[[#This Row],[BANCO MERCANTIL STA CRUZ2]]</f>
        <v>0</v>
      </c>
      <c r="AZ52" s="61">
        <f>+Tabla4[[#This Row],[SALDO ANTERIOR]]+Tabla4[[#This Row],[CAJA]]+Tabla4[[#This Row],[TOTAL
BANCO UNION]]+Tabla4[[#This Row],[TOTAL
BANCO BNB]]+Tabla4[[#This Row],[DÓLAR
$us]]</f>
        <v>13300</v>
      </c>
      <c r="BA52" s="61">
        <f>+Tabla4[[#This Row],[IMPORTE NETO]]-Tabla4[[#This Row],[TOTAL CANCELADO]]</f>
        <v>-5916</v>
      </c>
      <c r="BB52" s="2"/>
    </row>
    <row r="53" spans="2:54" ht="15.75" customHeight="1" x14ac:dyDescent="0.25">
      <c r="B53" s="79">
        <f t="shared" si="1"/>
        <v>46</v>
      </c>
      <c r="C53" s="3">
        <v>260846</v>
      </c>
      <c r="D53" s="62">
        <v>614</v>
      </c>
      <c r="E53" s="98">
        <v>46251</v>
      </c>
      <c r="F53" s="113" t="s">
        <v>90</v>
      </c>
      <c r="G53" s="89" t="s">
        <v>10</v>
      </c>
      <c r="H53" s="115" t="s">
        <v>96</v>
      </c>
      <c r="I53" s="116" t="s">
        <v>91</v>
      </c>
      <c r="J53" s="59">
        <v>100</v>
      </c>
      <c r="K53" s="59"/>
      <c r="L53" s="59"/>
      <c r="M53" s="59"/>
      <c r="N53" s="59"/>
      <c r="O53" s="59"/>
      <c r="P53" s="59">
        <v>20</v>
      </c>
      <c r="Q53" s="59"/>
      <c r="R53" s="59"/>
      <c r="S53" s="28"/>
      <c r="T53" s="28"/>
      <c r="U53" s="28">
        <v>5</v>
      </c>
      <c r="V53" s="28"/>
      <c r="W53" s="28"/>
      <c r="X53" s="28">
        <v>100</v>
      </c>
      <c r="Y53" s="28"/>
      <c r="Z53" s="28"/>
      <c r="AA53" s="28"/>
      <c r="AB53" s="28"/>
      <c r="AC53" s="28"/>
      <c r="AD53" s="28"/>
      <c r="AE53" s="28"/>
      <c r="AF53" s="28"/>
      <c r="AG53" s="28"/>
      <c r="AH53" s="59"/>
      <c r="AI53" s="60">
        <v>3940</v>
      </c>
      <c r="AJ53" s="60">
        <v>150</v>
      </c>
      <c r="AK53" s="60"/>
      <c r="AL53" s="60">
        <v>0</v>
      </c>
      <c r="AM53" s="37">
        <f>+Tabla4[[#This Row],[TOTAL VENTA]]-Tabla4[[#This Row],[DESCUENTOS
BONIFICACION]]-Tabla4[[#This Row],[PROMOCION]]+Tabla4[[#This Row],[Ingreso por venta dircta]]</f>
        <v>3790</v>
      </c>
      <c r="AN53" s="61">
        <f>+Tabla4[[#This Row],[IMPORTE NETO]]*1/60000</f>
        <v>6.3166666666666663E-2</v>
      </c>
      <c r="AO53" s="30"/>
      <c r="AP53" s="30"/>
      <c r="AQ53" s="30"/>
      <c r="AR53" s="30"/>
      <c r="AS53" s="30"/>
      <c r="AT53" s="30"/>
      <c r="AU53" s="30">
        <v>1357</v>
      </c>
      <c r="AV53" s="30">
        <v>5241.3</v>
      </c>
      <c r="AW53" s="30"/>
      <c r="AX53" s="61">
        <f>+Tabla4[[#This Row],[BANCO UNION_1]]+Tabla4[[#This Row],[BANCO UNION-2]]+Tabla4[[#This Row],[BANCO UNION_3]]</f>
        <v>0</v>
      </c>
      <c r="AY53" s="61">
        <f>+Tabla4[[#This Row],[BANCO BNB_1]]+Tabla4[[#This Row],[BANCO BNB_2]]+Tabla4[[#This Row],[BANCO MERCANTIL STA CRUZ2]]</f>
        <v>1357</v>
      </c>
      <c r="AZ53" s="61">
        <f>+Tabla4[[#This Row],[SALDO ANTERIOR]]+Tabla4[[#This Row],[CAJA]]+Tabla4[[#This Row],[TOTAL
BANCO UNION]]+Tabla4[[#This Row],[TOTAL
BANCO BNB]]+Tabla4[[#This Row],[DÓLAR
$us]]</f>
        <v>6598.3</v>
      </c>
      <c r="BA53" s="61">
        <f>+Tabla4[[#This Row],[IMPORTE NETO]]-Tabla4[[#This Row],[TOTAL CANCELADO]]</f>
        <v>-2808.3</v>
      </c>
      <c r="BB53" s="2"/>
    </row>
    <row r="54" spans="2:54" ht="15.75" customHeight="1" x14ac:dyDescent="0.25">
      <c r="B54" s="79">
        <f t="shared" si="1"/>
        <v>47</v>
      </c>
      <c r="C54" s="3">
        <v>260847</v>
      </c>
      <c r="D54" s="4">
        <v>615</v>
      </c>
      <c r="E54" s="98">
        <v>46251</v>
      </c>
      <c r="F54" s="113" t="s">
        <v>90</v>
      </c>
      <c r="G54" s="89" t="s">
        <v>10</v>
      </c>
      <c r="H54" s="115" t="s">
        <v>96</v>
      </c>
      <c r="I54" s="116" t="s">
        <v>91</v>
      </c>
      <c r="J54" s="59"/>
      <c r="K54" s="59"/>
      <c r="L54" s="59"/>
      <c r="M54" s="59"/>
      <c r="N54" s="59"/>
      <c r="O54" s="59"/>
      <c r="P54" s="59"/>
      <c r="Q54" s="59"/>
      <c r="R54" s="59"/>
      <c r="S54" s="28"/>
      <c r="T54" s="28"/>
      <c r="U54" s="28"/>
      <c r="V54" s="28"/>
      <c r="W54" s="28"/>
      <c r="X54" s="28">
        <v>52</v>
      </c>
      <c r="Y54" s="28"/>
      <c r="Z54" s="28"/>
      <c r="AA54" s="28"/>
      <c r="AB54" s="28"/>
      <c r="AC54" s="28"/>
      <c r="AD54" s="28"/>
      <c r="AE54" s="28"/>
      <c r="AF54" s="28"/>
      <c r="AG54" s="28"/>
      <c r="AH54" s="59"/>
      <c r="AI54" s="60">
        <v>78</v>
      </c>
      <c r="AJ54" s="60">
        <v>78</v>
      </c>
      <c r="AK54" s="60"/>
      <c r="AL54" s="60">
        <v>0</v>
      </c>
      <c r="AM54" s="37">
        <f>+Tabla4[[#This Row],[TOTAL VENTA]]-Tabla4[[#This Row],[DESCUENTOS
BONIFICACION]]-Tabla4[[#This Row],[PROMOCION]]+Tabla4[[#This Row],[Ingreso por venta dircta]]</f>
        <v>0</v>
      </c>
      <c r="AN54" s="61">
        <f>+Tabla4[[#This Row],[IMPORTE NETO]]*1/60000</f>
        <v>0</v>
      </c>
      <c r="AO54" s="30"/>
      <c r="AP54" s="30"/>
      <c r="AQ54" s="30"/>
      <c r="AR54" s="30"/>
      <c r="AS54" s="30"/>
      <c r="AT54" s="30"/>
      <c r="AU54" s="30"/>
      <c r="AV54" s="30"/>
      <c r="AW54" s="30"/>
      <c r="AX54" s="61">
        <f>+Tabla4[[#This Row],[BANCO UNION_1]]+Tabla4[[#This Row],[BANCO UNION-2]]+Tabla4[[#This Row],[BANCO UNION_3]]</f>
        <v>0</v>
      </c>
      <c r="AY54" s="61">
        <f>+Tabla4[[#This Row],[BANCO BNB_1]]+Tabla4[[#This Row],[BANCO BNB_2]]+Tabla4[[#This Row],[BANCO MERCANTIL STA CRUZ2]]</f>
        <v>0</v>
      </c>
      <c r="AZ54" s="61">
        <f>+Tabla4[[#This Row],[SALDO ANTERIOR]]+Tabla4[[#This Row],[CAJA]]+Tabla4[[#This Row],[TOTAL
BANCO UNION]]+Tabla4[[#This Row],[TOTAL
BANCO BNB]]+Tabla4[[#This Row],[DÓLAR
$us]]</f>
        <v>0</v>
      </c>
      <c r="BA54" s="61">
        <f>+Tabla4[[#This Row],[IMPORTE NETO]]-Tabla4[[#This Row],[TOTAL CANCELADO]]</f>
        <v>0</v>
      </c>
      <c r="BB54" s="2"/>
    </row>
    <row r="55" spans="2:54" ht="19.5" x14ac:dyDescent="0.25">
      <c r="B55" s="168" t="s">
        <v>7</v>
      </c>
      <c r="C55" s="169"/>
      <c r="D55" s="169"/>
      <c r="E55" s="169"/>
      <c r="F55" s="169"/>
      <c r="G55" s="169"/>
      <c r="H55" s="169"/>
      <c r="I55" s="170"/>
      <c r="J55" s="34">
        <f>SUBTOTAL(109,Tabla4[MEGA 12R])</f>
        <v>12775</v>
      </c>
      <c r="K55" s="34">
        <f>SUBTOTAL(109,Tabla4[Economico])</f>
        <v>0</v>
      </c>
      <c r="L55" s="34">
        <f>SUBTOTAL(109,Tabla4[MEGA 12R
30mtrs])</f>
        <v>20</v>
      </c>
      <c r="M55" s="34">
        <f>SUBTOTAL(109,Tabla4[LUX 6R])</f>
        <v>86</v>
      </c>
      <c r="N55" s="34">
        <f>SUBTOTAL(109,Tabla4[LUX 12R])</f>
        <v>35</v>
      </c>
      <c r="O55" s="34">
        <f>SUBTOTAL(109,Tabla4[LUX 24R])</f>
        <v>3105</v>
      </c>
      <c r="P55" s="34">
        <f>SUBTOTAL(109,Tabla4[SERV 500X6
.])</f>
        <v>1668</v>
      </c>
      <c r="Q55" s="34">
        <f>SUBTOTAL(109,Tabla4[SERV 200X12
.])</f>
        <v>330</v>
      </c>
      <c r="R55" s="34">
        <f>SUBTOTAL(109,Tabla4[TOALLA COCINA
.])</f>
        <v>0</v>
      </c>
      <c r="S55" s="34">
        <f>SUBTOTAL(109,Tabla4[ECOPACK
4R
Jaba])</f>
        <v>329</v>
      </c>
      <c r="T55" s="34">
        <f>SUBTOTAL(109,Tabla4[ECOPACK
4R
unidades])</f>
        <v>0</v>
      </c>
      <c r="U55" s="34">
        <f>SUBTOTAL(109,Tabla4[ECOPACK 6R])</f>
        <v>722</v>
      </c>
      <c r="V55" s="34">
        <f>SUBTOTAL(109,Tabla4[ECOPACK
12R])</f>
        <v>42</v>
      </c>
      <c r="W55" s="34">
        <f>SUBTOTAL(109,Tabla4[BANDEO (Serv 50u)  88uds.])</f>
        <v>0</v>
      </c>
      <c r="X55" s="34">
        <f>SUBTOTAL(109,Tabla4[BANDEO (Serv 50u) X Uds])</f>
        <v>12827</v>
      </c>
      <c r="Y55" s="34"/>
      <c r="Z55" s="34"/>
      <c r="AA55" s="34"/>
      <c r="AB55" s="34">
        <f>SUBTOTAL(109,Tabla4[Serv. 50ud de 28uds])</f>
        <v>9</v>
      </c>
      <c r="AC55" s="34">
        <f>SUBTOTAL(109,Tabla4[PUEBLO
2da.])</f>
        <v>0</v>
      </c>
      <c r="AD55" s="34">
        <f>SUBTOTAL(109,Tabla4[MEGA 2ª])</f>
        <v>354</v>
      </c>
      <c r="AE55" s="34">
        <f>SUBTOTAL(109,Tabla4[MEGA 3º])</f>
        <v>0</v>
      </c>
      <c r="AF55" s="34">
        <f>SUBTOTAL(109,Tabla4[SERV 2ª])</f>
        <v>3</v>
      </c>
      <c r="AG55" s="34">
        <f>SUBTOTAL(109,Tabla4[TOALLA COCINA
2ª])</f>
        <v>0</v>
      </c>
      <c r="AH55" s="34">
        <f>SUBTOTAL(109,Tabla4[COLILLAS
plasticos
KG])</f>
        <v>4740.8</v>
      </c>
      <c r="AI55" s="71">
        <f>SUBTOTAL(109,Tabla4[TOTAL VENTA])</f>
        <v>797501.35</v>
      </c>
      <c r="AJ55" s="71">
        <f>SUBTOTAL(109,Tabla4[DESCUENTOS
BONIFICACION])</f>
        <v>19248.5</v>
      </c>
      <c r="AK55" s="71">
        <f>SUBTOTAL(109,Tabla4[PROMOCION])</f>
        <v>0</v>
      </c>
      <c r="AL55" s="71">
        <f>SUBTOTAL(109,Tabla4[Ingreso por venta dircta])</f>
        <v>0</v>
      </c>
      <c r="AM55" s="71">
        <f>SUBTOTAL(109,Tabla4[IMPORTE NETO])</f>
        <v>778252.85</v>
      </c>
      <c r="AN55" s="34">
        <f>SUBTOTAL(109,Tabla4[CANTIDAD DE CAMIONES])</f>
        <v>12.970880833333336</v>
      </c>
      <c r="AO55" s="34">
        <f>SUBTOTAL(109,Tabla4[SALDO ANTERIOR])</f>
        <v>0</v>
      </c>
      <c r="AP55" s="34">
        <f>SUBTOTAL(109,Tabla4[BANCO UNION_1])</f>
        <v>16772</v>
      </c>
      <c r="AQ55" s="34">
        <f>SUBTOTAL(109,Tabla4[BANCO BNB_1])</f>
        <v>83000</v>
      </c>
      <c r="AR55" s="34">
        <f>SUBTOTAL(109,Tabla4[BANCO UNION-2])</f>
        <v>0</v>
      </c>
      <c r="AS55" s="34">
        <f>SUBTOTAL(109,Tabla4[BANCO BNB_2])</f>
        <v>101479.27</v>
      </c>
      <c r="AT55" s="34">
        <f>SUBTOTAL(109,Tabla4[BANCO UNION_3])</f>
        <v>0</v>
      </c>
      <c r="AU55" s="71">
        <f>SUBTOTAL(109,Tabla4[BANCO MERCANTIL STA CRUZ2])</f>
        <v>38647</v>
      </c>
      <c r="AV55" s="71">
        <f>SUBTOTAL(109,Tabla4[CAJA])</f>
        <v>242643.8</v>
      </c>
      <c r="AW55" s="34">
        <f>SUBTOTAL(109,Tabla4[DÓLAR
$us])</f>
        <v>0</v>
      </c>
      <c r="AX55" s="34">
        <f>SUBTOTAL(109,Tabla4[TOTAL
BANCO UNION])</f>
        <v>16772</v>
      </c>
      <c r="AY55" s="34">
        <f>SUBTOTAL(109,Tabla4[TOTAL
BANCO BNB])</f>
        <v>223126.27000000002</v>
      </c>
      <c r="AZ55" s="34">
        <f>SUBTOTAL(109,Tabla4[TOTAL CANCELADO])</f>
        <v>482542.07</v>
      </c>
      <c r="BA55" s="34">
        <f>SUBTOTAL(109,Tabla4[SALDOS])</f>
        <v>295710.78000000003</v>
      </c>
    </row>
    <row r="56" spans="2:54" ht="19.5" x14ac:dyDescent="0.25">
      <c r="B56" s="21"/>
      <c r="C56" s="21"/>
      <c r="D56" s="21"/>
      <c r="F56" s="22"/>
      <c r="G56" s="23"/>
      <c r="J56" s="22"/>
      <c r="K56" s="22"/>
      <c r="L56" s="22"/>
      <c r="O56" s="22"/>
      <c r="P56" s="22"/>
      <c r="Q56" s="22"/>
      <c r="X56" s="55"/>
      <c r="Y56" s="95"/>
      <c r="Z56" s="95"/>
      <c r="AA56" s="95"/>
      <c r="AB56" s="24"/>
      <c r="AC56" s="24"/>
      <c r="AD56" s="21"/>
      <c r="AF56" s="21"/>
      <c r="AG56" s="21"/>
      <c r="AI56" s="21"/>
      <c r="AJ56" s="55"/>
      <c r="AK56" s="24"/>
      <c r="AL56" s="24"/>
      <c r="AM56" s="21"/>
      <c r="AN56" s="22"/>
      <c r="AO56" s="22"/>
      <c r="AP56" s="24"/>
      <c r="AQ56" s="21"/>
      <c r="AR56" s="21"/>
      <c r="AS56" s="21"/>
      <c r="AT56" s="21"/>
      <c r="AU56" s="21"/>
      <c r="AV56" s="25"/>
      <c r="AW56" s="25"/>
      <c r="AX56" s="25"/>
      <c r="AY56" s="25"/>
      <c r="AZ56" s="25"/>
      <c r="BA56" s="25"/>
    </row>
    <row r="57" spans="2:54" ht="19.5" x14ac:dyDescent="0.25">
      <c r="B57" s="21"/>
      <c r="C57" s="21"/>
      <c r="D57" s="21"/>
      <c r="F57" s="22"/>
      <c r="G57" s="23"/>
      <c r="J57" s="22"/>
      <c r="K57" s="22"/>
      <c r="L57" s="22"/>
      <c r="O57" s="22"/>
      <c r="P57" s="22"/>
      <c r="Q57" s="22"/>
      <c r="X57" s="69"/>
      <c r="Y57" s="69"/>
      <c r="Z57" s="69"/>
      <c r="AA57" s="69"/>
      <c r="AB57" s="56"/>
      <c r="AC57" s="56"/>
      <c r="AD57" s="56"/>
      <c r="AF57" s="21"/>
      <c r="AG57" s="21"/>
      <c r="AI57" s="56"/>
      <c r="AJ57" s="56"/>
      <c r="AK57" s="56"/>
      <c r="AL57" s="56"/>
      <c r="AM57" s="21"/>
      <c r="AN57" s="22"/>
      <c r="AO57" s="22"/>
      <c r="AP57" s="26"/>
      <c r="AQ57" s="21"/>
      <c r="AR57" s="21"/>
      <c r="AS57" s="21"/>
      <c r="AT57" s="27"/>
      <c r="AU57" s="21"/>
      <c r="AV57" s="25"/>
      <c r="AW57" s="25"/>
      <c r="AX57" s="25"/>
      <c r="AY57" s="25"/>
      <c r="AZ57" s="25"/>
      <c r="BA57" s="25"/>
    </row>
    <row r="58" spans="2:54" x14ac:dyDescent="0.25">
      <c r="F58" s="6"/>
      <c r="G58" s="8"/>
      <c r="J58"/>
      <c r="K58"/>
      <c r="L58"/>
      <c r="O58" s="6"/>
      <c r="P58" s="6"/>
      <c r="Q58" s="6"/>
      <c r="AN58" s="31"/>
      <c r="AO58" s="31"/>
    </row>
    <row r="59" spans="2:54" x14ac:dyDescent="0.25">
      <c r="X59" s="70"/>
      <c r="Y59" s="70"/>
      <c r="Z59" s="70"/>
      <c r="AA59" s="70"/>
    </row>
  </sheetData>
  <dataConsolidate topLabels="1">
    <dataRefs count="1">
      <dataRef ref="B8:S65" sheet="VENTAS Y PAGOS X CAMION"/>
    </dataRefs>
  </dataConsolidate>
  <mergeCells count="7">
    <mergeCell ref="B55:I55"/>
    <mergeCell ref="AP6:AQ6"/>
    <mergeCell ref="B3:BA3"/>
    <mergeCell ref="B4:BA4"/>
    <mergeCell ref="J6:AH6"/>
    <mergeCell ref="AT6:AU6"/>
    <mergeCell ref="AR6:AS6"/>
  </mergeCells>
  <phoneticPr fontId="11" type="noConversion"/>
  <pageMargins left="0.19685039370078741" right="0" top="0.39370078740157483" bottom="0.39370078740157483" header="0" footer="0"/>
  <pageSetup paperSize="5" scale="60"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FFCC"/>
  </sheetPr>
  <dimension ref="B2:J39"/>
  <sheetViews>
    <sheetView topLeftCell="B1" workbookViewId="0">
      <selection activeCell="D12" sqref="D12"/>
    </sheetView>
  </sheetViews>
  <sheetFormatPr baseColWidth="10" defaultRowHeight="15" x14ac:dyDescent="0.25"/>
  <cols>
    <col min="1" max="1" width="4.42578125" customWidth="1"/>
    <col min="2" max="2" width="5.5703125" customWidth="1"/>
    <col min="3" max="3" width="32.42578125" bestFit="1" customWidth="1"/>
    <col min="4" max="4" width="20" bestFit="1" customWidth="1"/>
    <col min="5" max="5" width="27.5703125" bestFit="1" customWidth="1"/>
    <col min="6" max="6" width="18" bestFit="1" customWidth="1"/>
    <col min="7" max="7" width="4.42578125" customWidth="1"/>
    <col min="8" max="8" width="17.28515625" bestFit="1" customWidth="1"/>
    <col min="9" max="9" width="31.7109375" bestFit="1" customWidth="1"/>
  </cols>
  <sheetData>
    <row r="2" spans="2:6" s="2" customFormat="1" ht="16.5" x14ac:dyDescent="0.25">
      <c r="D2" s="7"/>
    </row>
    <row r="3" spans="2:6" s="2" customFormat="1" ht="16.5" x14ac:dyDescent="0.25">
      <c r="D3" s="7"/>
    </row>
    <row r="4" spans="2:6" s="2" customFormat="1" ht="16.5" x14ac:dyDescent="0.25">
      <c r="D4" s="7"/>
    </row>
    <row r="5" spans="2:6" s="2" customFormat="1" ht="16.5" x14ac:dyDescent="0.25">
      <c r="D5" s="7"/>
    </row>
    <row r="6" spans="2:6" s="2" customFormat="1" ht="28.5" customHeight="1" x14ac:dyDescent="0.25">
      <c r="B6" s="174" t="s">
        <v>16</v>
      </c>
      <c r="C6" s="174"/>
      <c r="D6" s="174"/>
      <c r="E6" s="174"/>
      <c r="F6" s="174"/>
    </row>
    <row r="7" spans="2:6" s="2" customFormat="1" ht="19.5" customHeight="1" x14ac:dyDescent="0.25">
      <c r="B7" s="174" t="s">
        <v>117</v>
      </c>
      <c r="C7" s="174"/>
      <c r="D7" s="174"/>
      <c r="E7" s="174"/>
      <c r="F7" s="174"/>
    </row>
    <row r="9" spans="2:6" s="16" customFormat="1" ht="31.5" x14ac:dyDescent="0.25">
      <c r="B9" s="32" t="s">
        <v>6</v>
      </c>
      <c r="C9" s="163" t="s">
        <v>14</v>
      </c>
      <c r="D9" s="76" t="s">
        <v>53</v>
      </c>
      <c r="E9" s="164" t="s">
        <v>13</v>
      </c>
      <c r="F9" s="163" t="s">
        <v>24</v>
      </c>
    </row>
    <row r="10" spans="2:6" ht="16.5" x14ac:dyDescent="0.3">
      <c r="B10" s="1">
        <v>1</v>
      </c>
      <c r="C10" s="158" t="s">
        <v>112</v>
      </c>
      <c r="D10" s="156">
        <v>410094.98</v>
      </c>
      <c r="E10" s="156">
        <v>6.834916333333334</v>
      </c>
      <c r="F10" s="157">
        <v>2</v>
      </c>
    </row>
    <row r="11" spans="2:6" ht="16.5" x14ac:dyDescent="0.3">
      <c r="B11" s="1">
        <f t="shared" ref="B11:B30" si="0">+B10+1</f>
        <v>2</v>
      </c>
      <c r="C11" s="158" t="s">
        <v>83</v>
      </c>
      <c r="D11" s="156">
        <v>252815.79</v>
      </c>
      <c r="E11" s="156">
        <v>4.0649214999999996</v>
      </c>
      <c r="F11" s="157">
        <v>4</v>
      </c>
    </row>
    <row r="12" spans="2:6" ht="16.5" x14ac:dyDescent="0.3">
      <c r="B12" s="1">
        <f t="shared" si="0"/>
        <v>3</v>
      </c>
      <c r="C12" s="158" t="s">
        <v>87</v>
      </c>
      <c r="D12" s="156">
        <v>248573</v>
      </c>
      <c r="E12" s="156">
        <v>3.9852333333333334</v>
      </c>
      <c r="F12" s="157">
        <v>4</v>
      </c>
    </row>
    <row r="13" spans="2:6" ht="16.5" x14ac:dyDescent="0.3">
      <c r="B13" s="1">
        <f t="shared" si="0"/>
        <v>4</v>
      </c>
      <c r="C13" s="158" t="s">
        <v>99</v>
      </c>
      <c r="D13" s="156">
        <v>217787.5</v>
      </c>
      <c r="E13" s="156">
        <v>3.6297916666666667</v>
      </c>
      <c r="F13" s="157">
        <v>4</v>
      </c>
    </row>
    <row r="14" spans="2:6" ht="16.5" x14ac:dyDescent="0.3">
      <c r="B14" s="1">
        <f t="shared" si="0"/>
        <v>5</v>
      </c>
      <c r="C14" s="158" t="s">
        <v>90</v>
      </c>
      <c r="D14" s="156">
        <v>177853.58000000002</v>
      </c>
      <c r="E14" s="156">
        <v>2.8499929999999996</v>
      </c>
      <c r="F14" s="157">
        <v>32</v>
      </c>
    </row>
    <row r="15" spans="2:6" ht="16.5" x14ac:dyDescent="0.3">
      <c r="B15" s="1">
        <f t="shared" si="0"/>
        <v>6</v>
      </c>
      <c r="C15" s="158" t="s">
        <v>102</v>
      </c>
      <c r="D15" s="156">
        <v>175818</v>
      </c>
      <c r="E15" s="156">
        <v>2.7862500000000003</v>
      </c>
      <c r="F15" s="157">
        <v>27</v>
      </c>
    </row>
    <row r="16" spans="2:6" ht="16.5" x14ac:dyDescent="0.3">
      <c r="B16" s="1">
        <f t="shared" si="0"/>
        <v>7</v>
      </c>
      <c r="C16" s="158" t="s">
        <v>100</v>
      </c>
      <c r="D16" s="156">
        <v>124259.91</v>
      </c>
      <c r="E16" s="156">
        <v>1.9814735000000001</v>
      </c>
      <c r="F16" s="157">
        <v>1</v>
      </c>
    </row>
    <row r="17" spans="2:10" ht="16.5" x14ac:dyDescent="0.3">
      <c r="B17" s="1">
        <f t="shared" si="0"/>
        <v>8</v>
      </c>
      <c r="C17" s="158" t="s">
        <v>103</v>
      </c>
      <c r="D17" s="156">
        <v>64880.07</v>
      </c>
      <c r="E17" s="156">
        <v>1.0547595000000001</v>
      </c>
      <c r="F17" s="157">
        <v>1</v>
      </c>
    </row>
    <row r="18" spans="2:10" ht="16.5" x14ac:dyDescent="0.3">
      <c r="B18" s="1">
        <f t="shared" si="0"/>
        <v>9</v>
      </c>
      <c r="C18" s="158" t="s">
        <v>97</v>
      </c>
      <c r="D18" s="156">
        <v>26185</v>
      </c>
      <c r="E18" s="156">
        <v>0.43516666666666665</v>
      </c>
      <c r="F18" s="157">
        <v>1</v>
      </c>
    </row>
    <row r="19" spans="2:10" ht="16.5" x14ac:dyDescent="0.3">
      <c r="B19" s="1">
        <f t="shared" si="0"/>
        <v>10</v>
      </c>
      <c r="C19" s="158" t="s">
        <v>73</v>
      </c>
      <c r="D19" s="156">
        <v>13333</v>
      </c>
      <c r="E19" s="156">
        <v>0.21796666666666664</v>
      </c>
      <c r="F19" s="157">
        <v>3</v>
      </c>
    </row>
    <row r="20" spans="2:10" ht="16.5" x14ac:dyDescent="0.3">
      <c r="B20" s="1">
        <f t="shared" si="0"/>
        <v>11</v>
      </c>
      <c r="C20" s="158" t="s">
        <v>110</v>
      </c>
      <c r="D20" s="156">
        <v>11852</v>
      </c>
      <c r="E20" s="156">
        <v>0.19753333333333334</v>
      </c>
      <c r="F20" s="157">
        <v>1</v>
      </c>
      <c r="J20">
        <v>10</v>
      </c>
    </row>
    <row r="21" spans="2:10" ht="16.5" x14ac:dyDescent="0.3">
      <c r="B21" s="1">
        <f t="shared" si="0"/>
        <v>12</v>
      </c>
      <c r="C21" s="158" t="s">
        <v>107</v>
      </c>
      <c r="D21" s="156">
        <v>4965</v>
      </c>
      <c r="E21" s="156">
        <v>8.2000000000000003E-2</v>
      </c>
      <c r="F21" s="157">
        <v>1</v>
      </c>
    </row>
    <row r="22" spans="2:10" ht="16.5" x14ac:dyDescent="0.3">
      <c r="B22" s="1">
        <f t="shared" si="0"/>
        <v>13</v>
      </c>
      <c r="C22" s="158" t="s">
        <v>114</v>
      </c>
      <c r="D22" s="156">
        <v>3354</v>
      </c>
      <c r="E22" s="156">
        <v>5.5E-2</v>
      </c>
      <c r="F22" s="157">
        <v>1</v>
      </c>
      <c r="J22">
        <v>15</v>
      </c>
    </row>
    <row r="23" spans="2:10" ht="16.5" x14ac:dyDescent="0.3">
      <c r="B23" s="1">
        <f t="shared" si="0"/>
        <v>14</v>
      </c>
      <c r="C23" s="158" t="s">
        <v>108</v>
      </c>
      <c r="D23" s="156">
        <v>3000</v>
      </c>
      <c r="E23" s="156">
        <v>0.05</v>
      </c>
      <c r="F23" s="157">
        <v>1</v>
      </c>
    </row>
    <row r="24" spans="2:10" ht="16.5" x14ac:dyDescent="0.3">
      <c r="B24" s="1">
        <f t="shared" si="0"/>
        <v>15</v>
      </c>
      <c r="C24" s="158" t="s">
        <v>109</v>
      </c>
      <c r="D24" s="156">
        <v>2559</v>
      </c>
      <c r="E24" s="156">
        <v>4.24E-2</v>
      </c>
      <c r="F24" s="157">
        <v>1</v>
      </c>
      <c r="J24">
        <v>15</v>
      </c>
    </row>
    <row r="25" spans="2:10" ht="16.5" x14ac:dyDescent="0.3">
      <c r="B25" s="1">
        <f t="shared" si="0"/>
        <v>16</v>
      </c>
      <c r="C25" s="158" t="s">
        <v>116</v>
      </c>
      <c r="D25" s="156">
        <v>2550</v>
      </c>
      <c r="E25" s="156">
        <v>4.2500000000000003E-2</v>
      </c>
      <c r="F25" s="157">
        <v>1</v>
      </c>
      <c r="J25">
        <v>20</v>
      </c>
    </row>
    <row r="26" spans="2:10" ht="16.5" x14ac:dyDescent="0.3">
      <c r="B26" s="1">
        <f t="shared" si="0"/>
        <v>17</v>
      </c>
      <c r="C26" s="158" t="s">
        <v>95</v>
      </c>
      <c r="D26" s="156">
        <v>1620</v>
      </c>
      <c r="E26" s="156">
        <v>2.6999999999999996E-2</v>
      </c>
      <c r="F26" s="157">
        <v>3</v>
      </c>
      <c r="J26">
        <v>17</v>
      </c>
    </row>
    <row r="27" spans="2:10" ht="16.5" x14ac:dyDescent="0.3">
      <c r="B27" s="1">
        <f t="shared" si="0"/>
        <v>18</v>
      </c>
      <c r="C27" s="158" t="s">
        <v>82</v>
      </c>
      <c r="D27" s="156">
        <v>389</v>
      </c>
      <c r="E27" s="156">
        <v>6.4833333333333331E-3</v>
      </c>
      <c r="F27" s="157">
        <v>2</v>
      </c>
      <c r="J27">
        <v>70</v>
      </c>
    </row>
    <row r="28" spans="2:10" ht="16.5" x14ac:dyDescent="0.3">
      <c r="B28" s="1">
        <f t="shared" si="0"/>
        <v>19</v>
      </c>
      <c r="C28" s="158" t="s">
        <v>115</v>
      </c>
      <c r="D28" s="156">
        <v>95</v>
      </c>
      <c r="E28" s="156">
        <v>0</v>
      </c>
      <c r="F28" s="157">
        <v>1</v>
      </c>
      <c r="J28">
        <v>17</v>
      </c>
    </row>
    <row r="29" spans="2:10" ht="19.5" x14ac:dyDescent="0.35">
      <c r="B29" s="1">
        <f t="shared" si="0"/>
        <v>20</v>
      </c>
      <c r="C29" s="159" t="s">
        <v>12</v>
      </c>
      <c r="D29" s="161">
        <v>1741984.83</v>
      </c>
      <c r="E29" s="161">
        <v>28.343388833333336</v>
      </c>
      <c r="F29" s="162">
        <v>91</v>
      </c>
      <c r="J29">
        <v>60</v>
      </c>
    </row>
    <row r="30" spans="2:10" x14ac:dyDescent="0.25">
      <c r="B30" s="1">
        <f t="shared" si="0"/>
        <v>21</v>
      </c>
      <c r="J30">
        <v>1</v>
      </c>
    </row>
    <row r="31" spans="2:10" x14ac:dyDescent="0.25">
      <c r="B31" s="75"/>
    </row>
    <row r="32" spans="2:10" x14ac:dyDescent="0.25">
      <c r="B32" s="77"/>
    </row>
    <row r="33" spans="2:10" x14ac:dyDescent="0.25">
      <c r="B33" s="77"/>
    </row>
    <row r="34" spans="2:10" x14ac:dyDescent="0.25">
      <c r="B34" s="77"/>
    </row>
    <row r="35" spans="2:10" x14ac:dyDescent="0.25">
      <c r="B35" s="77"/>
    </row>
    <row r="39" spans="2:10" x14ac:dyDescent="0.25">
      <c r="J39" s="58"/>
    </row>
  </sheetData>
  <autoFilter ref="B9:F30" xr:uid="{00000000-0001-0000-0300-000000000000}"/>
  <mergeCells count="2">
    <mergeCell ref="B7:F7"/>
    <mergeCell ref="B6:F6"/>
  </mergeCells>
  <printOptions horizontalCentered="1"/>
  <pageMargins left="0.31496062992125984" right="0.31496062992125984" top="0.51181102362204722" bottom="0.35433070866141736" header="0.31496062992125984" footer="0.31496062992125984"/>
  <pageSetup scale="86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I26"/>
  <sheetViews>
    <sheetView topLeftCell="A10" workbookViewId="0">
      <selection activeCell="B11" sqref="B11:B18"/>
    </sheetView>
  </sheetViews>
  <sheetFormatPr baseColWidth="10" defaultRowHeight="15" x14ac:dyDescent="0.25"/>
  <cols>
    <col min="1" max="1" width="8" customWidth="1"/>
    <col min="2" max="2" width="4.7109375" customWidth="1"/>
    <col min="3" max="3" width="22.28515625" bestFit="1" customWidth="1"/>
    <col min="4" max="4" width="11.7109375" bestFit="1" customWidth="1"/>
    <col min="5" max="5" width="9.42578125" hidden="1" customWidth="1"/>
    <col min="6" max="6" width="10" hidden="1" customWidth="1"/>
    <col min="7" max="7" width="15.42578125" bestFit="1" customWidth="1"/>
    <col min="8" max="8" width="7.5703125" bestFit="1" customWidth="1"/>
    <col min="9" max="9" width="11.7109375" bestFit="1" customWidth="1"/>
  </cols>
  <sheetData>
    <row r="2" spans="2:9" s="2" customFormat="1" ht="16.5" x14ac:dyDescent="0.25">
      <c r="E2" s="7"/>
    </row>
    <row r="3" spans="2:9" s="2" customFormat="1" ht="16.5" x14ac:dyDescent="0.25">
      <c r="E3" s="7"/>
    </row>
    <row r="4" spans="2:9" s="2" customFormat="1" ht="16.5" x14ac:dyDescent="0.25">
      <c r="E4" s="7"/>
    </row>
    <row r="5" spans="2:9" s="2" customFormat="1" ht="16.5" x14ac:dyDescent="0.25">
      <c r="E5" s="7"/>
    </row>
    <row r="6" spans="2:9" s="2" customFormat="1" ht="28.5" customHeight="1" x14ac:dyDescent="0.25">
      <c r="B6" s="174" t="s">
        <v>15</v>
      </c>
      <c r="C6" s="174"/>
      <c r="D6" s="174"/>
      <c r="E6" s="174"/>
      <c r="F6" s="174"/>
      <c r="G6" s="15"/>
      <c r="H6" s="15"/>
    </row>
    <row r="7" spans="2:9" s="2" customFormat="1" ht="19.5" customHeight="1" x14ac:dyDescent="0.25">
      <c r="B7" s="174" t="s">
        <v>117</v>
      </c>
      <c r="C7" s="174"/>
      <c r="D7" s="174"/>
      <c r="E7" s="174"/>
      <c r="F7" s="174"/>
      <c r="G7" s="15"/>
      <c r="H7" s="15"/>
    </row>
    <row r="10" spans="2:9" ht="78.75" x14ac:dyDescent="0.25">
      <c r="B10" s="32" t="s">
        <v>6</v>
      </c>
      <c r="C10" s="163" t="s">
        <v>11</v>
      </c>
      <c r="D10" s="76" t="s">
        <v>53</v>
      </c>
      <c r="E10" s="164" t="s">
        <v>13</v>
      </c>
      <c r="F10" s="163" t="s">
        <v>25</v>
      </c>
      <c r="G10" s="76" t="s">
        <v>92</v>
      </c>
      <c r="H10" s="76" t="s">
        <v>93</v>
      </c>
      <c r="I10" s="76" t="s">
        <v>94</v>
      </c>
    </row>
    <row r="11" spans="2:9" ht="16.5" x14ac:dyDescent="0.3">
      <c r="B11" s="167">
        <v>1</v>
      </c>
      <c r="C11" s="158" t="s">
        <v>113</v>
      </c>
      <c r="D11" s="166">
        <v>410094.98</v>
      </c>
      <c r="E11" s="156">
        <v>6.834916333333334</v>
      </c>
      <c r="F11" s="156">
        <v>2</v>
      </c>
      <c r="G11" s="156"/>
      <c r="H11" s="156"/>
      <c r="I11" s="156">
        <v>410094.98</v>
      </c>
    </row>
    <row r="12" spans="2:9" ht="16.5" x14ac:dyDescent="0.3">
      <c r="B12" s="167">
        <f t="shared" ref="B12:B18" si="0">+B11+1</f>
        <v>2</v>
      </c>
      <c r="C12" s="158" t="s">
        <v>10</v>
      </c>
      <c r="D12" s="166">
        <v>385536.58</v>
      </c>
      <c r="E12" s="156">
        <v>6.1595930000000019</v>
      </c>
      <c r="F12" s="156">
        <v>73</v>
      </c>
      <c r="G12" s="156">
        <v>15961</v>
      </c>
      <c r="H12" s="156"/>
      <c r="I12" s="156">
        <v>369575.58</v>
      </c>
    </row>
    <row r="13" spans="2:9" ht="16.5" x14ac:dyDescent="0.3">
      <c r="B13" s="167">
        <f t="shared" si="0"/>
        <v>3</v>
      </c>
      <c r="C13" s="158" t="s">
        <v>84</v>
      </c>
      <c r="D13" s="166">
        <v>252815.79</v>
      </c>
      <c r="E13" s="156">
        <v>4.0649214999999996</v>
      </c>
      <c r="F13" s="156">
        <v>4</v>
      </c>
      <c r="G13" s="156">
        <v>8920.5</v>
      </c>
      <c r="H13" s="156"/>
      <c r="I13" s="156">
        <v>243895.29</v>
      </c>
    </row>
    <row r="14" spans="2:9" ht="16.5" x14ac:dyDescent="0.3">
      <c r="B14" s="167">
        <f t="shared" si="0"/>
        <v>4</v>
      </c>
      <c r="C14" s="158" t="s">
        <v>77</v>
      </c>
      <c r="D14" s="166">
        <v>248573</v>
      </c>
      <c r="E14" s="156">
        <v>3.9852333333333334</v>
      </c>
      <c r="F14" s="156">
        <v>4</v>
      </c>
      <c r="G14" s="156">
        <v>9459</v>
      </c>
      <c r="H14" s="156"/>
      <c r="I14" s="156">
        <v>239114</v>
      </c>
    </row>
    <row r="15" spans="2:9" ht="16.5" x14ac:dyDescent="0.3">
      <c r="B15" s="167">
        <f t="shared" si="0"/>
        <v>5</v>
      </c>
      <c r="C15" s="158" t="s">
        <v>88</v>
      </c>
      <c r="D15" s="166">
        <v>243972.5</v>
      </c>
      <c r="E15" s="156">
        <v>4.0649583333333332</v>
      </c>
      <c r="F15" s="156">
        <v>5</v>
      </c>
      <c r="G15" s="156">
        <v>75</v>
      </c>
      <c r="H15" s="156"/>
      <c r="I15" s="156">
        <v>243897.5</v>
      </c>
    </row>
    <row r="16" spans="2:9" ht="16.5" x14ac:dyDescent="0.3">
      <c r="B16" s="167">
        <f t="shared" si="0"/>
        <v>6</v>
      </c>
      <c r="C16" s="158" t="s">
        <v>101</v>
      </c>
      <c r="D16" s="166">
        <v>124259.91</v>
      </c>
      <c r="E16" s="156">
        <v>1.9814735000000001</v>
      </c>
      <c r="F16" s="156">
        <v>1</v>
      </c>
      <c r="G16" s="156">
        <v>5371.5</v>
      </c>
      <c r="H16" s="156"/>
      <c r="I16" s="156">
        <v>118888.41</v>
      </c>
    </row>
    <row r="17" spans="2:9" ht="16.5" x14ac:dyDescent="0.3">
      <c r="B17" s="167">
        <f t="shared" si="0"/>
        <v>7</v>
      </c>
      <c r="C17" s="158" t="s">
        <v>104</v>
      </c>
      <c r="D17" s="166">
        <v>64880.07</v>
      </c>
      <c r="E17" s="156">
        <v>1.0547595000000001</v>
      </c>
      <c r="F17" s="156">
        <v>1</v>
      </c>
      <c r="G17" s="156">
        <v>1594.5</v>
      </c>
      <c r="H17" s="156"/>
      <c r="I17" s="156">
        <v>63285.57</v>
      </c>
    </row>
    <row r="18" spans="2:9" ht="16.5" x14ac:dyDescent="0.3">
      <c r="B18" s="167">
        <f t="shared" si="0"/>
        <v>8</v>
      </c>
      <c r="C18" s="158" t="s">
        <v>111</v>
      </c>
      <c r="D18" s="166">
        <v>11852</v>
      </c>
      <c r="E18" s="156">
        <v>0.19753333333333334</v>
      </c>
      <c r="F18" s="156">
        <v>1</v>
      </c>
      <c r="G18" s="156"/>
      <c r="H18" s="156"/>
      <c r="I18" s="156">
        <v>11852</v>
      </c>
    </row>
    <row r="19" spans="2:9" ht="16.5" x14ac:dyDescent="0.3">
      <c r="B19" s="18"/>
      <c r="C19" s="165" t="s">
        <v>12</v>
      </c>
      <c r="D19" s="153">
        <v>1741984.83</v>
      </c>
      <c r="E19" s="33">
        <v>28.343388833333329</v>
      </c>
      <c r="F19" s="33">
        <v>91</v>
      </c>
      <c r="G19" s="33">
        <v>41381.5</v>
      </c>
      <c r="H19" s="33"/>
      <c r="I19" s="33">
        <v>1700603.33</v>
      </c>
    </row>
    <row r="20" spans="2:9" ht="16.5" x14ac:dyDescent="0.3">
      <c r="B20" s="18"/>
    </row>
    <row r="21" spans="2:9" ht="16.5" x14ac:dyDescent="0.3">
      <c r="B21" s="18"/>
    </row>
    <row r="22" spans="2:9" ht="16.5" x14ac:dyDescent="0.3">
      <c r="B22" s="18"/>
    </row>
    <row r="23" spans="2:9" ht="16.5" x14ac:dyDescent="0.3">
      <c r="B23" s="18"/>
    </row>
    <row r="24" spans="2:9" ht="16.5" x14ac:dyDescent="0.3">
      <c r="B24" s="18"/>
    </row>
    <row r="25" spans="2:9" ht="16.5" x14ac:dyDescent="0.3">
      <c r="B25" s="18"/>
    </row>
    <row r="26" spans="2:9" ht="16.5" x14ac:dyDescent="0.3">
      <c r="B26" s="18"/>
    </row>
  </sheetData>
  <mergeCells count="2">
    <mergeCell ref="B6:F6"/>
    <mergeCell ref="B7:F7"/>
  </mergeCells>
  <printOptions horizontalCentered="1"/>
  <pageMargins left="0.51181102362204722" right="0.51181102362204722" top="0.51181102362204722" bottom="0.55118110236220474" header="0.31496062992125984" footer="0.31496062992125984"/>
  <pageSetup scale="95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F376-66CF-4126-9A65-5CC9519B24E1}">
  <sheetPr>
    <tabColor rgb="FFFF3300"/>
  </sheetPr>
  <dimension ref="B2:U26"/>
  <sheetViews>
    <sheetView workbookViewId="0">
      <selection activeCell="I11" sqref="I11"/>
    </sheetView>
  </sheetViews>
  <sheetFormatPr baseColWidth="10" defaultRowHeight="15" x14ac:dyDescent="0.25"/>
  <cols>
    <col min="2" max="2" width="4.7109375" customWidth="1"/>
    <col min="3" max="3" width="22.28515625" bestFit="1" customWidth="1"/>
    <col min="4" max="4" width="8" bestFit="1" customWidth="1"/>
    <col min="5" max="5" width="6.5703125" bestFit="1" customWidth="1"/>
    <col min="6" max="6" width="5.7109375" bestFit="1" customWidth="1"/>
    <col min="7" max="7" width="5.5703125" bestFit="1" customWidth="1"/>
    <col min="8" max="9" width="7" bestFit="1" customWidth="1"/>
    <col min="10" max="10" width="6.140625" bestFit="1" customWidth="1"/>
    <col min="11" max="12" width="7.140625" bestFit="1" customWidth="1"/>
    <col min="13" max="14" width="7" bestFit="1" customWidth="1"/>
    <col min="15" max="15" width="6.5703125" bestFit="1" customWidth="1"/>
    <col min="16" max="16" width="7.85546875" bestFit="1" customWidth="1"/>
    <col min="17" max="17" width="6.5703125" bestFit="1" customWidth="1"/>
    <col min="18" max="18" width="6.140625" bestFit="1" customWidth="1"/>
    <col min="19" max="19" width="7.28515625" customWidth="1"/>
    <col min="20" max="20" width="8.7109375" customWidth="1"/>
    <col min="21" max="21" width="8.42578125" customWidth="1"/>
  </cols>
  <sheetData>
    <row r="2" spans="2:21" s="2" customFormat="1" ht="16.5" x14ac:dyDescent="0.25">
      <c r="E2" s="7"/>
    </row>
    <row r="3" spans="2:21" s="2" customFormat="1" ht="16.5" x14ac:dyDescent="0.25">
      <c r="E3" s="7"/>
    </row>
    <row r="4" spans="2:21" s="2" customFormat="1" ht="16.5" x14ac:dyDescent="0.25">
      <c r="E4" s="7"/>
    </row>
    <row r="5" spans="2:21" s="2" customFormat="1" ht="16.5" x14ac:dyDescent="0.25">
      <c r="E5" s="7"/>
    </row>
    <row r="6" spans="2:21" s="2" customFormat="1" ht="28.5" customHeight="1" x14ac:dyDescent="0.25">
      <c r="B6" s="174" t="s">
        <v>50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</row>
    <row r="7" spans="2:21" s="2" customFormat="1" ht="19.5" customHeight="1" x14ac:dyDescent="0.25">
      <c r="B7" s="174" t="s">
        <v>117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</row>
    <row r="9" spans="2:21" ht="15.75" thickBot="1" x14ac:dyDescent="0.3"/>
    <row r="10" spans="2:21" ht="68.25" thickBot="1" x14ac:dyDescent="0.3">
      <c r="B10" s="32" t="s">
        <v>6</v>
      </c>
      <c r="C10" s="163" t="s">
        <v>11</v>
      </c>
      <c r="D10" s="53" t="s">
        <v>43</v>
      </c>
      <c r="E10" s="74" t="s">
        <v>65</v>
      </c>
      <c r="F10" s="53" t="s">
        <v>46</v>
      </c>
      <c r="G10" s="72" t="s">
        <v>45</v>
      </c>
      <c r="H10" s="72" t="s">
        <v>44</v>
      </c>
      <c r="I10" s="74" t="s">
        <v>59</v>
      </c>
      <c r="J10" s="74" t="s">
        <v>60</v>
      </c>
      <c r="K10" s="74" t="s">
        <v>61</v>
      </c>
      <c r="L10" s="74" t="s">
        <v>62</v>
      </c>
      <c r="M10" s="74" t="s">
        <v>63</v>
      </c>
      <c r="N10" s="74" t="s">
        <v>64</v>
      </c>
      <c r="O10" s="74" t="s">
        <v>66</v>
      </c>
      <c r="P10" s="74" t="s">
        <v>69</v>
      </c>
      <c r="Q10" s="74" t="s">
        <v>70</v>
      </c>
      <c r="R10" s="74" t="s">
        <v>67</v>
      </c>
    </row>
    <row r="11" spans="2:21" ht="16.5" x14ac:dyDescent="0.3">
      <c r="B11" s="17">
        <v>1</v>
      </c>
      <c r="C11" s="158" t="s">
        <v>10</v>
      </c>
      <c r="D11" s="155">
        <v>10044</v>
      </c>
      <c r="E11" s="154">
        <v>80</v>
      </c>
      <c r="F11" s="154">
        <v>46</v>
      </c>
      <c r="G11" s="154">
        <v>41</v>
      </c>
      <c r="H11" s="154">
        <v>714</v>
      </c>
      <c r="I11" s="154">
        <v>632</v>
      </c>
      <c r="J11" s="154"/>
      <c r="K11" s="154">
        <v>383</v>
      </c>
      <c r="L11" s="154">
        <v>86</v>
      </c>
      <c r="M11" s="154">
        <v>354</v>
      </c>
      <c r="N11" s="154">
        <v>10</v>
      </c>
      <c r="O11" s="154"/>
      <c r="P11" s="154">
        <v>10592</v>
      </c>
      <c r="Q11" s="154">
        <v>3</v>
      </c>
      <c r="R11" s="154"/>
    </row>
    <row r="12" spans="2:21" ht="17.25" thickBot="1" x14ac:dyDescent="0.35">
      <c r="B12" s="17">
        <f t="shared" ref="B12:B17" si="0">+B11+1</f>
        <v>2</v>
      </c>
      <c r="C12" s="158" t="s">
        <v>77</v>
      </c>
      <c r="D12" s="155">
        <v>6306</v>
      </c>
      <c r="E12" s="154">
        <v>100</v>
      </c>
      <c r="F12" s="154"/>
      <c r="G12" s="154"/>
      <c r="H12" s="154">
        <v>200</v>
      </c>
      <c r="I12" s="154">
        <v>384</v>
      </c>
      <c r="J12" s="154"/>
      <c r="K12" s="154">
        <v>500</v>
      </c>
      <c r="L12" s="154">
        <v>250</v>
      </c>
      <c r="M12" s="154"/>
      <c r="N12" s="154"/>
      <c r="O12" s="154"/>
      <c r="P12" s="154">
        <v>6306</v>
      </c>
      <c r="Q12" s="154"/>
      <c r="R12" s="154"/>
    </row>
    <row r="13" spans="2:21" ht="17.25" thickBot="1" x14ac:dyDescent="0.35">
      <c r="B13" s="17">
        <f t="shared" si="0"/>
        <v>3</v>
      </c>
      <c r="C13" s="158" t="s">
        <v>84</v>
      </c>
      <c r="D13" s="155">
        <v>5947</v>
      </c>
      <c r="E13" s="154">
        <v>160</v>
      </c>
      <c r="F13" s="154"/>
      <c r="G13" s="154"/>
      <c r="H13" s="154">
        <v>946</v>
      </c>
      <c r="I13" s="154">
        <v>495</v>
      </c>
      <c r="J13" s="154"/>
      <c r="K13" s="154"/>
      <c r="L13" s="154"/>
      <c r="M13" s="154"/>
      <c r="N13" s="154"/>
      <c r="O13" s="154"/>
      <c r="P13" s="154">
        <v>5947</v>
      </c>
      <c r="Q13" s="154"/>
      <c r="R13" s="154"/>
    </row>
    <row r="14" spans="2:21" ht="17.25" thickBot="1" x14ac:dyDescent="0.35">
      <c r="B14" s="17">
        <f t="shared" si="0"/>
        <v>4</v>
      </c>
      <c r="C14" s="158" t="s">
        <v>101</v>
      </c>
      <c r="D14" s="155">
        <v>3581</v>
      </c>
      <c r="E14" s="154">
        <v>177</v>
      </c>
      <c r="F14" s="154">
        <v>50</v>
      </c>
      <c r="G14" s="154"/>
      <c r="H14" s="154">
        <v>100</v>
      </c>
      <c r="I14" s="154">
        <v>300</v>
      </c>
      <c r="J14" s="154"/>
      <c r="K14" s="154">
        <v>50</v>
      </c>
      <c r="L14" s="154"/>
      <c r="M14" s="154"/>
      <c r="N14" s="154"/>
      <c r="O14" s="154"/>
      <c r="P14" s="154">
        <v>3581</v>
      </c>
      <c r="Q14" s="154"/>
      <c r="R14" s="154"/>
    </row>
    <row r="15" spans="2:21" ht="17.25" thickBot="1" x14ac:dyDescent="0.35">
      <c r="B15" s="17">
        <f t="shared" si="0"/>
        <v>5</v>
      </c>
      <c r="C15" s="158" t="s">
        <v>104</v>
      </c>
      <c r="D15" s="155">
        <v>1063</v>
      </c>
      <c r="E15" s="154"/>
      <c r="F15" s="154">
        <v>150</v>
      </c>
      <c r="G15" s="154">
        <v>50</v>
      </c>
      <c r="H15" s="154">
        <v>200</v>
      </c>
      <c r="I15" s="154">
        <v>50</v>
      </c>
      <c r="J15" s="154"/>
      <c r="K15" s="154">
        <v>100</v>
      </c>
      <c r="L15" s="154"/>
      <c r="M15" s="154"/>
      <c r="N15" s="154"/>
      <c r="O15" s="154"/>
      <c r="P15" s="154">
        <v>1063</v>
      </c>
      <c r="Q15" s="154"/>
      <c r="R15" s="154"/>
    </row>
    <row r="16" spans="2:21" ht="17.25" thickBot="1" x14ac:dyDescent="0.35">
      <c r="B16" s="17">
        <f t="shared" si="0"/>
        <v>6</v>
      </c>
      <c r="C16" s="158" t="s">
        <v>88</v>
      </c>
      <c r="D16" s="155">
        <v>50</v>
      </c>
      <c r="E16" s="154"/>
      <c r="F16" s="154"/>
      <c r="G16" s="154"/>
      <c r="H16" s="154">
        <v>2269</v>
      </c>
      <c r="I16" s="154">
        <v>303</v>
      </c>
      <c r="J16" s="154"/>
      <c r="K16" s="154">
        <v>200</v>
      </c>
      <c r="L16" s="154"/>
      <c r="M16" s="154">
        <v>1000</v>
      </c>
      <c r="N16" s="154">
        <v>500</v>
      </c>
      <c r="O16" s="154"/>
      <c r="P16" s="154">
        <v>50</v>
      </c>
      <c r="Q16" s="154">
        <v>20</v>
      </c>
      <c r="R16" s="154"/>
    </row>
    <row r="17" spans="2:19" ht="17.25" thickBot="1" x14ac:dyDescent="0.35">
      <c r="B17" s="17">
        <f t="shared" si="0"/>
        <v>7</v>
      </c>
      <c r="C17" s="158" t="s">
        <v>111</v>
      </c>
      <c r="D17" s="155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</row>
    <row r="18" spans="2:19" ht="17.25" thickBot="1" x14ac:dyDescent="0.35">
      <c r="B18" s="17">
        <v>8</v>
      </c>
      <c r="C18" s="158" t="s">
        <v>113</v>
      </c>
      <c r="D18" s="155"/>
      <c r="E18" s="154"/>
      <c r="F18" s="154"/>
      <c r="G18" s="154"/>
      <c r="H18" s="154">
        <v>2102</v>
      </c>
      <c r="I18" s="154">
        <v>1300</v>
      </c>
      <c r="J18" s="154"/>
      <c r="K18" s="154">
        <v>900</v>
      </c>
      <c r="L18" s="154"/>
      <c r="M18" s="154"/>
      <c r="N18" s="154"/>
      <c r="O18" s="154"/>
      <c r="P18" s="154"/>
      <c r="Q18" s="154"/>
      <c r="R18" s="154"/>
    </row>
    <row r="19" spans="2:19" ht="17.25" thickBot="1" x14ac:dyDescent="0.35">
      <c r="B19" s="18"/>
      <c r="C19" s="160" t="s">
        <v>12</v>
      </c>
      <c r="D19" s="152">
        <v>26991</v>
      </c>
      <c r="E19" s="73">
        <v>517</v>
      </c>
      <c r="F19" s="73">
        <v>246</v>
      </c>
      <c r="G19" s="73">
        <v>91</v>
      </c>
      <c r="H19" s="73">
        <v>6531</v>
      </c>
      <c r="I19" s="73">
        <v>3464</v>
      </c>
      <c r="J19" s="73"/>
      <c r="K19" s="73">
        <v>2133</v>
      </c>
      <c r="L19" s="73">
        <v>336</v>
      </c>
      <c r="M19" s="73">
        <v>1354</v>
      </c>
      <c r="N19" s="73">
        <v>510</v>
      </c>
      <c r="O19" s="73"/>
      <c r="P19" s="73">
        <v>27539</v>
      </c>
      <c r="Q19" s="73">
        <v>23</v>
      </c>
      <c r="R19" s="73"/>
    </row>
    <row r="20" spans="2:19" ht="16.5" x14ac:dyDescent="0.3">
      <c r="B20" s="18"/>
    </row>
    <row r="21" spans="2:19" ht="16.5" x14ac:dyDescent="0.3">
      <c r="B21" s="18"/>
    </row>
    <row r="22" spans="2:19" ht="15.75" customHeight="1" x14ac:dyDescent="0.3">
      <c r="B22" s="18"/>
      <c r="R22" s="57"/>
      <c r="S22" s="57"/>
    </row>
    <row r="23" spans="2:19" ht="16.5" x14ac:dyDescent="0.3">
      <c r="B23" s="18"/>
    </row>
    <row r="24" spans="2:19" ht="16.5" x14ac:dyDescent="0.3">
      <c r="B24" s="18"/>
    </row>
    <row r="25" spans="2:19" ht="16.5" x14ac:dyDescent="0.3">
      <c r="B25" s="18"/>
    </row>
    <row r="26" spans="2:19" ht="16.5" x14ac:dyDescent="0.3">
      <c r="B26" s="18"/>
    </row>
  </sheetData>
  <mergeCells count="2">
    <mergeCell ref="B7:U7"/>
    <mergeCell ref="B6:U6"/>
  </mergeCells>
  <pageMargins left="0" right="0.11811023622047245" top="0.6692913385826772" bottom="0.35433070866141736" header="0.31496062992125984" footer="0.31496062992125984"/>
  <pageSetup scale="75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4150E-D9B7-4720-BCD1-5223F19A8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VENTAS Y PAGOS X CAMION</vt:lpstr>
      <vt:lpstr>VENTAS POR CLIENTE</vt:lpstr>
      <vt:lpstr>VENTAS POR DPTS</vt:lpstr>
      <vt:lpstr>PRODUCTOS X DPTO</vt:lpstr>
      <vt:lpstr>'PRODUCTOS X DPTO'!Área_de_impresión</vt:lpstr>
      <vt:lpstr>'VENTAS POR CLIENTE'!Área_de_impresión</vt:lpstr>
      <vt:lpstr>'VENTAS POR DPTS'!Área_de_impresión</vt:lpstr>
      <vt:lpstr>'VENTAS Y PAGOS X CAMION'!Área_de_impresión</vt:lpstr>
      <vt:lpstr>'VENTAS Y PAGOS X CAMION'!Títulos_a_imprimir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FATEC TECHNOLOGY</cp:lastModifiedBy>
  <cp:lastPrinted>2026-01-08T13:55:42Z</cp:lastPrinted>
  <dcterms:created xsi:type="dcterms:W3CDTF">2015-06-05T18:19:34Z</dcterms:created>
  <dcterms:modified xsi:type="dcterms:W3CDTF">2026-09-25T14:19:13Z</dcterms:modified>
</cp:coreProperties>
</file>